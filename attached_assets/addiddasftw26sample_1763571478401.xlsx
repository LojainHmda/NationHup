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<sst xmlns="http://schemas.openxmlformats.org/spreadsheetml/2006/main" count="1134" uniqueCount="248">
  <si>
    <t>Images</t>
  </si>
  <si>
    <t>Article Number</t>
  </si>
  <si>
    <t>Key Category</t>
  </si>
  <si>
    <t>Model Name</t>
  </si>
  <si>
    <t>Colourway</t>
  </si>
  <si>
    <t>Age Group</t>
  </si>
  <si>
    <t>Gender</t>
  </si>
  <si>
    <t>Corporate Marketing Line</t>
  </si>
  <si>
    <t>Product Line</t>
  </si>
  <si>
    <t>Product Type</t>
  </si>
  <si>
    <t>Sports Category</t>
  </si>
  <si>
    <t>MOQ CONDITIONS</t>
  </si>
  <si>
    <t>Material
Composition</t>
  </si>
  <si>
    <t>Retail Price</t>
  </si>
  <si>
    <t>PRICE</t>
  </si>
  <si>
    <t>DISCOUNT</t>
  </si>
  <si>
    <t>KJ3418</t>
  </si>
  <si>
    <t>FOOTBALL FTW</t>
  </si>
  <si>
    <t>F50 HYPERFAST LEAGUE LL FG</t>
  </si>
  <si>
    <t>pulse mint/night navy/Solar Lemon</t>
  </si>
  <si>
    <t>ADULT</t>
  </si>
  <si>
    <t>UNISEX</t>
  </si>
  <si>
    <t>SPORT PERFORMANCE</t>
  </si>
  <si>
    <t>FOOTBALL FTW MEN</t>
  </si>
  <si>
    <t>FOOTBALL SHOES (FIRM GROUND)</t>
  </si>
  <si>
    <t>FOOTBALL/SOCCER</t>
  </si>
  <si>
    <t>MOQ=150</t>
  </si>
  <si>
    <t>SYNTHETICS,TEXTILE TEXTILE TEXTILE SYNTHETICS</t>
  </si>
  <si>
    <t>G</t>
  </si>
  <si>
    <t>JR9617</t>
  </si>
  <si>
    <t>OTHER SPECIALIST SPORTS FTW</t>
  </si>
  <si>
    <t>Speedcourt K Velcro</t>
  </si>
  <si>
    <t>core black/ftwr white/core black</t>
  </si>
  <si>
    <t>KIDS</t>
  </si>
  <si>
    <t>OTHER SPECIALIST SPORTS FTW ALL</t>
  </si>
  <si>
    <t>SHOES - LOW (NON FOOTBALL)</t>
  </si>
  <si>
    <t>INDOOR</t>
  </si>
  <si>
    <t>TEXTILE,SYNTHETICS TEXTILE TEXTILE RUBBER</t>
  </si>
  <si>
    <t>E</t>
  </si>
  <si>
    <t>KJ3412</t>
  </si>
  <si>
    <t>F50 HYPERFAST LEAGUE FG</t>
  </si>
  <si>
    <t>ftwr white/Solar Purple/Solar Turbo</t>
  </si>
  <si>
    <t>SYNTHETICS TEXTILE TEXTILE SYNTHETICS</t>
  </si>
  <si>
    <t>KK1335</t>
  </si>
  <si>
    <t>F50 HYPERFAST CLUB VEL TF J</t>
  </si>
  <si>
    <t>FOOTBALL FTW KIDS</t>
  </si>
  <si>
    <t>FOOTBALL SHOES (TURF)</t>
  </si>
  <si>
    <t>SYNTHETICS TEXTILE TEXTILE RUBBER</t>
  </si>
  <si>
    <t>HP7167</t>
  </si>
  <si>
    <t>F50 HYPERFAST LEAGUE AG</t>
  </si>
  <si>
    <t>FOOTBALL SHOES (ARTIFICIAL GRASS)</t>
  </si>
  <si>
    <t>KK1367</t>
  </si>
  <si>
    <t>F50 HYPERFAST CLUB TF J</t>
  </si>
  <si>
    <t>KK3849</t>
  </si>
  <si>
    <t>TENNIS FTW</t>
  </si>
  <si>
    <t>Ubersonic k</t>
  </si>
  <si>
    <t>Distilled Pink/Distilled Pink/ftwr white</t>
  </si>
  <si>
    <t>TENNIS FTW KIDS</t>
  </si>
  <si>
    <t>TENNIS</t>
  </si>
  <si>
    <t>KK2044</t>
  </si>
  <si>
    <t>Ligra 8 M</t>
  </si>
  <si>
    <t>ftwr white/Equipment Green/grey one</t>
  </si>
  <si>
    <t>MALE</t>
  </si>
  <si>
    <t>KK2043</t>
  </si>
  <si>
    <t>Solar Purple/ftwr white/Solar Lemon</t>
  </si>
  <si>
    <t>KK3850</t>
  </si>
  <si>
    <t>ftwr white/core black/ftwr white</t>
  </si>
  <si>
    <t>KK1314</t>
  </si>
  <si>
    <t>F50 HYPERFAST LEAGUE LL FG J</t>
  </si>
  <si>
    <t>KK1742</t>
  </si>
  <si>
    <t>OUTDOOR FTW</t>
  </si>
  <si>
    <t>TERREX TRACEFINDER MINECRAFT J</t>
  </si>
  <si>
    <t>hazy green/wonder alumina/chalky brown</t>
  </si>
  <si>
    <t>JUNIOR</t>
  </si>
  <si>
    <t>TERREX</t>
  </si>
  <si>
    <t>OUTDOOR FTW KIDS</t>
  </si>
  <si>
    <t>TRAIL RUNNING</t>
  </si>
  <si>
    <t>SYNTHETICS,TEXTILE TEXTILE TEXTILE RUBBER</t>
  </si>
  <si>
    <t>D</t>
  </si>
  <si>
    <t>KK1741</t>
  </si>
  <si>
    <t>glory grey/dark blue/grey one</t>
  </si>
  <si>
    <t>IH4453</t>
  </si>
  <si>
    <t>F50 HYPERFAST ELITE FG J</t>
  </si>
  <si>
    <t>SYNTHETICS,TEXTILE SYNTHETICS TEXTILE SYNTHETICS</t>
  </si>
  <si>
    <t>IH4450</t>
  </si>
  <si>
    <t>core black/core black/Lucid Ray Blue</t>
  </si>
  <si>
    <t>KJ6075</t>
  </si>
  <si>
    <t>F50 HYPERFAST ELITE LL FG</t>
  </si>
  <si>
    <t>pulse mint/core black/Solar Lemon</t>
  </si>
  <si>
    <t>KJ0670</t>
  </si>
  <si>
    <t>F50 HYPERFAST CLUB MID FG/MG J</t>
  </si>
  <si>
    <t>KJ6074</t>
  </si>
  <si>
    <t>KK1365</t>
  </si>
  <si>
    <t>KK1368</t>
  </si>
  <si>
    <t>HQ5107</t>
  </si>
  <si>
    <t>TERREX TRACEFINDER PLUS GTX</t>
  </si>
  <si>
    <t>brown oxide/light brown/Aurora Coffee</t>
  </si>
  <si>
    <t>OUTDOOR FTW MEN</t>
  </si>
  <si>
    <t>KJ3792</t>
  </si>
  <si>
    <t>core black/grey five/core black</t>
  </si>
  <si>
    <t>HQ5108</t>
  </si>
  <si>
    <t>legend ink/grey three/core black</t>
  </si>
  <si>
    <t>KK1306</t>
  </si>
  <si>
    <t>F50 HYPERFAST CLUB FG/MG J</t>
  </si>
  <si>
    <t>KK1332</t>
  </si>
  <si>
    <t>F50 HYPERFAST CLUB VEL FG/MG J</t>
  </si>
  <si>
    <t>KJ4449</t>
  </si>
  <si>
    <t>DEPORTIVO III FxG</t>
  </si>
  <si>
    <t>KJ4456</t>
  </si>
  <si>
    <t>DEPORTIVO III TF</t>
  </si>
  <si>
    <t>KJ4455</t>
  </si>
  <si>
    <t>DEPORTIVO III IN</t>
  </si>
  <si>
    <t>FOOTBALL SHOES (INDOOR)</t>
  </si>
  <si>
    <t>KJ4453</t>
  </si>
  <si>
    <t>DEPORTIVO III IN J</t>
  </si>
  <si>
    <t>KJ4457</t>
  </si>
  <si>
    <t>DEPORTIVO III TF J</t>
  </si>
  <si>
    <t>KJ4452</t>
  </si>
  <si>
    <t>DEPORTIVO III FxG J</t>
  </si>
  <si>
    <t>IH4637</t>
  </si>
  <si>
    <t>CRAZYFLIGHT 7 MID M</t>
  </si>
  <si>
    <t>ftwr white/ftwr white/iron met.</t>
  </si>
  <si>
    <t>SHOES - MID (NON-FOOTBALL)</t>
  </si>
  <si>
    <t>KK1398</t>
  </si>
  <si>
    <t>F50 HYPERFAST LEAGUE FG J</t>
  </si>
  <si>
    <t>KJ5666</t>
  </si>
  <si>
    <t>CRAZYFLIGHT 7 MID W</t>
  </si>
  <si>
    <t>ftwr white/Ice Gold Met./Solar Turbo</t>
  </si>
  <si>
    <t>FEMALE</t>
  </si>
  <si>
    <t>F</t>
  </si>
  <si>
    <t>KK1397</t>
  </si>
  <si>
    <t>KI3587</t>
  </si>
  <si>
    <t>Crazyquick LS Padel M</t>
  </si>
  <si>
    <t>Solar Turbo/core black/lucid red</t>
  </si>
  <si>
    <t>PADEL</t>
  </si>
  <si>
    <t>KI3588</t>
  </si>
  <si>
    <t>Crazyquick LS Padel W</t>
  </si>
  <si>
    <t>clear mint/silver met./ftwr white</t>
  </si>
  <si>
    <t>JR1763</t>
  </si>
  <si>
    <t>Barricade 14 W</t>
  </si>
  <si>
    <t>ADIDAS TENNIS FTW WOMEN</t>
  </si>
  <si>
    <t>KI3438</t>
  </si>
  <si>
    <t xml:space="preserve">Barricade 14 M </t>
  </si>
  <si>
    <t>ADIDAS TENNIS FTW MEN</t>
  </si>
  <si>
    <t>TBC</t>
  </si>
  <si>
    <t>KJ3436</t>
  </si>
  <si>
    <t>F50 HYPERFAST LEAGUE TF</t>
  </si>
  <si>
    <t>SYNTHETICS,TEXTILE SYNTHETICS TEXTILE RUBBER</t>
  </si>
  <si>
    <t>KJ3435</t>
  </si>
  <si>
    <t>KJ3434</t>
  </si>
  <si>
    <t>IH1893</t>
  </si>
  <si>
    <t>F50 MESSI ELITE FG</t>
  </si>
  <si>
    <t>lucid red/core black/pure ruby</t>
  </si>
  <si>
    <t>SYNTHETICS SYNTHETICS SYNTHETICS SYNTHETICS</t>
  </si>
  <si>
    <t>KJ6092</t>
  </si>
  <si>
    <t>F50 HYPERFAST PRO TF</t>
  </si>
  <si>
    <t>HQ5096</t>
  </si>
  <si>
    <t>TERREX TRACEFINDER 2 CLIMA</t>
  </si>
  <si>
    <t>HQ5097</t>
  </si>
  <si>
    <t>legend ink/grey two/grey three</t>
  </si>
  <si>
    <t>IH4669</t>
  </si>
  <si>
    <t>AvaFlash 2</t>
  </si>
  <si>
    <t>ftwr white/ftwr white/silver met.</t>
  </si>
  <si>
    <t>KJ3103</t>
  </si>
  <si>
    <t>Distilled Pink/Distilled Pink/maroon</t>
  </si>
  <si>
    <t>KI1167</t>
  </si>
  <si>
    <t>core black/core black/silver met.</t>
  </si>
  <si>
    <t>KJ0991</t>
  </si>
  <si>
    <t>F50 HYPERFAST CLUB FG/MG</t>
  </si>
  <si>
    <t>KJ0992</t>
  </si>
  <si>
    <t>KJ0990</t>
  </si>
  <si>
    <t>KJ3438</t>
  </si>
  <si>
    <t>F50 HYPERFAST PRO FG</t>
  </si>
  <si>
    <t>KJ3439</t>
  </si>
  <si>
    <t>KK1061</t>
  </si>
  <si>
    <t>F50 HYPERFAST LEAGUE IN</t>
  </si>
  <si>
    <t>HQ5101</t>
  </si>
  <si>
    <t>TERREX TRACEFINDER 2 CLIMA W</t>
  </si>
  <si>
    <t>Aurora Coffee/wonder white/magic mauve</t>
  </si>
  <si>
    <t>OUTDOOR FTW WOMEN</t>
  </si>
  <si>
    <t>KJ3408</t>
  </si>
  <si>
    <t>F50 HYPERFAST CLUB TF</t>
  </si>
  <si>
    <t>KJ3409</t>
  </si>
  <si>
    <t>KI3593</t>
  </si>
  <si>
    <t>Crazyquick Padel Kids</t>
  </si>
  <si>
    <t>Solar Turbo/core black/off white</t>
  </si>
  <si>
    <t>KK4411</t>
  </si>
  <si>
    <t>Barricade 14 M S</t>
  </si>
  <si>
    <t>KJ9559</t>
  </si>
  <si>
    <t>CRAZYFLIGHT 7 W</t>
  </si>
  <si>
    <t>clear sky/Frozen Turbo/off white</t>
  </si>
  <si>
    <t>IH2088</t>
  </si>
  <si>
    <t>PREDATOR CLUB FT EL TF J</t>
  </si>
  <si>
    <t>core black/silver met./pulse mint</t>
  </si>
  <si>
    <t>IH2114</t>
  </si>
  <si>
    <t>PREDATOR CLUB FT TF</t>
  </si>
  <si>
    <t>IH2110</t>
  </si>
  <si>
    <t>PREDATOR ELITE FT FG J</t>
  </si>
  <si>
    <t>JR9142</t>
  </si>
  <si>
    <t>TERREX TRACEFINDER 2 W</t>
  </si>
  <si>
    <t>halo green/off white/Lucid Tangerine</t>
  </si>
  <si>
    <t>TEXTILE TEXTILE TEXTILE RUBBER</t>
  </si>
  <si>
    <t>KK1433</t>
  </si>
  <si>
    <t>F50 HYPERFAST CRIB I</t>
  </si>
  <si>
    <t>INFANT</t>
  </si>
  <si>
    <t>A</t>
  </si>
  <si>
    <t>KK1308</t>
  </si>
  <si>
    <t>IH4586</t>
  </si>
  <si>
    <t>F50 HYPERFAST LEAGUE MID TF</t>
  </si>
  <si>
    <t>KJ3415</t>
  </si>
  <si>
    <t>KJ6089</t>
  </si>
  <si>
    <t>F50 HYPERFAST ELITE AG</t>
  </si>
  <si>
    <t>IH7204</t>
  </si>
  <si>
    <t>KK1322</t>
  </si>
  <si>
    <t>F50 HYPERFAST LEAGUE MID TF J</t>
  </si>
  <si>
    <t>IH7270</t>
  </si>
  <si>
    <t>CRAZYFLIGHT 7 M</t>
  </si>
  <si>
    <t>ftwr white/Solar Turbo/ftwr white</t>
  </si>
  <si>
    <t>KJ6083</t>
  </si>
  <si>
    <t>F50 HYPERFAST ELITE SG</t>
  </si>
  <si>
    <t>FOOTBALL SHOES (SOFT GROUND)</t>
  </si>
  <si>
    <t>KJ6084</t>
  </si>
  <si>
    <t>KK1341</t>
  </si>
  <si>
    <t>F50 HYPERFAST CLUB IN J</t>
  </si>
  <si>
    <t>KK1339</t>
  </si>
  <si>
    <t>KK2068</t>
  </si>
  <si>
    <t>Speedcourt W</t>
  </si>
  <si>
    <t>ice blue/Frozen Turbo/ftwr white</t>
  </si>
  <si>
    <t>KK2070</t>
  </si>
  <si>
    <t>Speedcourt M</t>
  </si>
  <si>
    <t>Solar Purple/screaming green/ftwr white</t>
  </si>
  <si>
    <t>KK2069</t>
  </si>
  <si>
    <t>grey two/Equipment Green/ftwr white</t>
  </si>
  <si>
    <t>KK2077</t>
  </si>
  <si>
    <t>Speedcourt k</t>
  </si>
  <si>
    <t>clear sky/ftwr white/ftwr white</t>
  </si>
  <si>
    <t>KJ9651</t>
  </si>
  <si>
    <t>Court Team 2.0 W</t>
  </si>
  <si>
    <t>Distilled Pink/Distilled Pink/Distilled Pink</t>
  </si>
  <si>
    <t>KJ9649</t>
  </si>
  <si>
    <t>Court Team 2.0 M</t>
  </si>
  <si>
    <t>ftwr white/Solar Purple/Solar Lemon</t>
  </si>
  <si>
    <t>IH1994</t>
  </si>
  <si>
    <t>PREDATOR ELITE LL FG J</t>
  </si>
  <si>
    <t>ftwr white/Solar Turbo/core black</t>
  </si>
  <si>
    <t>KJ6745</t>
  </si>
  <si>
    <t xml:space="preserve">PREDATOR CLUB VEL FG/MG C </t>
  </si>
  <si>
    <t>IH2109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</si>
</sst>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[$$-409]* #,##0.00&quot; &quot;;&quot; &quot;[$$-409]* (#,##0.00);&quot; &quot;[$$-409]* &quot;-&quot;??&quot; &quot;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CEEBF6"/>
        <bgColor rgb="FFCEEBF6"/>
      </patternFill>
    </fill>
    <fill>
      <patternFill patternType="solid">
        <fgColor rgb="FFFF99FF"/>
        <bgColor rgb="FFFF99FF"/>
      </patternFill>
    </fill>
    <fill>
      <patternFill patternType="solid">
        <fgColor rgb="FFE6E9EB"/>
        <bgColor rgb="FFE6E9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wrapText="1"/>
    </xf>
    <xf borderId="1" fillId="3" fontId="2" numFmtId="49" xfId="0" applyAlignment="1" applyBorder="1" applyFill="1" applyFont="1" applyNumberFormat="1">
      <alignment horizontal="center" shrinkToFit="0" wrapText="1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4" fontId="3" numFmtId="49" xfId="0" applyAlignment="1" applyBorder="1" applyFill="1" applyFont="1" applyNumberFormat="1">
      <alignment horizontal="center"/>
    </xf>
    <xf borderId="1" fillId="4" fontId="4" numFmtId="49" xfId="0" applyAlignment="1" applyBorder="1" applyFont="1" applyNumberFormat="1">
      <alignment horizontal="center"/>
    </xf>
    <xf borderId="1" fillId="4" fontId="4" numFmtId="164" xfId="0" applyAlignment="1" applyBorder="1" applyFont="1" applyNumberFormat="1">
      <alignment horizontal="center"/>
    </xf>
    <xf borderId="1" fillId="4" fontId="4" numFmtId="9" xfId="0" applyAlignment="1" applyBorder="1" applyFont="1" applyNumberFormat="1">
      <alignment horizontal="center"/>
    </xf>
    <xf borderId="1" fillId="5" fontId="3" numFmtId="0" xfId="0" applyBorder="1" applyFill="1" applyFont="1"/>
    <xf borderId="1" fillId="6" fontId="3" numFmtId="0" xfId="0" applyBorder="1" applyFill="1" applyFont="1"/>
    <xf borderId="1" fillId="6" fontId="3" numFmtId="49" xfId="0" applyAlignment="1" applyBorder="1" applyFont="1" applyNumberFormat="1">
      <alignment horizontal="center"/>
    </xf>
    <xf borderId="1" fillId="7" fontId="3" numFmtId="0" xfId="0" applyBorder="1" applyFill="1" applyFont="1"/>
    <xf borderId="1" fillId="7" fontId="3" numFmtId="49" xfId="0" applyAlignment="1" applyBorder="1" applyFont="1" applyNumberFormat="1">
      <alignment horizontal="center"/>
    </xf>
    <xf borderId="1" fillId="3" fontId="3" numFmtId="0" xfId="0" applyBorder="1" applyFont="1"/>
    <xf borderId="1" fillId="3" fontId="3" numFmtId="49" xfId="0" applyAlignment="1" applyBorder="1" applyFont="1" applyNumberFormat="1">
      <alignment horizontal="center"/>
    </xf>
    <xf borderId="1" fillId="8" fontId="3" numFmtId="0" xfId="0" applyBorder="1" applyFill="1" applyFont="1"/>
    <xf borderId="1" fillId="8" fontId="3" numFmtId="49" xfId="0" applyAlignment="1" applyBorder="1" applyFont="1" applyNumberFormat="1">
      <alignment horizontal="center"/>
    </xf>
    <xf borderId="1" fillId="9" fontId="3" numFmtId="0" xfId="0" applyBorder="1" applyFill="1" applyFont="1"/>
    <xf borderId="1" fillId="9" fontId="3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</row>
    <row r="2">
      <c r="A2" s="3"/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6" t="s">
        <v>27</v>
      </c>
      <c r="N2" s="7">
        <v>104.4</v>
      </c>
      <c r="O2" s="7">
        <v>39.56004</v>
      </c>
      <c r="P2" s="8">
        <f t="shared" ref="P2:P87" si="1">1-O2/N2</f>
        <v>0.6210724138</v>
      </c>
      <c r="Q2" s="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9"/>
      <c r="AN2" s="9"/>
      <c r="AO2" s="9"/>
      <c r="AP2" s="11" t="s">
        <v>28</v>
      </c>
      <c r="AQ2" s="4"/>
    </row>
    <row r="3">
      <c r="A3" s="3"/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21</v>
      </c>
      <c r="H3" s="5" t="s">
        <v>22</v>
      </c>
      <c r="I3" s="5" t="s">
        <v>34</v>
      </c>
      <c r="J3" s="5" t="s">
        <v>35</v>
      </c>
      <c r="K3" s="5" t="s">
        <v>36</v>
      </c>
      <c r="L3" s="5" t="s">
        <v>26</v>
      </c>
      <c r="M3" s="6" t="s">
        <v>37</v>
      </c>
      <c r="N3" s="7">
        <v>52.2</v>
      </c>
      <c r="O3" s="7">
        <v>19.99188</v>
      </c>
      <c r="P3" s="8">
        <f t="shared" si="1"/>
        <v>0.6170137931</v>
      </c>
      <c r="Q3" s="9"/>
      <c r="R3" s="9"/>
      <c r="S3" s="9"/>
      <c r="T3" s="9"/>
      <c r="U3" s="9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9"/>
      <c r="AO3" s="9"/>
      <c r="AP3" s="13" t="s">
        <v>38</v>
      </c>
      <c r="AQ3" s="4"/>
    </row>
    <row r="4">
      <c r="A4" s="3"/>
      <c r="B4" s="5" t="s">
        <v>39</v>
      </c>
      <c r="C4" s="5" t="s">
        <v>17</v>
      </c>
      <c r="D4" s="5" t="s">
        <v>40</v>
      </c>
      <c r="E4" s="5" t="s">
        <v>41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6" t="s">
        <v>42</v>
      </c>
      <c r="N4" s="7">
        <v>104.4</v>
      </c>
      <c r="O4" s="7">
        <v>39.56004</v>
      </c>
      <c r="P4" s="8">
        <f t="shared" si="1"/>
        <v>0.6210724138</v>
      </c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9"/>
      <c r="AN4" s="9"/>
      <c r="AO4" s="9"/>
      <c r="AP4" s="11" t="s">
        <v>28</v>
      </c>
      <c r="AQ4" s="4"/>
    </row>
    <row r="5">
      <c r="A5" s="3"/>
      <c r="B5" s="5" t="s">
        <v>43</v>
      </c>
      <c r="C5" s="5" t="s">
        <v>17</v>
      </c>
      <c r="D5" s="5" t="s">
        <v>44</v>
      </c>
      <c r="E5" s="5" t="s">
        <v>41</v>
      </c>
      <c r="F5" s="5" t="s">
        <v>33</v>
      </c>
      <c r="G5" s="5" t="s">
        <v>21</v>
      </c>
      <c r="H5" s="5" t="s">
        <v>22</v>
      </c>
      <c r="I5" s="5" t="s">
        <v>45</v>
      </c>
      <c r="J5" s="5" t="s">
        <v>46</v>
      </c>
      <c r="K5" s="5" t="s">
        <v>25</v>
      </c>
      <c r="L5" s="5" t="s">
        <v>26</v>
      </c>
      <c r="M5" s="6" t="s">
        <v>47</v>
      </c>
      <c r="N5" s="7">
        <v>58.0</v>
      </c>
      <c r="O5" s="7">
        <v>23.04459</v>
      </c>
      <c r="P5" s="8">
        <f t="shared" si="1"/>
        <v>0.6026794828</v>
      </c>
      <c r="Q5" s="9"/>
      <c r="R5" s="9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9"/>
      <c r="AO5" s="9"/>
      <c r="AP5" s="13" t="s">
        <v>38</v>
      </c>
      <c r="AQ5" s="4"/>
    </row>
    <row r="6">
      <c r="A6" s="3"/>
      <c r="B6" s="5" t="s">
        <v>48</v>
      </c>
      <c r="C6" s="5" t="s">
        <v>17</v>
      </c>
      <c r="D6" s="5" t="s">
        <v>49</v>
      </c>
      <c r="E6" s="5" t="s">
        <v>41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50</v>
      </c>
      <c r="K6" s="5" t="s">
        <v>25</v>
      </c>
      <c r="L6" s="5" t="s">
        <v>26</v>
      </c>
      <c r="M6" s="6" t="s">
        <v>42</v>
      </c>
      <c r="N6" s="7">
        <v>104.4</v>
      </c>
      <c r="O6" s="7">
        <v>39.56004</v>
      </c>
      <c r="P6" s="8">
        <f t="shared" si="1"/>
        <v>0.6210724138</v>
      </c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/>
      <c r="AM6" s="9"/>
      <c r="AN6" s="9"/>
      <c r="AO6" s="9"/>
      <c r="AP6" s="11" t="s">
        <v>28</v>
      </c>
      <c r="AQ6" s="4"/>
    </row>
    <row r="7">
      <c r="A7" s="3"/>
      <c r="B7" s="5" t="s">
        <v>51</v>
      </c>
      <c r="C7" s="5" t="s">
        <v>17</v>
      </c>
      <c r="D7" s="5" t="s">
        <v>52</v>
      </c>
      <c r="E7" s="5" t="s">
        <v>19</v>
      </c>
      <c r="F7" s="5" t="s">
        <v>33</v>
      </c>
      <c r="G7" s="5" t="s">
        <v>21</v>
      </c>
      <c r="H7" s="5" t="s">
        <v>22</v>
      </c>
      <c r="I7" s="5" t="s">
        <v>45</v>
      </c>
      <c r="J7" s="5" t="s">
        <v>46</v>
      </c>
      <c r="K7" s="5" t="s">
        <v>25</v>
      </c>
      <c r="L7" s="5" t="s">
        <v>26</v>
      </c>
      <c r="M7" s="6" t="s">
        <v>47</v>
      </c>
      <c r="N7" s="7">
        <v>58.0</v>
      </c>
      <c r="O7" s="7">
        <v>23.04459</v>
      </c>
      <c r="P7" s="8">
        <f t="shared" si="1"/>
        <v>0.6026794828</v>
      </c>
      <c r="Q7" s="9"/>
      <c r="R7" s="9"/>
      <c r="S7" s="9"/>
      <c r="T7" s="9"/>
      <c r="U7" s="9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9"/>
      <c r="AO7" s="9"/>
      <c r="AP7" s="13" t="s">
        <v>38</v>
      </c>
      <c r="AQ7" s="4"/>
    </row>
    <row r="8">
      <c r="A8" s="3"/>
      <c r="B8" s="5" t="s">
        <v>53</v>
      </c>
      <c r="C8" s="5" t="s">
        <v>54</v>
      </c>
      <c r="D8" s="5" t="s">
        <v>55</v>
      </c>
      <c r="E8" s="5" t="s">
        <v>56</v>
      </c>
      <c r="F8" s="5" t="s">
        <v>33</v>
      </c>
      <c r="G8" s="5" t="s">
        <v>21</v>
      </c>
      <c r="H8" s="5" t="s">
        <v>22</v>
      </c>
      <c r="I8" s="5" t="s">
        <v>57</v>
      </c>
      <c r="J8" s="5" t="s">
        <v>35</v>
      </c>
      <c r="K8" s="5" t="s">
        <v>58</v>
      </c>
      <c r="L8" s="5" t="s">
        <v>26</v>
      </c>
      <c r="M8" s="6" t="s">
        <v>37</v>
      </c>
      <c r="N8" s="7">
        <v>69.6</v>
      </c>
      <c r="O8" s="7">
        <v>26.95437</v>
      </c>
      <c r="P8" s="8">
        <f t="shared" si="1"/>
        <v>0.612724569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9"/>
      <c r="AP8" s="13" t="s">
        <v>38</v>
      </c>
      <c r="AQ8" s="4"/>
    </row>
    <row r="9">
      <c r="A9" s="3"/>
      <c r="B9" s="5" t="s">
        <v>59</v>
      </c>
      <c r="C9" s="5" t="s">
        <v>30</v>
      </c>
      <c r="D9" s="5" t="s">
        <v>60</v>
      </c>
      <c r="E9" s="5" t="s">
        <v>61</v>
      </c>
      <c r="F9" s="5" t="s">
        <v>20</v>
      </c>
      <c r="G9" s="5" t="s">
        <v>62</v>
      </c>
      <c r="H9" s="5" t="s">
        <v>22</v>
      </c>
      <c r="I9" s="5" t="s">
        <v>34</v>
      </c>
      <c r="J9" s="5" t="s">
        <v>35</v>
      </c>
      <c r="K9" s="5" t="s">
        <v>36</v>
      </c>
      <c r="L9" s="5" t="s">
        <v>26</v>
      </c>
      <c r="M9" s="6" t="s">
        <v>37</v>
      </c>
      <c r="N9" s="7">
        <v>81.2</v>
      </c>
      <c r="O9" s="7">
        <v>31.30713</v>
      </c>
      <c r="P9" s="8">
        <f t="shared" si="1"/>
        <v>0.6144442118</v>
      </c>
      <c r="Q9" s="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9"/>
      <c r="AO9" s="10"/>
      <c r="AP9" s="11" t="s">
        <v>28</v>
      </c>
      <c r="AQ9" s="4"/>
    </row>
    <row r="10">
      <c r="A10" s="3"/>
      <c r="B10" s="5" t="s">
        <v>63</v>
      </c>
      <c r="C10" s="5" t="s">
        <v>30</v>
      </c>
      <c r="D10" s="5" t="s">
        <v>60</v>
      </c>
      <c r="E10" s="5" t="s">
        <v>64</v>
      </c>
      <c r="F10" s="5" t="s">
        <v>20</v>
      </c>
      <c r="G10" s="5" t="s">
        <v>62</v>
      </c>
      <c r="H10" s="5" t="s">
        <v>22</v>
      </c>
      <c r="I10" s="5" t="s">
        <v>34</v>
      </c>
      <c r="J10" s="5" t="s">
        <v>35</v>
      </c>
      <c r="K10" s="5" t="s">
        <v>36</v>
      </c>
      <c r="L10" s="5" t="s">
        <v>26</v>
      </c>
      <c r="M10" s="6" t="s">
        <v>37</v>
      </c>
      <c r="N10" s="7">
        <v>81.2</v>
      </c>
      <c r="O10" s="7">
        <v>31.30713</v>
      </c>
      <c r="P10" s="8">
        <f t="shared" si="1"/>
        <v>0.6144442118</v>
      </c>
      <c r="Q10" s="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9"/>
      <c r="AO10" s="10"/>
      <c r="AP10" s="11" t="s">
        <v>28</v>
      </c>
      <c r="AQ10" s="4"/>
    </row>
    <row r="11">
      <c r="A11" s="3"/>
      <c r="B11" s="5" t="s">
        <v>65</v>
      </c>
      <c r="C11" s="5" t="s">
        <v>54</v>
      </c>
      <c r="D11" s="5" t="s">
        <v>55</v>
      </c>
      <c r="E11" s="5" t="s">
        <v>66</v>
      </c>
      <c r="F11" s="5" t="s">
        <v>33</v>
      </c>
      <c r="G11" s="5" t="s">
        <v>21</v>
      </c>
      <c r="H11" s="5" t="s">
        <v>22</v>
      </c>
      <c r="I11" s="5" t="s">
        <v>57</v>
      </c>
      <c r="J11" s="5" t="s">
        <v>35</v>
      </c>
      <c r="K11" s="5" t="s">
        <v>58</v>
      </c>
      <c r="L11" s="5" t="s">
        <v>26</v>
      </c>
      <c r="M11" s="6" t="s">
        <v>37</v>
      </c>
      <c r="N11" s="7">
        <v>69.6</v>
      </c>
      <c r="O11" s="7">
        <v>26.95437</v>
      </c>
      <c r="P11" s="8">
        <f t="shared" si="1"/>
        <v>0.612724569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9"/>
      <c r="AP11" s="13" t="s">
        <v>38</v>
      </c>
      <c r="AQ11" s="4"/>
    </row>
    <row r="12">
      <c r="A12" s="3"/>
      <c r="B12" s="5" t="s">
        <v>67</v>
      </c>
      <c r="C12" s="5" t="s">
        <v>17</v>
      </c>
      <c r="D12" s="5" t="s">
        <v>68</v>
      </c>
      <c r="E12" s="5" t="s">
        <v>41</v>
      </c>
      <c r="F12" s="5" t="s">
        <v>33</v>
      </c>
      <c r="G12" s="5" t="s">
        <v>21</v>
      </c>
      <c r="H12" s="5" t="s">
        <v>22</v>
      </c>
      <c r="I12" s="5" t="s">
        <v>45</v>
      </c>
      <c r="J12" s="5" t="s">
        <v>24</v>
      </c>
      <c r="K12" s="5" t="s">
        <v>25</v>
      </c>
      <c r="L12" s="5" t="s">
        <v>26</v>
      </c>
      <c r="M12" s="6" t="s">
        <v>27</v>
      </c>
      <c r="N12" s="7">
        <v>81.2</v>
      </c>
      <c r="O12" s="7">
        <v>31.30713</v>
      </c>
      <c r="P12" s="8">
        <f t="shared" si="1"/>
        <v>0.6144442118</v>
      </c>
      <c r="Q12" s="9"/>
      <c r="R12" s="9"/>
      <c r="S12" s="9"/>
      <c r="T12" s="9"/>
      <c r="U12" s="9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9"/>
      <c r="AO12" s="9"/>
      <c r="AP12" s="13" t="s">
        <v>38</v>
      </c>
      <c r="AQ12" s="4"/>
    </row>
    <row r="13">
      <c r="A13" s="3"/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21</v>
      </c>
      <c r="H13" s="5" t="s">
        <v>74</v>
      </c>
      <c r="I13" s="5" t="s">
        <v>75</v>
      </c>
      <c r="J13" s="5" t="s">
        <v>35</v>
      </c>
      <c r="K13" s="5" t="s">
        <v>76</v>
      </c>
      <c r="L13" s="5" t="s">
        <v>26</v>
      </c>
      <c r="M13" s="6" t="s">
        <v>77</v>
      </c>
      <c r="N13" s="7">
        <v>69.6</v>
      </c>
      <c r="O13" s="7">
        <v>26.95437</v>
      </c>
      <c r="P13" s="8">
        <f t="shared" si="1"/>
        <v>0.612724569</v>
      </c>
      <c r="Q13" s="14"/>
      <c r="R13" s="14"/>
      <c r="S13" s="14"/>
      <c r="T13" s="14"/>
      <c r="U13" s="14"/>
      <c r="V13" s="14"/>
      <c r="W13" s="14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15" t="s">
        <v>78</v>
      </c>
      <c r="AQ13" s="4"/>
    </row>
    <row r="14">
      <c r="A14" s="3"/>
      <c r="B14" s="5" t="s">
        <v>79</v>
      </c>
      <c r="C14" s="5" t="s">
        <v>70</v>
      </c>
      <c r="D14" s="5" t="s">
        <v>71</v>
      </c>
      <c r="E14" s="5" t="s">
        <v>80</v>
      </c>
      <c r="F14" s="5" t="s">
        <v>73</v>
      </c>
      <c r="G14" s="5" t="s">
        <v>21</v>
      </c>
      <c r="H14" s="5" t="s">
        <v>74</v>
      </c>
      <c r="I14" s="5" t="s">
        <v>75</v>
      </c>
      <c r="J14" s="5" t="s">
        <v>35</v>
      </c>
      <c r="K14" s="5" t="s">
        <v>76</v>
      </c>
      <c r="L14" s="5" t="s">
        <v>26</v>
      </c>
      <c r="M14" s="6" t="s">
        <v>77</v>
      </c>
      <c r="N14" s="7">
        <v>69.6</v>
      </c>
      <c r="O14" s="7">
        <v>26.95437</v>
      </c>
      <c r="P14" s="8">
        <f t="shared" si="1"/>
        <v>0.612724569</v>
      </c>
      <c r="Q14" s="14"/>
      <c r="R14" s="14"/>
      <c r="S14" s="14"/>
      <c r="T14" s="14"/>
      <c r="U14" s="14"/>
      <c r="V14" s="14"/>
      <c r="W14" s="14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15" t="s">
        <v>78</v>
      </c>
      <c r="AQ14" s="4"/>
    </row>
    <row r="15">
      <c r="A15" s="3"/>
      <c r="B15" s="5" t="s">
        <v>81</v>
      </c>
      <c r="C15" s="5" t="s">
        <v>17</v>
      </c>
      <c r="D15" s="5" t="s">
        <v>82</v>
      </c>
      <c r="E15" s="5" t="s">
        <v>41</v>
      </c>
      <c r="F15" s="5" t="s">
        <v>33</v>
      </c>
      <c r="G15" s="5" t="s">
        <v>21</v>
      </c>
      <c r="H15" s="5" t="s">
        <v>22</v>
      </c>
      <c r="I15" s="5" t="s">
        <v>45</v>
      </c>
      <c r="J15" s="5" t="s">
        <v>24</v>
      </c>
      <c r="K15" s="5" t="s">
        <v>25</v>
      </c>
      <c r="L15" s="5" t="s">
        <v>26</v>
      </c>
      <c r="M15" s="6" t="s">
        <v>83</v>
      </c>
      <c r="N15" s="7">
        <v>162.4</v>
      </c>
      <c r="O15" s="7">
        <v>62.60463</v>
      </c>
      <c r="P15" s="8">
        <f t="shared" si="1"/>
        <v>0.6145035099</v>
      </c>
      <c r="Q15" s="9"/>
      <c r="R15" s="9"/>
      <c r="S15" s="9"/>
      <c r="T15" s="9"/>
      <c r="U15" s="9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9"/>
      <c r="AO15" s="9"/>
      <c r="AP15" s="13" t="s">
        <v>38</v>
      </c>
      <c r="AQ15" s="4"/>
    </row>
    <row r="16">
      <c r="A16" s="3"/>
      <c r="B16" s="5" t="s">
        <v>84</v>
      </c>
      <c r="C16" s="5" t="s">
        <v>17</v>
      </c>
      <c r="D16" s="5" t="s">
        <v>82</v>
      </c>
      <c r="E16" s="5" t="s">
        <v>85</v>
      </c>
      <c r="F16" s="5" t="s">
        <v>33</v>
      </c>
      <c r="G16" s="5" t="s">
        <v>21</v>
      </c>
      <c r="H16" s="5" t="s">
        <v>22</v>
      </c>
      <c r="I16" s="5" t="s">
        <v>45</v>
      </c>
      <c r="J16" s="5" t="s">
        <v>24</v>
      </c>
      <c r="K16" s="5" t="s">
        <v>25</v>
      </c>
      <c r="L16" s="5" t="s">
        <v>26</v>
      </c>
      <c r="M16" s="6" t="s">
        <v>83</v>
      </c>
      <c r="N16" s="7">
        <v>162.4</v>
      </c>
      <c r="O16" s="7">
        <v>62.60463</v>
      </c>
      <c r="P16" s="8">
        <f t="shared" si="1"/>
        <v>0.6145035099</v>
      </c>
      <c r="Q16" s="9"/>
      <c r="R16" s="9"/>
      <c r="S16" s="9"/>
      <c r="T16" s="9"/>
      <c r="U16" s="9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9"/>
      <c r="AO16" s="9"/>
      <c r="AP16" s="13" t="s">
        <v>38</v>
      </c>
      <c r="AQ16" s="4"/>
    </row>
    <row r="17">
      <c r="A17" s="3"/>
      <c r="B17" s="5" t="s">
        <v>86</v>
      </c>
      <c r="C17" s="5" t="s">
        <v>17</v>
      </c>
      <c r="D17" s="5" t="s">
        <v>87</v>
      </c>
      <c r="E17" s="5" t="s">
        <v>88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24</v>
      </c>
      <c r="K17" s="5" t="s">
        <v>25</v>
      </c>
      <c r="L17" s="5" t="s">
        <v>26</v>
      </c>
      <c r="M17" s="6" t="s">
        <v>83</v>
      </c>
      <c r="N17" s="7">
        <v>313.2</v>
      </c>
      <c r="O17" s="7">
        <v>124.78554</v>
      </c>
      <c r="P17" s="8">
        <f t="shared" si="1"/>
        <v>0.6015787356</v>
      </c>
      <c r="Q17" s="9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9"/>
      <c r="AM17" s="9"/>
      <c r="AN17" s="9"/>
      <c r="AO17" s="9"/>
      <c r="AP17" s="11" t="s">
        <v>28</v>
      </c>
      <c r="AQ17" s="4"/>
    </row>
    <row r="18">
      <c r="A18" s="3"/>
      <c r="B18" s="5" t="s">
        <v>89</v>
      </c>
      <c r="C18" s="5" t="s">
        <v>17</v>
      </c>
      <c r="D18" s="5" t="s">
        <v>90</v>
      </c>
      <c r="E18" s="5" t="s">
        <v>41</v>
      </c>
      <c r="F18" s="5" t="s">
        <v>33</v>
      </c>
      <c r="G18" s="5" t="s">
        <v>21</v>
      </c>
      <c r="H18" s="5" t="s">
        <v>22</v>
      </c>
      <c r="I18" s="5" t="s">
        <v>45</v>
      </c>
      <c r="J18" s="5" t="s">
        <v>24</v>
      </c>
      <c r="K18" s="5" t="s">
        <v>25</v>
      </c>
      <c r="L18" s="5" t="s">
        <v>26</v>
      </c>
      <c r="M18" s="6" t="s">
        <v>27</v>
      </c>
      <c r="N18" s="7">
        <v>58.0</v>
      </c>
      <c r="O18" s="7">
        <v>23.04459</v>
      </c>
      <c r="P18" s="8">
        <f t="shared" si="1"/>
        <v>0.6026794828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9"/>
      <c r="AO18" s="9"/>
      <c r="AP18" s="13" t="s">
        <v>38</v>
      </c>
      <c r="AQ18" s="4"/>
    </row>
    <row r="19">
      <c r="A19" s="3"/>
      <c r="B19" s="5" t="s">
        <v>91</v>
      </c>
      <c r="C19" s="5" t="s">
        <v>17</v>
      </c>
      <c r="D19" s="5" t="s">
        <v>87</v>
      </c>
      <c r="E19" s="5" t="s">
        <v>41</v>
      </c>
      <c r="F19" s="5" t="s">
        <v>20</v>
      </c>
      <c r="G19" s="5" t="s">
        <v>21</v>
      </c>
      <c r="H19" s="5" t="s">
        <v>22</v>
      </c>
      <c r="I19" s="5" t="s">
        <v>23</v>
      </c>
      <c r="J19" s="5" t="s">
        <v>24</v>
      </c>
      <c r="K19" s="5" t="s">
        <v>25</v>
      </c>
      <c r="L19" s="5" t="s">
        <v>26</v>
      </c>
      <c r="M19" s="6" t="s">
        <v>83</v>
      </c>
      <c r="N19" s="7">
        <v>313.2</v>
      </c>
      <c r="O19" s="7">
        <v>124.78554</v>
      </c>
      <c r="P19" s="8">
        <f t="shared" si="1"/>
        <v>0.6015787356</v>
      </c>
      <c r="Q19" s="9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9"/>
      <c r="AM19" s="9"/>
      <c r="AN19" s="9"/>
      <c r="AO19" s="9"/>
      <c r="AP19" s="11" t="s">
        <v>28</v>
      </c>
      <c r="AQ19" s="4"/>
    </row>
    <row r="20">
      <c r="A20" s="3"/>
      <c r="B20" s="5" t="s">
        <v>92</v>
      </c>
      <c r="C20" s="5" t="s">
        <v>17</v>
      </c>
      <c r="D20" s="5" t="s">
        <v>52</v>
      </c>
      <c r="E20" s="5" t="s">
        <v>85</v>
      </c>
      <c r="F20" s="5" t="s">
        <v>33</v>
      </c>
      <c r="G20" s="5" t="s">
        <v>21</v>
      </c>
      <c r="H20" s="5" t="s">
        <v>22</v>
      </c>
      <c r="I20" s="5" t="s">
        <v>45</v>
      </c>
      <c r="J20" s="5" t="s">
        <v>46</v>
      </c>
      <c r="K20" s="5" t="s">
        <v>25</v>
      </c>
      <c r="L20" s="5" t="s">
        <v>26</v>
      </c>
      <c r="M20" s="6" t="s">
        <v>47</v>
      </c>
      <c r="N20" s="7">
        <v>58.0</v>
      </c>
      <c r="O20" s="7">
        <v>23.04459</v>
      </c>
      <c r="P20" s="8">
        <f t="shared" si="1"/>
        <v>0.6026794828</v>
      </c>
      <c r="Q20" s="9"/>
      <c r="R20" s="9"/>
      <c r="S20" s="9"/>
      <c r="T20" s="9"/>
      <c r="U20" s="9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9"/>
      <c r="AO20" s="9"/>
      <c r="AP20" s="13" t="s">
        <v>38</v>
      </c>
      <c r="AQ20" s="4"/>
    </row>
    <row r="21">
      <c r="A21" s="3"/>
      <c r="B21" s="5" t="s">
        <v>93</v>
      </c>
      <c r="C21" s="5" t="s">
        <v>17</v>
      </c>
      <c r="D21" s="5" t="s">
        <v>52</v>
      </c>
      <c r="E21" s="5" t="s">
        <v>41</v>
      </c>
      <c r="F21" s="5" t="s">
        <v>33</v>
      </c>
      <c r="G21" s="5" t="s">
        <v>21</v>
      </c>
      <c r="H21" s="5" t="s">
        <v>22</v>
      </c>
      <c r="I21" s="5" t="s">
        <v>45</v>
      </c>
      <c r="J21" s="5" t="s">
        <v>46</v>
      </c>
      <c r="K21" s="5" t="s">
        <v>25</v>
      </c>
      <c r="L21" s="5" t="s">
        <v>26</v>
      </c>
      <c r="M21" s="6" t="s">
        <v>47</v>
      </c>
      <c r="N21" s="7">
        <v>58.0</v>
      </c>
      <c r="O21" s="7">
        <v>23.04459</v>
      </c>
      <c r="P21" s="8">
        <f t="shared" si="1"/>
        <v>0.6026794828</v>
      </c>
      <c r="Q21" s="9"/>
      <c r="R21" s="9"/>
      <c r="S21" s="9"/>
      <c r="T21" s="9"/>
      <c r="U21" s="9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9"/>
      <c r="AO21" s="9"/>
      <c r="AP21" s="13" t="s">
        <v>38</v>
      </c>
      <c r="AQ21" s="4"/>
    </row>
    <row r="22">
      <c r="A22" s="3"/>
      <c r="B22" s="5" t="s">
        <v>94</v>
      </c>
      <c r="C22" s="5" t="s">
        <v>70</v>
      </c>
      <c r="D22" s="5" t="s">
        <v>95</v>
      </c>
      <c r="E22" s="5" t="s">
        <v>96</v>
      </c>
      <c r="F22" s="5" t="s">
        <v>20</v>
      </c>
      <c r="G22" s="5" t="s">
        <v>62</v>
      </c>
      <c r="H22" s="5" t="s">
        <v>74</v>
      </c>
      <c r="I22" s="5" t="s">
        <v>97</v>
      </c>
      <c r="J22" s="5" t="s">
        <v>35</v>
      </c>
      <c r="K22" s="5" t="s">
        <v>76</v>
      </c>
      <c r="L22" s="5" t="s">
        <v>26</v>
      </c>
      <c r="M22" s="6" t="s">
        <v>37</v>
      </c>
      <c r="N22" s="7">
        <v>139.2</v>
      </c>
      <c r="O22" s="7">
        <v>49.99896</v>
      </c>
      <c r="P22" s="8">
        <f t="shared" si="1"/>
        <v>0.640812069</v>
      </c>
      <c r="Q22" s="9"/>
      <c r="R22" s="9"/>
      <c r="S22" s="9"/>
      <c r="T22" s="9"/>
      <c r="U22" s="9"/>
      <c r="V22" s="9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9"/>
      <c r="AL22" s="10"/>
      <c r="AM22" s="9"/>
      <c r="AN22" s="10"/>
      <c r="AO22" s="9"/>
      <c r="AP22" s="11" t="s">
        <v>28</v>
      </c>
      <c r="AQ22" s="4"/>
    </row>
    <row r="23">
      <c r="A23" s="3"/>
      <c r="B23" s="5" t="s">
        <v>98</v>
      </c>
      <c r="C23" s="5" t="s">
        <v>70</v>
      </c>
      <c r="D23" s="5" t="s">
        <v>95</v>
      </c>
      <c r="E23" s="5" t="s">
        <v>99</v>
      </c>
      <c r="F23" s="5" t="s">
        <v>20</v>
      </c>
      <c r="G23" s="5" t="s">
        <v>62</v>
      </c>
      <c r="H23" s="5" t="s">
        <v>74</v>
      </c>
      <c r="I23" s="5" t="s">
        <v>97</v>
      </c>
      <c r="J23" s="5" t="s">
        <v>35</v>
      </c>
      <c r="K23" s="5" t="s">
        <v>76</v>
      </c>
      <c r="L23" s="5" t="s">
        <v>26</v>
      </c>
      <c r="M23" s="6" t="s">
        <v>37</v>
      </c>
      <c r="N23" s="7">
        <v>139.2</v>
      </c>
      <c r="O23" s="7">
        <v>49.99896</v>
      </c>
      <c r="P23" s="8">
        <f t="shared" si="1"/>
        <v>0.640812069</v>
      </c>
      <c r="Q23" s="9"/>
      <c r="R23" s="9"/>
      <c r="S23" s="9"/>
      <c r="T23" s="9"/>
      <c r="U23" s="9"/>
      <c r="V23" s="9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9"/>
      <c r="AL23" s="10"/>
      <c r="AM23" s="9"/>
      <c r="AN23" s="10"/>
      <c r="AO23" s="9"/>
      <c r="AP23" s="11" t="s">
        <v>28</v>
      </c>
      <c r="AQ23" s="4"/>
    </row>
    <row r="24">
      <c r="A24" s="3"/>
      <c r="B24" s="5" t="s">
        <v>100</v>
      </c>
      <c r="C24" s="5" t="s">
        <v>70</v>
      </c>
      <c r="D24" s="5" t="s">
        <v>95</v>
      </c>
      <c r="E24" s="5" t="s">
        <v>101</v>
      </c>
      <c r="F24" s="5" t="s">
        <v>20</v>
      </c>
      <c r="G24" s="5" t="s">
        <v>62</v>
      </c>
      <c r="H24" s="5" t="s">
        <v>74</v>
      </c>
      <c r="I24" s="5" t="s">
        <v>97</v>
      </c>
      <c r="J24" s="5" t="s">
        <v>35</v>
      </c>
      <c r="K24" s="5" t="s">
        <v>76</v>
      </c>
      <c r="L24" s="5" t="s">
        <v>26</v>
      </c>
      <c r="M24" s="6" t="s">
        <v>37</v>
      </c>
      <c r="N24" s="7">
        <v>139.2</v>
      </c>
      <c r="O24" s="7">
        <v>49.99896</v>
      </c>
      <c r="P24" s="8">
        <f t="shared" si="1"/>
        <v>0.640812069</v>
      </c>
      <c r="Q24" s="9"/>
      <c r="R24" s="9"/>
      <c r="S24" s="9"/>
      <c r="T24" s="9"/>
      <c r="U24" s="9"/>
      <c r="V24" s="9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9"/>
      <c r="AL24" s="10"/>
      <c r="AM24" s="9"/>
      <c r="AN24" s="10"/>
      <c r="AO24" s="9"/>
      <c r="AP24" s="11" t="s">
        <v>28</v>
      </c>
      <c r="AQ24" s="4"/>
    </row>
    <row r="25">
      <c r="A25" s="3"/>
      <c r="B25" s="5" t="s">
        <v>102</v>
      </c>
      <c r="C25" s="5" t="s">
        <v>17</v>
      </c>
      <c r="D25" s="5" t="s">
        <v>103</v>
      </c>
      <c r="E25" s="5" t="s">
        <v>85</v>
      </c>
      <c r="F25" s="5" t="s">
        <v>33</v>
      </c>
      <c r="G25" s="5" t="s">
        <v>21</v>
      </c>
      <c r="H25" s="5" t="s">
        <v>22</v>
      </c>
      <c r="I25" s="5" t="s">
        <v>45</v>
      </c>
      <c r="J25" s="5" t="s">
        <v>24</v>
      </c>
      <c r="K25" s="5" t="s">
        <v>25</v>
      </c>
      <c r="L25" s="5" t="s">
        <v>26</v>
      </c>
      <c r="M25" s="6" t="s">
        <v>42</v>
      </c>
      <c r="N25" s="7">
        <v>58.0</v>
      </c>
      <c r="O25" s="7">
        <v>23.04459</v>
      </c>
      <c r="P25" s="8">
        <f t="shared" si="1"/>
        <v>0.6026794828</v>
      </c>
      <c r="Q25" s="9"/>
      <c r="R25" s="9"/>
      <c r="S25" s="9"/>
      <c r="T25" s="9"/>
      <c r="U25" s="9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9"/>
      <c r="AO25" s="9"/>
      <c r="AP25" s="13" t="s">
        <v>38</v>
      </c>
      <c r="AQ25" s="4"/>
    </row>
    <row r="26">
      <c r="A26" s="3"/>
      <c r="B26" s="5" t="s">
        <v>104</v>
      </c>
      <c r="C26" s="5" t="s">
        <v>17</v>
      </c>
      <c r="D26" s="5" t="s">
        <v>105</v>
      </c>
      <c r="E26" s="5" t="s">
        <v>85</v>
      </c>
      <c r="F26" s="5" t="s">
        <v>33</v>
      </c>
      <c r="G26" s="5" t="s">
        <v>21</v>
      </c>
      <c r="H26" s="5" t="s">
        <v>22</v>
      </c>
      <c r="I26" s="5" t="s">
        <v>45</v>
      </c>
      <c r="J26" s="5" t="s">
        <v>24</v>
      </c>
      <c r="K26" s="5" t="s">
        <v>25</v>
      </c>
      <c r="L26" s="5" t="s">
        <v>26</v>
      </c>
      <c r="M26" s="6" t="s">
        <v>42</v>
      </c>
      <c r="N26" s="7">
        <v>58.0</v>
      </c>
      <c r="O26" s="7">
        <v>23.04459</v>
      </c>
      <c r="P26" s="8">
        <f t="shared" si="1"/>
        <v>0.6026794828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9"/>
      <c r="AO26" s="9"/>
      <c r="AP26" s="13" t="s">
        <v>38</v>
      </c>
      <c r="AQ26" s="4"/>
    </row>
    <row r="27">
      <c r="A27" s="3"/>
      <c r="B27" s="5" t="s">
        <v>106</v>
      </c>
      <c r="C27" s="5" t="s">
        <v>17</v>
      </c>
      <c r="D27" s="5" t="s">
        <v>107</v>
      </c>
      <c r="E27" s="5" t="s">
        <v>41</v>
      </c>
      <c r="F27" s="5" t="s">
        <v>20</v>
      </c>
      <c r="G27" s="5" t="s">
        <v>62</v>
      </c>
      <c r="H27" s="5" t="s">
        <v>22</v>
      </c>
      <c r="I27" s="5" t="s">
        <v>23</v>
      </c>
      <c r="J27" s="5" t="s">
        <v>24</v>
      </c>
      <c r="K27" s="5" t="s">
        <v>25</v>
      </c>
      <c r="L27" s="5" t="s">
        <v>26</v>
      </c>
      <c r="M27" s="6" t="s">
        <v>42</v>
      </c>
      <c r="N27" s="7">
        <v>52.2</v>
      </c>
      <c r="O27" s="7">
        <v>19.99188</v>
      </c>
      <c r="P27" s="8">
        <f t="shared" si="1"/>
        <v>0.6170137931</v>
      </c>
      <c r="Q27" s="9"/>
      <c r="R27" s="9"/>
      <c r="S27" s="9"/>
      <c r="T27" s="9"/>
      <c r="U27" s="9"/>
      <c r="V27" s="9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9"/>
      <c r="AM27" s="9"/>
      <c r="AN27" s="9"/>
      <c r="AO27" s="9"/>
      <c r="AP27" s="11" t="s">
        <v>28</v>
      </c>
      <c r="AQ27" s="4"/>
    </row>
    <row r="28">
      <c r="A28" s="3"/>
      <c r="B28" s="5" t="s">
        <v>108</v>
      </c>
      <c r="C28" s="5" t="s">
        <v>17</v>
      </c>
      <c r="D28" s="5" t="s">
        <v>109</v>
      </c>
      <c r="E28" s="5" t="s">
        <v>41</v>
      </c>
      <c r="F28" s="5" t="s">
        <v>20</v>
      </c>
      <c r="G28" s="5" t="s">
        <v>62</v>
      </c>
      <c r="H28" s="5" t="s">
        <v>22</v>
      </c>
      <c r="I28" s="5" t="s">
        <v>23</v>
      </c>
      <c r="J28" s="5" t="s">
        <v>46</v>
      </c>
      <c r="K28" s="5" t="s">
        <v>25</v>
      </c>
      <c r="L28" s="5" t="s">
        <v>26</v>
      </c>
      <c r="M28" s="6" t="s">
        <v>47</v>
      </c>
      <c r="N28" s="7">
        <v>52.2</v>
      </c>
      <c r="O28" s="7">
        <v>19.99188</v>
      </c>
      <c r="P28" s="8">
        <f t="shared" si="1"/>
        <v>0.6170137931</v>
      </c>
      <c r="Q28" s="9"/>
      <c r="R28" s="9"/>
      <c r="S28" s="9"/>
      <c r="T28" s="9"/>
      <c r="U28" s="9"/>
      <c r="V28" s="9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9"/>
      <c r="AM28" s="9"/>
      <c r="AN28" s="9"/>
      <c r="AO28" s="9"/>
      <c r="AP28" s="11" t="s">
        <v>28</v>
      </c>
      <c r="AQ28" s="4"/>
    </row>
    <row r="29">
      <c r="A29" s="3"/>
      <c r="B29" s="5" t="s">
        <v>110</v>
      </c>
      <c r="C29" s="5" t="s">
        <v>17</v>
      </c>
      <c r="D29" s="5" t="s">
        <v>111</v>
      </c>
      <c r="E29" s="5" t="s">
        <v>41</v>
      </c>
      <c r="F29" s="5" t="s">
        <v>20</v>
      </c>
      <c r="G29" s="5" t="s">
        <v>62</v>
      </c>
      <c r="H29" s="5" t="s">
        <v>22</v>
      </c>
      <c r="I29" s="5" t="s">
        <v>23</v>
      </c>
      <c r="J29" s="5" t="s">
        <v>112</v>
      </c>
      <c r="K29" s="5" t="s">
        <v>25</v>
      </c>
      <c r="L29" s="5" t="s">
        <v>26</v>
      </c>
      <c r="M29" s="6" t="s">
        <v>47</v>
      </c>
      <c r="N29" s="7">
        <v>52.2</v>
      </c>
      <c r="O29" s="7">
        <v>19.99188</v>
      </c>
      <c r="P29" s="8">
        <f t="shared" si="1"/>
        <v>0.6170137931</v>
      </c>
      <c r="Q29" s="9"/>
      <c r="R29" s="9"/>
      <c r="S29" s="9"/>
      <c r="T29" s="9"/>
      <c r="U29" s="9"/>
      <c r="V29" s="9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9"/>
      <c r="AM29" s="9"/>
      <c r="AN29" s="9"/>
      <c r="AO29" s="9"/>
      <c r="AP29" s="11" t="s">
        <v>28</v>
      </c>
      <c r="AQ29" s="4"/>
    </row>
    <row r="30">
      <c r="A30" s="3"/>
      <c r="B30" s="5" t="s">
        <v>113</v>
      </c>
      <c r="C30" s="5" t="s">
        <v>17</v>
      </c>
      <c r="D30" s="5" t="s">
        <v>114</v>
      </c>
      <c r="E30" s="5" t="s">
        <v>41</v>
      </c>
      <c r="F30" s="5" t="s">
        <v>33</v>
      </c>
      <c r="G30" s="5" t="s">
        <v>62</v>
      </c>
      <c r="H30" s="5" t="s">
        <v>22</v>
      </c>
      <c r="I30" s="5" t="s">
        <v>45</v>
      </c>
      <c r="J30" s="5" t="s">
        <v>112</v>
      </c>
      <c r="K30" s="5" t="s">
        <v>25</v>
      </c>
      <c r="L30" s="5" t="s">
        <v>26</v>
      </c>
      <c r="M30" s="6" t="s">
        <v>47</v>
      </c>
      <c r="N30" s="7">
        <v>40.6</v>
      </c>
      <c r="O30" s="7">
        <v>16.09173</v>
      </c>
      <c r="P30" s="8">
        <f t="shared" si="1"/>
        <v>0.6036519704</v>
      </c>
      <c r="Q30" s="9"/>
      <c r="R30" s="9"/>
      <c r="S30" s="9"/>
      <c r="T30" s="9"/>
      <c r="U30" s="9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9"/>
      <c r="AO30" s="9"/>
      <c r="AP30" s="13" t="s">
        <v>38</v>
      </c>
      <c r="AQ30" s="4"/>
    </row>
    <row r="31">
      <c r="A31" s="3"/>
      <c r="B31" s="5" t="s">
        <v>115</v>
      </c>
      <c r="C31" s="5" t="s">
        <v>17</v>
      </c>
      <c r="D31" s="5" t="s">
        <v>116</v>
      </c>
      <c r="E31" s="5" t="s">
        <v>41</v>
      </c>
      <c r="F31" s="5" t="s">
        <v>33</v>
      </c>
      <c r="G31" s="5" t="s">
        <v>62</v>
      </c>
      <c r="H31" s="5" t="s">
        <v>22</v>
      </c>
      <c r="I31" s="5" t="s">
        <v>45</v>
      </c>
      <c r="J31" s="5" t="s">
        <v>46</v>
      </c>
      <c r="K31" s="5" t="s">
        <v>25</v>
      </c>
      <c r="L31" s="5" t="s">
        <v>26</v>
      </c>
      <c r="M31" s="6" t="s">
        <v>47</v>
      </c>
      <c r="N31" s="7">
        <v>40.6</v>
      </c>
      <c r="O31" s="7">
        <v>16.09173</v>
      </c>
      <c r="P31" s="8">
        <f t="shared" si="1"/>
        <v>0.6036519704</v>
      </c>
      <c r="Q31" s="9"/>
      <c r="R31" s="9"/>
      <c r="S31" s="9"/>
      <c r="T31" s="9"/>
      <c r="U31" s="9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9"/>
      <c r="AO31" s="9"/>
      <c r="AP31" s="13" t="s">
        <v>38</v>
      </c>
      <c r="AQ31" s="4"/>
    </row>
    <row r="32">
      <c r="A32" s="3"/>
      <c r="B32" s="5" t="s">
        <v>117</v>
      </c>
      <c r="C32" s="5" t="s">
        <v>17</v>
      </c>
      <c r="D32" s="5" t="s">
        <v>118</v>
      </c>
      <c r="E32" s="5" t="s">
        <v>41</v>
      </c>
      <c r="F32" s="5" t="s">
        <v>33</v>
      </c>
      <c r="G32" s="5" t="s">
        <v>62</v>
      </c>
      <c r="H32" s="5" t="s">
        <v>22</v>
      </c>
      <c r="I32" s="5" t="s">
        <v>45</v>
      </c>
      <c r="J32" s="5" t="s">
        <v>24</v>
      </c>
      <c r="K32" s="5" t="s">
        <v>25</v>
      </c>
      <c r="L32" s="5" t="s">
        <v>26</v>
      </c>
      <c r="M32" s="6" t="s">
        <v>42</v>
      </c>
      <c r="N32" s="7">
        <v>40.6</v>
      </c>
      <c r="O32" s="7">
        <v>16.09173</v>
      </c>
      <c r="P32" s="8">
        <f t="shared" si="1"/>
        <v>0.6036519704</v>
      </c>
      <c r="Q32" s="9"/>
      <c r="R32" s="9"/>
      <c r="S32" s="9"/>
      <c r="T32" s="9"/>
      <c r="U32" s="9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9"/>
      <c r="AO32" s="9"/>
      <c r="AP32" s="13" t="s">
        <v>38</v>
      </c>
      <c r="AQ32" s="4"/>
    </row>
    <row r="33">
      <c r="A33" s="3"/>
      <c r="B33" s="5" t="s">
        <v>119</v>
      </c>
      <c r="C33" s="5" t="s">
        <v>30</v>
      </c>
      <c r="D33" s="5" t="s">
        <v>120</v>
      </c>
      <c r="E33" s="5" t="s">
        <v>121</v>
      </c>
      <c r="F33" s="5" t="s">
        <v>20</v>
      </c>
      <c r="G33" s="5" t="s">
        <v>62</v>
      </c>
      <c r="H33" s="5" t="s">
        <v>22</v>
      </c>
      <c r="I33" s="5" t="s">
        <v>34</v>
      </c>
      <c r="J33" s="5" t="s">
        <v>122</v>
      </c>
      <c r="K33" s="5" t="s">
        <v>36</v>
      </c>
      <c r="L33" s="5" t="s">
        <v>26</v>
      </c>
      <c r="M33" s="6" t="s">
        <v>37</v>
      </c>
      <c r="N33" s="7">
        <v>185.6</v>
      </c>
      <c r="O33" s="7">
        <v>70.8768</v>
      </c>
      <c r="P33" s="8">
        <f t="shared" si="1"/>
        <v>0.6181206897</v>
      </c>
      <c r="Q33" s="9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1" t="s">
        <v>28</v>
      </c>
      <c r="AQ33" s="4"/>
    </row>
    <row r="34">
      <c r="A34" s="3"/>
      <c r="B34" s="5" t="s">
        <v>123</v>
      </c>
      <c r="C34" s="5" t="s">
        <v>17</v>
      </c>
      <c r="D34" s="5" t="s">
        <v>124</v>
      </c>
      <c r="E34" s="5" t="s">
        <v>85</v>
      </c>
      <c r="F34" s="5" t="s">
        <v>33</v>
      </c>
      <c r="G34" s="5" t="s">
        <v>21</v>
      </c>
      <c r="H34" s="5" t="s">
        <v>22</v>
      </c>
      <c r="I34" s="5" t="s">
        <v>45</v>
      </c>
      <c r="J34" s="5" t="s">
        <v>24</v>
      </c>
      <c r="K34" s="5" t="s">
        <v>25</v>
      </c>
      <c r="L34" s="5" t="s">
        <v>26</v>
      </c>
      <c r="M34" s="6" t="s">
        <v>42</v>
      </c>
      <c r="N34" s="7">
        <v>81.2</v>
      </c>
      <c r="O34" s="7">
        <v>31.30713</v>
      </c>
      <c r="P34" s="8">
        <f t="shared" si="1"/>
        <v>0.6144442118</v>
      </c>
      <c r="Q34" s="9"/>
      <c r="R34" s="9"/>
      <c r="S34" s="9"/>
      <c r="T34" s="9"/>
      <c r="U34" s="9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9"/>
      <c r="AO34" s="9"/>
      <c r="AP34" s="13" t="s">
        <v>38</v>
      </c>
      <c r="AQ34" s="4"/>
    </row>
    <row r="35">
      <c r="A35" s="3"/>
      <c r="B35" s="5" t="s">
        <v>125</v>
      </c>
      <c r="C35" s="5" t="s">
        <v>30</v>
      </c>
      <c r="D35" s="5" t="s">
        <v>126</v>
      </c>
      <c r="E35" s="5" t="s">
        <v>127</v>
      </c>
      <c r="F35" s="5" t="s">
        <v>20</v>
      </c>
      <c r="G35" s="5" t="s">
        <v>128</v>
      </c>
      <c r="H35" s="5" t="s">
        <v>22</v>
      </c>
      <c r="I35" s="5" t="s">
        <v>34</v>
      </c>
      <c r="J35" s="5" t="s">
        <v>122</v>
      </c>
      <c r="K35" s="5" t="s">
        <v>36</v>
      </c>
      <c r="L35" s="5" t="s">
        <v>26</v>
      </c>
      <c r="M35" s="6" t="s">
        <v>37</v>
      </c>
      <c r="N35" s="7">
        <v>185.6</v>
      </c>
      <c r="O35" s="7">
        <v>70.8768</v>
      </c>
      <c r="P35" s="8">
        <f t="shared" si="1"/>
        <v>0.6181206897</v>
      </c>
      <c r="Q35" s="9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9"/>
      <c r="AN35" s="9"/>
      <c r="AO35" s="9"/>
      <c r="AP35" s="17" t="s">
        <v>129</v>
      </c>
      <c r="AQ35" s="4"/>
    </row>
    <row r="36">
      <c r="A36" s="3"/>
      <c r="B36" s="5" t="s">
        <v>130</v>
      </c>
      <c r="C36" s="5" t="s">
        <v>17</v>
      </c>
      <c r="D36" s="5" t="s">
        <v>124</v>
      </c>
      <c r="E36" s="5" t="s">
        <v>41</v>
      </c>
      <c r="F36" s="5" t="s">
        <v>33</v>
      </c>
      <c r="G36" s="5" t="s">
        <v>21</v>
      </c>
      <c r="H36" s="5" t="s">
        <v>22</v>
      </c>
      <c r="I36" s="5" t="s">
        <v>45</v>
      </c>
      <c r="J36" s="5" t="s">
        <v>24</v>
      </c>
      <c r="K36" s="5" t="s">
        <v>25</v>
      </c>
      <c r="L36" s="5" t="s">
        <v>26</v>
      </c>
      <c r="M36" s="6" t="s">
        <v>42</v>
      </c>
      <c r="N36" s="7">
        <v>81.2</v>
      </c>
      <c r="O36" s="7">
        <v>31.30713</v>
      </c>
      <c r="P36" s="8">
        <f t="shared" si="1"/>
        <v>0.6144442118</v>
      </c>
      <c r="Q36" s="9"/>
      <c r="R36" s="9"/>
      <c r="S36" s="9"/>
      <c r="T36" s="9"/>
      <c r="U36" s="9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9"/>
      <c r="AO36" s="9"/>
      <c r="AP36" s="13" t="s">
        <v>38</v>
      </c>
      <c r="AQ36" s="4"/>
    </row>
    <row r="37">
      <c r="A37" s="3"/>
      <c r="B37" s="5" t="s">
        <v>131</v>
      </c>
      <c r="C37" s="5" t="s">
        <v>30</v>
      </c>
      <c r="D37" s="5" t="s">
        <v>132</v>
      </c>
      <c r="E37" s="5" t="s">
        <v>133</v>
      </c>
      <c r="F37" s="5" t="s">
        <v>20</v>
      </c>
      <c r="G37" s="5" t="s">
        <v>62</v>
      </c>
      <c r="H37" s="5" t="s">
        <v>22</v>
      </c>
      <c r="I37" s="5" t="s">
        <v>34</v>
      </c>
      <c r="J37" s="5" t="s">
        <v>35</v>
      </c>
      <c r="K37" s="5" t="s">
        <v>134</v>
      </c>
      <c r="L37" s="5" t="s">
        <v>26</v>
      </c>
      <c r="M37" s="6" t="s">
        <v>37</v>
      </c>
      <c r="N37" s="7">
        <v>139.2</v>
      </c>
      <c r="O37" s="7">
        <v>53.91837</v>
      </c>
      <c r="P37" s="8">
        <f t="shared" si="1"/>
        <v>0.6126553879</v>
      </c>
      <c r="Q37" s="9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9"/>
      <c r="AO37" s="10"/>
      <c r="AP37" s="11" t="s">
        <v>28</v>
      </c>
      <c r="AQ37" s="4"/>
    </row>
    <row r="38">
      <c r="A38" s="3"/>
      <c r="B38" s="5" t="s">
        <v>135</v>
      </c>
      <c r="C38" s="5" t="s">
        <v>30</v>
      </c>
      <c r="D38" s="5" t="s">
        <v>136</v>
      </c>
      <c r="E38" s="5" t="s">
        <v>137</v>
      </c>
      <c r="F38" s="5" t="s">
        <v>20</v>
      </c>
      <c r="G38" s="5" t="s">
        <v>128</v>
      </c>
      <c r="H38" s="5" t="s">
        <v>22</v>
      </c>
      <c r="I38" s="5" t="s">
        <v>34</v>
      </c>
      <c r="J38" s="5" t="s">
        <v>35</v>
      </c>
      <c r="K38" s="5" t="s">
        <v>134</v>
      </c>
      <c r="L38" s="5" t="s">
        <v>26</v>
      </c>
      <c r="M38" s="6" t="s">
        <v>37</v>
      </c>
      <c r="N38" s="7">
        <v>139.2</v>
      </c>
      <c r="O38" s="7">
        <v>53.91837</v>
      </c>
      <c r="P38" s="8">
        <f t="shared" si="1"/>
        <v>0.6126553879</v>
      </c>
      <c r="Q38" s="9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9"/>
      <c r="AL38" s="9"/>
      <c r="AM38" s="9"/>
      <c r="AN38" s="9"/>
      <c r="AO38" s="9"/>
      <c r="AP38" s="17" t="s">
        <v>129</v>
      </c>
      <c r="AQ38" s="4"/>
    </row>
    <row r="39">
      <c r="A39" s="3"/>
      <c r="B39" s="5" t="s">
        <v>138</v>
      </c>
      <c r="C39" s="5" t="s">
        <v>54</v>
      </c>
      <c r="D39" s="5" t="s">
        <v>139</v>
      </c>
      <c r="E39" s="5" t="s">
        <v>66</v>
      </c>
      <c r="F39" s="5" t="s">
        <v>20</v>
      </c>
      <c r="G39" s="5" t="s">
        <v>128</v>
      </c>
      <c r="H39" s="5" t="s">
        <v>22</v>
      </c>
      <c r="I39" s="5" t="s">
        <v>140</v>
      </c>
      <c r="J39" s="5" t="s">
        <v>35</v>
      </c>
      <c r="K39" s="5" t="s">
        <v>58</v>
      </c>
      <c r="L39" s="5" t="s">
        <v>26</v>
      </c>
      <c r="M39" s="6" t="s">
        <v>77</v>
      </c>
      <c r="N39" s="7">
        <v>197.2</v>
      </c>
      <c r="O39" s="7">
        <v>74.78658</v>
      </c>
      <c r="P39" s="8">
        <f t="shared" si="1"/>
        <v>0.6207577079</v>
      </c>
      <c r="Q39" s="9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17" t="s">
        <v>129</v>
      </c>
      <c r="AQ39" s="4"/>
    </row>
    <row r="40">
      <c r="A40" s="3"/>
      <c r="B40" s="5" t="s">
        <v>141</v>
      </c>
      <c r="C40" s="5" t="s">
        <v>54</v>
      </c>
      <c r="D40" s="5" t="s">
        <v>142</v>
      </c>
      <c r="E40" s="5" t="s">
        <v>66</v>
      </c>
      <c r="F40" s="5" t="s">
        <v>20</v>
      </c>
      <c r="G40" s="5" t="s">
        <v>62</v>
      </c>
      <c r="H40" s="5" t="s">
        <v>22</v>
      </c>
      <c r="I40" s="5" t="s">
        <v>143</v>
      </c>
      <c r="J40" s="5" t="s">
        <v>35</v>
      </c>
      <c r="K40" s="5" t="s">
        <v>58</v>
      </c>
      <c r="L40" s="5" t="s">
        <v>26</v>
      </c>
      <c r="M40" s="6" t="s">
        <v>144</v>
      </c>
      <c r="N40" s="7">
        <v>197.2</v>
      </c>
      <c r="O40" s="7">
        <v>74.78658</v>
      </c>
      <c r="P40" s="8">
        <f t="shared" si="1"/>
        <v>0.6207577079</v>
      </c>
      <c r="Q40" s="9"/>
      <c r="R40" s="9"/>
      <c r="S40" s="9"/>
      <c r="T40" s="9"/>
      <c r="U40" s="9"/>
      <c r="V40" s="9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1" t="s">
        <v>28</v>
      </c>
      <c r="AQ40" s="4"/>
    </row>
    <row r="41">
      <c r="A41" s="3"/>
      <c r="B41" s="5" t="s">
        <v>145</v>
      </c>
      <c r="C41" s="5" t="s">
        <v>17</v>
      </c>
      <c r="D41" s="5" t="s">
        <v>146</v>
      </c>
      <c r="E41" s="5" t="s">
        <v>85</v>
      </c>
      <c r="F41" s="5" t="s">
        <v>20</v>
      </c>
      <c r="G41" s="5" t="s">
        <v>21</v>
      </c>
      <c r="H41" s="5" t="s">
        <v>22</v>
      </c>
      <c r="I41" s="5" t="s">
        <v>23</v>
      </c>
      <c r="J41" s="5" t="s">
        <v>46</v>
      </c>
      <c r="K41" s="5" t="s">
        <v>25</v>
      </c>
      <c r="L41" s="5" t="s">
        <v>26</v>
      </c>
      <c r="M41" s="6" t="s">
        <v>147</v>
      </c>
      <c r="N41" s="7">
        <v>104.4</v>
      </c>
      <c r="O41" s="7">
        <v>39.56004</v>
      </c>
      <c r="P41" s="8">
        <f t="shared" si="1"/>
        <v>0.6210724138</v>
      </c>
      <c r="Q41" s="9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9"/>
      <c r="AM41" s="9"/>
      <c r="AN41" s="9"/>
      <c r="AO41" s="9"/>
      <c r="AP41" s="11" t="s">
        <v>28</v>
      </c>
      <c r="AQ41" s="4"/>
    </row>
    <row r="42">
      <c r="A42" s="3"/>
      <c r="B42" s="5" t="s">
        <v>148</v>
      </c>
      <c r="C42" s="5" t="s">
        <v>17</v>
      </c>
      <c r="D42" s="5" t="s">
        <v>146</v>
      </c>
      <c r="E42" s="5" t="s">
        <v>19</v>
      </c>
      <c r="F42" s="5" t="s">
        <v>20</v>
      </c>
      <c r="G42" s="5" t="s">
        <v>21</v>
      </c>
      <c r="H42" s="5" t="s">
        <v>22</v>
      </c>
      <c r="I42" s="5" t="s">
        <v>23</v>
      </c>
      <c r="J42" s="5" t="s">
        <v>46</v>
      </c>
      <c r="K42" s="5" t="s">
        <v>25</v>
      </c>
      <c r="L42" s="5" t="s">
        <v>26</v>
      </c>
      <c r="M42" s="6" t="s">
        <v>147</v>
      </c>
      <c r="N42" s="7">
        <v>104.4</v>
      </c>
      <c r="O42" s="7">
        <v>39.56004</v>
      </c>
      <c r="P42" s="8">
        <f t="shared" si="1"/>
        <v>0.6210724138</v>
      </c>
      <c r="Q42" s="9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9"/>
      <c r="AM42" s="9"/>
      <c r="AN42" s="9"/>
      <c r="AO42" s="9"/>
      <c r="AP42" s="11" t="s">
        <v>28</v>
      </c>
      <c r="AQ42" s="4"/>
    </row>
    <row r="43">
      <c r="A43" s="3"/>
      <c r="B43" s="5" t="s">
        <v>149</v>
      </c>
      <c r="C43" s="5" t="s">
        <v>17</v>
      </c>
      <c r="D43" s="5" t="s">
        <v>146</v>
      </c>
      <c r="E43" s="5" t="s">
        <v>41</v>
      </c>
      <c r="F43" s="5" t="s">
        <v>20</v>
      </c>
      <c r="G43" s="5" t="s">
        <v>21</v>
      </c>
      <c r="H43" s="5" t="s">
        <v>22</v>
      </c>
      <c r="I43" s="5" t="s">
        <v>23</v>
      </c>
      <c r="J43" s="5" t="s">
        <v>46</v>
      </c>
      <c r="K43" s="5" t="s">
        <v>25</v>
      </c>
      <c r="L43" s="5" t="s">
        <v>26</v>
      </c>
      <c r="M43" s="6" t="s">
        <v>147</v>
      </c>
      <c r="N43" s="7">
        <v>104.4</v>
      </c>
      <c r="O43" s="7">
        <v>39.56004</v>
      </c>
      <c r="P43" s="8">
        <f t="shared" si="1"/>
        <v>0.6210724138</v>
      </c>
      <c r="Q43" s="9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9"/>
      <c r="AM43" s="9"/>
      <c r="AN43" s="9"/>
      <c r="AO43" s="9"/>
      <c r="AP43" s="11" t="s">
        <v>28</v>
      </c>
      <c r="AQ43" s="4"/>
    </row>
    <row r="44">
      <c r="A44" s="3"/>
      <c r="B44" s="5" t="s">
        <v>150</v>
      </c>
      <c r="C44" s="5" t="s">
        <v>17</v>
      </c>
      <c r="D44" s="5" t="s">
        <v>151</v>
      </c>
      <c r="E44" s="5" t="s">
        <v>152</v>
      </c>
      <c r="F44" s="5" t="s">
        <v>20</v>
      </c>
      <c r="G44" s="5" t="s">
        <v>21</v>
      </c>
      <c r="H44" s="5" t="s">
        <v>22</v>
      </c>
      <c r="I44" s="5" t="s">
        <v>23</v>
      </c>
      <c r="J44" s="5" t="s">
        <v>24</v>
      </c>
      <c r="K44" s="5" t="s">
        <v>25</v>
      </c>
      <c r="L44" s="5" t="s">
        <v>26</v>
      </c>
      <c r="M44" s="6" t="s">
        <v>153</v>
      </c>
      <c r="N44" s="7">
        <v>324.8</v>
      </c>
      <c r="O44" s="7">
        <v>124.78554</v>
      </c>
      <c r="P44" s="8">
        <f t="shared" si="1"/>
        <v>0.6158080665</v>
      </c>
      <c r="Q44" s="9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9"/>
      <c r="AM44" s="9"/>
      <c r="AN44" s="9"/>
      <c r="AO44" s="9"/>
      <c r="AP44" s="11" t="s">
        <v>28</v>
      </c>
      <c r="AQ44" s="4"/>
    </row>
    <row r="45">
      <c r="A45" s="3"/>
      <c r="B45" s="5" t="s">
        <v>154</v>
      </c>
      <c r="C45" s="5" t="s">
        <v>17</v>
      </c>
      <c r="D45" s="5" t="s">
        <v>155</v>
      </c>
      <c r="E45" s="5" t="s">
        <v>41</v>
      </c>
      <c r="F45" s="5" t="s">
        <v>20</v>
      </c>
      <c r="G45" s="5" t="s">
        <v>21</v>
      </c>
      <c r="H45" s="5" t="s">
        <v>22</v>
      </c>
      <c r="I45" s="5" t="s">
        <v>23</v>
      </c>
      <c r="J45" s="5" t="s">
        <v>46</v>
      </c>
      <c r="K45" s="5" t="s">
        <v>25</v>
      </c>
      <c r="L45" s="5" t="s">
        <v>26</v>
      </c>
      <c r="M45" s="6" t="s">
        <v>147</v>
      </c>
      <c r="N45" s="7">
        <v>162.4</v>
      </c>
      <c r="O45" s="7">
        <v>62.60463</v>
      </c>
      <c r="P45" s="8">
        <f t="shared" si="1"/>
        <v>0.6145035099</v>
      </c>
      <c r="Q45" s="9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9"/>
      <c r="AM45" s="9"/>
      <c r="AN45" s="9"/>
      <c r="AO45" s="9"/>
      <c r="AP45" s="11" t="s">
        <v>28</v>
      </c>
      <c r="AQ45" s="4"/>
    </row>
    <row r="46">
      <c r="A46" s="3"/>
      <c r="B46" s="5" t="s">
        <v>156</v>
      </c>
      <c r="C46" s="5" t="s">
        <v>70</v>
      </c>
      <c r="D46" s="5" t="s">
        <v>157</v>
      </c>
      <c r="E46" s="5" t="s">
        <v>96</v>
      </c>
      <c r="F46" s="5" t="s">
        <v>20</v>
      </c>
      <c r="G46" s="5" t="s">
        <v>62</v>
      </c>
      <c r="H46" s="5" t="s">
        <v>74</v>
      </c>
      <c r="I46" s="5" t="s">
        <v>97</v>
      </c>
      <c r="J46" s="5" t="s">
        <v>35</v>
      </c>
      <c r="K46" s="5" t="s">
        <v>76</v>
      </c>
      <c r="L46" s="5" t="s">
        <v>26</v>
      </c>
      <c r="M46" s="6" t="s">
        <v>37</v>
      </c>
      <c r="N46" s="7">
        <v>104.4</v>
      </c>
      <c r="O46" s="7">
        <v>37.38366</v>
      </c>
      <c r="P46" s="8">
        <f t="shared" si="1"/>
        <v>0.6419189655</v>
      </c>
      <c r="Q46" s="9"/>
      <c r="R46" s="9"/>
      <c r="S46" s="9"/>
      <c r="T46" s="9"/>
      <c r="U46" s="9"/>
      <c r="V46" s="9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9"/>
      <c r="AL46" s="10"/>
      <c r="AM46" s="9"/>
      <c r="AN46" s="10"/>
      <c r="AO46" s="9"/>
      <c r="AP46" s="11" t="s">
        <v>28</v>
      </c>
      <c r="AQ46" s="4"/>
    </row>
    <row r="47">
      <c r="A47" s="3"/>
      <c r="B47" s="5" t="s">
        <v>158</v>
      </c>
      <c r="C47" s="5" t="s">
        <v>70</v>
      </c>
      <c r="D47" s="5" t="s">
        <v>157</v>
      </c>
      <c r="E47" s="5" t="s">
        <v>159</v>
      </c>
      <c r="F47" s="5" t="s">
        <v>20</v>
      </c>
      <c r="G47" s="5" t="s">
        <v>62</v>
      </c>
      <c r="H47" s="5" t="s">
        <v>74</v>
      </c>
      <c r="I47" s="5" t="s">
        <v>97</v>
      </c>
      <c r="J47" s="5" t="s">
        <v>35</v>
      </c>
      <c r="K47" s="5" t="s">
        <v>76</v>
      </c>
      <c r="L47" s="5" t="s">
        <v>26</v>
      </c>
      <c r="M47" s="6" t="s">
        <v>37</v>
      </c>
      <c r="N47" s="7">
        <v>104.4</v>
      </c>
      <c r="O47" s="7">
        <v>37.38366</v>
      </c>
      <c r="P47" s="8">
        <f t="shared" si="1"/>
        <v>0.6419189655</v>
      </c>
      <c r="Q47" s="9"/>
      <c r="R47" s="9"/>
      <c r="S47" s="9"/>
      <c r="T47" s="9"/>
      <c r="U47" s="9"/>
      <c r="V47" s="9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9"/>
      <c r="AL47" s="10"/>
      <c r="AM47" s="9"/>
      <c r="AN47" s="10"/>
      <c r="AO47" s="9"/>
      <c r="AP47" s="11" t="s">
        <v>28</v>
      </c>
      <c r="AQ47" s="4"/>
    </row>
    <row r="48">
      <c r="A48" s="3"/>
      <c r="B48" s="5" t="s">
        <v>160</v>
      </c>
      <c r="C48" s="5" t="s">
        <v>54</v>
      </c>
      <c r="D48" s="5" t="s">
        <v>161</v>
      </c>
      <c r="E48" s="5" t="s">
        <v>162</v>
      </c>
      <c r="F48" s="5" t="s">
        <v>20</v>
      </c>
      <c r="G48" s="5" t="s">
        <v>128</v>
      </c>
      <c r="H48" s="5" t="s">
        <v>22</v>
      </c>
      <c r="I48" s="5" t="s">
        <v>140</v>
      </c>
      <c r="J48" s="5" t="s">
        <v>35</v>
      </c>
      <c r="K48" s="5" t="s">
        <v>58</v>
      </c>
      <c r="L48" s="5" t="s">
        <v>26</v>
      </c>
      <c r="M48" s="6" t="s">
        <v>37</v>
      </c>
      <c r="N48" s="7">
        <v>104.4</v>
      </c>
      <c r="O48" s="7">
        <v>39.56004</v>
      </c>
      <c r="P48" s="8">
        <f t="shared" si="1"/>
        <v>0.6210724138</v>
      </c>
      <c r="Q48" s="9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17" t="s">
        <v>129</v>
      </c>
      <c r="AQ48" s="4"/>
    </row>
    <row r="49">
      <c r="A49" s="3"/>
      <c r="B49" s="5" t="s">
        <v>163</v>
      </c>
      <c r="C49" s="5" t="s">
        <v>54</v>
      </c>
      <c r="D49" s="5" t="s">
        <v>161</v>
      </c>
      <c r="E49" s="5" t="s">
        <v>164</v>
      </c>
      <c r="F49" s="5" t="s">
        <v>20</v>
      </c>
      <c r="G49" s="5" t="s">
        <v>128</v>
      </c>
      <c r="H49" s="5" t="s">
        <v>22</v>
      </c>
      <c r="I49" s="5" t="s">
        <v>140</v>
      </c>
      <c r="J49" s="5" t="s">
        <v>35</v>
      </c>
      <c r="K49" s="5" t="s">
        <v>58</v>
      </c>
      <c r="L49" s="5" t="s">
        <v>26</v>
      </c>
      <c r="M49" s="6" t="s">
        <v>37</v>
      </c>
      <c r="N49" s="7">
        <v>104.4</v>
      </c>
      <c r="O49" s="7">
        <v>39.56004</v>
      </c>
      <c r="P49" s="8">
        <f t="shared" si="1"/>
        <v>0.6210724138</v>
      </c>
      <c r="Q49" s="9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17" t="s">
        <v>129</v>
      </c>
      <c r="AQ49" s="4"/>
    </row>
    <row r="50">
      <c r="A50" s="3"/>
      <c r="B50" s="5" t="s">
        <v>165</v>
      </c>
      <c r="C50" s="5" t="s">
        <v>54</v>
      </c>
      <c r="D50" s="5" t="s">
        <v>161</v>
      </c>
      <c r="E50" s="5" t="s">
        <v>166</v>
      </c>
      <c r="F50" s="5" t="s">
        <v>20</v>
      </c>
      <c r="G50" s="5" t="s">
        <v>128</v>
      </c>
      <c r="H50" s="5" t="s">
        <v>22</v>
      </c>
      <c r="I50" s="5" t="s">
        <v>140</v>
      </c>
      <c r="J50" s="5" t="s">
        <v>35</v>
      </c>
      <c r="K50" s="5" t="s">
        <v>58</v>
      </c>
      <c r="L50" s="5" t="s">
        <v>26</v>
      </c>
      <c r="M50" s="6" t="s">
        <v>37</v>
      </c>
      <c r="N50" s="7">
        <v>104.4</v>
      </c>
      <c r="O50" s="7">
        <v>39.56004</v>
      </c>
      <c r="P50" s="8">
        <f t="shared" si="1"/>
        <v>0.6210724138</v>
      </c>
      <c r="Q50" s="9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17" t="s">
        <v>129</v>
      </c>
      <c r="AQ50" s="4"/>
    </row>
    <row r="51">
      <c r="A51" s="3"/>
      <c r="B51" s="5" t="s">
        <v>167</v>
      </c>
      <c r="C51" s="5" t="s">
        <v>17</v>
      </c>
      <c r="D51" s="5" t="s">
        <v>168</v>
      </c>
      <c r="E51" s="5" t="s">
        <v>19</v>
      </c>
      <c r="F51" s="5" t="s">
        <v>20</v>
      </c>
      <c r="G51" s="5" t="s">
        <v>21</v>
      </c>
      <c r="H51" s="5" t="s">
        <v>22</v>
      </c>
      <c r="I51" s="5" t="s">
        <v>23</v>
      </c>
      <c r="J51" s="5" t="s">
        <v>24</v>
      </c>
      <c r="K51" s="5" t="s">
        <v>25</v>
      </c>
      <c r="L51" s="5" t="s">
        <v>26</v>
      </c>
      <c r="M51" s="6" t="s">
        <v>42</v>
      </c>
      <c r="N51" s="7">
        <v>69.6</v>
      </c>
      <c r="O51" s="7">
        <v>26.95437</v>
      </c>
      <c r="P51" s="8">
        <f t="shared" si="1"/>
        <v>0.612724569</v>
      </c>
      <c r="Q51" s="9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9"/>
      <c r="AM51" s="9"/>
      <c r="AN51" s="9"/>
      <c r="AO51" s="9"/>
      <c r="AP51" s="11" t="s">
        <v>28</v>
      </c>
      <c r="AQ51" s="4"/>
    </row>
    <row r="52">
      <c r="A52" s="3"/>
      <c r="B52" s="5" t="s">
        <v>169</v>
      </c>
      <c r="C52" s="5" t="s">
        <v>17</v>
      </c>
      <c r="D52" s="5" t="s">
        <v>168</v>
      </c>
      <c r="E52" s="5" t="s">
        <v>85</v>
      </c>
      <c r="F52" s="5" t="s">
        <v>20</v>
      </c>
      <c r="G52" s="5" t="s">
        <v>21</v>
      </c>
      <c r="H52" s="5" t="s">
        <v>22</v>
      </c>
      <c r="I52" s="5" t="s">
        <v>23</v>
      </c>
      <c r="J52" s="5" t="s">
        <v>24</v>
      </c>
      <c r="K52" s="5" t="s">
        <v>25</v>
      </c>
      <c r="L52" s="5" t="s">
        <v>26</v>
      </c>
      <c r="M52" s="6" t="s">
        <v>42</v>
      </c>
      <c r="N52" s="7">
        <v>69.6</v>
      </c>
      <c r="O52" s="7">
        <v>26.95437</v>
      </c>
      <c r="P52" s="8">
        <f t="shared" si="1"/>
        <v>0.612724569</v>
      </c>
      <c r="Q52" s="9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9"/>
      <c r="AM52" s="9"/>
      <c r="AN52" s="9"/>
      <c r="AO52" s="9"/>
      <c r="AP52" s="11" t="s">
        <v>28</v>
      </c>
      <c r="AQ52" s="4"/>
    </row>
    <row r="53">
      <c r="A53" s="3"/>
      <c r="B53" s="5" t="s">
        <v>170</v>
      </c>
      <c r="C53" s="5" t="s">
        <v>17</v>
      </c>
      <c r="D53" s="5" t="s">
        <v>168</v>
      </c>
      <c r="E53" s="5" t="s">
        <v>41</v>
      </c>
      <c r="F53" s="5" t="s">
        <v>20</v>
      </c>
      <c r="G53" s="5" t="s">
        <v>21</v>
      </c>
      <c r="H53" s="5" t="s">
        <v>22</v>
      </c>
      <c r="I53" s="5" t="s">
        <v>23</v>
      </c>
      <c r="J53" s="5" t="s">
        <v>24</v>
      </c>
      <c r="K53" s="5" t="s">
        <v>25</v>
      </c>
      <c r="L53" s="5" t="s">
        <v>26</v>
      </c>
      <c r="M53" s="6" t="s">
        <v>42</v>
      </c>
      <c r="N53" s="7">
        <v>69.6</v>
      </c>
      <c r="O53" s="7">
        <v>26.95437</v>
      </c>
      <c r="P53" s="8">
        <f t="shared" si="1"/>
        <v>0.612724569</v>
      </c>
      <c r="Q53" s="9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9"/>
      <c r="AM53" s="9"/>
      <c r="AN53" s="9"/>
      <c r="AO53" s="9"/>
      <c r="AP53" s="11" t="s">
        <v>28</v>
      </c>
      <c r="AQ53" s="4"/>
    </row>
    <row r="54">
      <c r="A54" s="3"/>
      <c r="B54" s="5" t="s">
        <v>171</v>
      </c>
      <c r="C54" s="5" t="s">
        <v>17</v>
      </c>
      <c r="D54" s="5" t="s">
        <v>172</v>
      </c>
      <c r="E54" s="5" t="s">
        <v>41</v>
      </c>
      <c r="F54" s="5" t="s">
        <v>20</v>
      </c>
      <c r="G54" s="5" t="s">
        <v>21</v>
      </c>
      <c r="H54" s="5" t="s">
        <v>22</v>
      </c>
      <c r="I54" s="5" t="s">
        <v>23</v>
      </c>
      <c r="J54" s="5" t="s">
        <v>24</v>
      </c>
      <c r="K54" s="5" t="s">
        <v>25</v>
      </c>
      <c r="L54" s="5" t="s">
        <v>26</v>
      </c>
      <c r="M54" s="6" t="s">
        <v>83</v>
      </c>
      <c r="N54" s="7">
        <v>174.0</v>
      </c>
      <c r="O54" s="7">
        <v>66.52404</v>
      </c>
      <c r="P54" s="8">
        <f t="shared" si="1"/>
        <v>0.617677931</v>
      </c>
      <c r="Q54" s="9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9"/>
      <c r="AM54" s="9"/>
      <c r="AN54" s="9"/>
      <c r="AO54" s="9"/>
      <c r="AP54" s="11" t="s">
        <v>28</v>
      </c>
      <c r="AQ54" s="4"/>
    </row>
    <row r="55">
      <c r="A55" s="3"/>
      <c r="B55" s="5" t="s">
        <v>173</v>
      </c>
      <c r="C55" s="5" t="s">
        <v>17</v>
      </c>
      <c r="D55" s="5" t="s">
        <v>172</v>
      </c>
      <c r="E55" s="5" t="s">
        <v>88</v>
      </c>
      <c r="F55" s="5" t="s">
        <v>20</v>
      </c>
      <c r="G55" s="5" t="s">
        <v>21</v>
      </c>
      <c r="H55" s="5" t="s">
        <v>22</v>
      </c>
      <c r="I55" s="5" t="s">
        <v>23</v>
      </c>
      <c r="J55" s="5" t="s">
        <v>24</v>
      </c>
      <c r="K55" s="5" t="s">
        <v>25</v>
      </c>
      <c r="L55" s="5" t="s">
        <v>26</v>
      </c>
      <c r="M55" s="6" t="s">
        <v>83</v>
      </c>
      <c r="N55" s="7">
        <v>174.0</v>
      </c>
      <c r="O55" s="7">
        <v>66.52404</v>
      </c>
      <c r="P55" s="8">
        <f t="shared" si="1"/>
        <v>0.617677931</v>
      </c>
      <c r="Q55" s="9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9"/>
      <c r="AM55" s="9"/>
      <c r="AN55" s="9"/>
      <c r="AO55" s="9"/>
      <c r="AP55" s="11" t="s">
        <v>28</v>
      </c>
      <c r="AQ55" s="4"/>
    </row>
    <row r="56">
      <c r="A56" s="3"/>
      <c r="B56" s="5" t="s">
        <v>174</v>
      </c>
      <c r="C56" s="5" t="s">
        <v>17</v>
      </c>
      <c r="D56" s="5" t="s">
        <v>175</v>
      </c>
      <c r="E56" s="5" t="s">
        <v>41</v>
      </c>
      <c r="F56" s="5" t="s">
        <v>20</v>
      </c>
      <c r="G56" s="5" t="s">
        <v>21</v>
      </c>
      <c r="H56" s="5" t="s">
        <v>22</v>
      </c>
      <c r="I56" s="5" t="s">
        <v>23</v>
      </c>
      <c r="J56" s="5" t="s">
        <v>112</v>
      </c>
      <c r="K56" s="5" t="s">
        <v>25</v>
      </c>
      <c r="L56" s="5" t="s">
        <v>26</v>
      </c>
      <c r="M56" s="6" t="s">
        <v>147</v>
      </c>
      <c r="N56" s="7">
        <v>104.4</v>
      </c>
      <c r="O56" s="7">
        <v>39.56004</v>
      </c>
      <c r="P56" s="8">
        <f t="shared" si="1"/>
        <v>0.6210724138</v>
      </c>
      <c r="Q56" s="9"/>
      <c r="R56" s="9"/>
      <c r="S56" s="9"/>
      <c r="T56" s="9"/>
      <c r="U56" s="9"/>
      <c r="V56" s="9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9"/>
      <c r="AM56" s="9"/>
      <c r="AN56" s="9"/>
      <c r="AO56" s="9"/>
      <c r="AP56" s="11" t="s">
        <v>28</v>
      </c>
      <c r="AQ56" s="4"/>
    </row>
    <row r="57">
      <c r="A57" s="3"/>
      <c r="B57" s="5" t="s">
        <v>176</v>
      </c>
      <c r="C57" s="5" t="s">
        <v>70</v>
      </c>
      <c r="D57" s="5" t="s">
        <v>177</v>
      </c>
      <c r="E57" s="5" t="s">
        <v>178</v>
      </c>
      <c r="F57" s="5" t="s">
        <v>20</v>
      </c>
      <c r="G57" s="5" t="s">
        <v>128</v>
      </c>
      <c r="H57" s="5" t="s">
        <v>74</v>
      </c>
      <c r="I57" s="5" t="s">
        <v>179</v>
      </c>
      <c r="J57" s="5" t="s">
        <v>35</v>
      </c>
      <c r="K57" s="5" t="s">
        <v>76</v>
      </c>
      <c r="L57" s="5" t="s">
        <v>26</v>
      </c>
      <c r="M57" s="6" t="s">
        <v>37</v>
      </c>
      <c r="N57" s="7">
        <v>104.4</v>
      </c>
      <c r="O57" s="7">
        <v>37.38366</v>
      </c>
      <c r="P57" s="8">
        <f t="shared" si="1"/>
        <v>0.6419189655</v>
      </c>
      <c r="Q57" s="9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7" t="s">
        <v>129</v>
      </c>
      <c r="AQ57" s="4"/>
    </row>
    <row r="58">
      <c r="A58" s="3"/>
      <c r="B58" s="5" t="s">
        <v>180</v>
      </c>
      <c r="C58" s="5" t="s">
        <v>17</v>
      </c>
      <c r="D58" s="5" t="s">
        <v>181</v>
      </c>
      <c r="E58" s="5" t="s">
        <v>85</v>
      </c>
      <c r="F58" s="5" t="s">
        <v>20</v>
      </c>
      <c r="G58" s="5" t="s">
        <v>21</v>
      </c>
      <c r="H58" s="5" t="s">
        <v>22</v>
      </c>
      <c r="I58" s="5" t="s">
        <v>23</v>
      </c>
      <c r="J58" s="5" t="s">
        <v>46</v>
      </c>
      <c r="K58" s="5" t="s">
        <v>25</v>
      </c>
      <c r="L58" s="5" t="s">
        <v>26</v>
      </c>
      <c r="M58" s="6" t="s">
        <v>47</v>
      </c>
      <c r="N58" s="7">
        <v>69.6</v>
      </c>
      <c r="O58" s="7">
        <v>26.95437</v>
      </c>
      <c r="P58" s="8">
        <f t="shared" si="1"/>
        <v>0.612724569</v>
      </c>
      <c r="Q58" s="9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9"/>
      <c r="AM58" s="9"/>
      <c r="AN58" s="9"/>
      <c r="AO58" s="9"/>
      <c r="AP58" s="11" t="s">
        <v>28</v>
      </c>
      <c r="AQ58" s="4"/>
    </row>
    <row r="59">
      <c r="A59" s="3"/>
      <c r="B59" s="5" t="s">
        <v>182</v>
      </c>
      <c r="C59" s="5" t="s">
        <v>17</v>
      </c>
      <c r="D59" s="5" t="s">
        <v>181</v>
      </c>
      <c r="E59" s="5" t="s">
        <v>41</v>
      </c>
      <c r="F59" s="5" t="s">
        <v>20</v>
      </c>
      <c r="G59" s="5" t="s">
        <v>21</v>
      </c>
      <c r="H59" s="5" t="s">
        <v>22</v>
      </c>
      <c r="I59" s="5" t="s">
        <v>23</v>
      </c>
      <c r="J59" s="5" t="s">
        <v>46</v>
      </c>
      <c r="K59" s="5" t="s">
        <v>25</v>
      </c>
      <c r="L59" s="5" t="s">
        <v>26</v>
      </c>
      <c r="M59" s="6" t="s">
        <v>47</v>
      </c>
      <c r="N59" s="7">
        <v>69.6</v>
      </c>
      <c r="O59" s="7">
        <v>26.95437</v>
      </c>
      <c r="P59" s="8">
        <f t="shared" si="1"/>
        <v>0.612724569</v>
      </c>
      <c r="Q59" s="9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9"/>
      <c r="AM59" s="9"/>
      <c r="AN59" s="9"/>
      <c r="AO59" s="9"/>
      <c r="AP59" s="11" t="s">
        <v>28</v>
      </c>
      <c r="AQ59" s="4"/>
    </row>
    <row r="60">
      <c r="A60" s="3"/>
      <c r="B60" s="5" t="s">
        <v>183</v>
      </c>
      <c r="C60" s="5" t="s">
        <v>30</v>
      </c>
      <c r="D60" s="5" t="s">
        <v>184</v>
      </c>
      <c r="E60" s="5" t="s">
        <v>185</v>
      </c>
      <c r="F60" s="5" t="s">
        <v>33</v>
      </c>
      <c r="G60" s="5" t="s">
        <v>21</v>
      </c>
      <c r="H60" s="5" t="s">
        <v>22</v>
      </c>
      <c r="I60" s="5" t="s">
        <v>34</v>
      </c>
      <c r="J60" s="5" t="s">
        <v>35</v>
      </c>
      <c r="K60" s="5" t="s">
        <v>134</v>
      </c>
      <c r="L60" s="5" t="s">
        <v>26</v>
      </c>
      <c r="M60" s="6" t="s">
        <v>37</v>
      </c>
      <c r="N60" s="7">
        <v>69.6</v>
      </c>
      <c r="O60" s="7">
        <v>26.95437</v>
      </c>
      <c r="P60" s="8">
        <f t="shared" si="1"/>
        <v>0.612724569</v>
      </c>
      <c r="Q60" s="9"/>
      <c r="R60" s="9"/>
      <c r="S60" s="9"/>
      <c r="T60" s="9"/>
      <c r="U60" s="9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9"/>
      <c r="AP60" s="13" t="s">
        <v>38</v>
      </c>
      <c r="AQ60" s="4"/>
    </row>
    <row r="61">
      <c r="A61" s="3"/>
      <c r="B61" s="5" t="s">
        <v>186</v>
      </c>
      <c r="C61" s="5" t="s">
        <v>54</v>
      </c>
      <c r="D61" s="5" t="s">
        <v>187</v>
      </c>
      <c r="E61" s="5" t="s">
        <v>144</v>
      </c>
      <c r="F61" s="5" t="s">
        <v>20</v>
      </c>
      <c r="G61" s="5" t="s">
        <v>62</v>
      </c>
      <c r="H61" s="5" t="s">
        <v>22</v>
      </c>
      <c r="I61" s="5" t="s">
        <v>143</v>
      </c>
      <c r="J61" s="5" t="s">
        <v>35</v>
      </c>
      <c r="K61" s="5" t="s">
        <v>58</v>
      </c>
      <c r="L61" s="5" t="s">
        <v>26</v>
      </c>
      <c r="M61" s="6" t="s">
        <v>144</v>
      </c>
      <c r="N61" s="7">
        <v>197.2</v>
      </c>
      <c r="O61" s="7">
        <v>74.78658</v>
      </c>
      <c r="P61" s="8">
        <f t="shared" si="1"/>
        <v>0.6207577079</v>
      </c>
      <c r="Q61" s="9"/>
      <c r="R61" s="9"/>
      <c r="S61" s="9"/>
      <c r="T61" s="9"/>
      <c r="U61" s="9"/>
      <c r="V61" s="9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1" t="s">
        <v>28</v>
      </c>
      <c r="AQ61" s="4"/>
    </row>
    <row r="62">
      <c r="A62" s="3"/>
      <c r="B62" s="5" t="s">
        <v>188</v>
      </c>
      <c r="C62" s="5" t="s">
        <v>30</v>
      </c>
      <c r="D62" s="5" t="s">
        <v>189</v>
      </c>
      <c r="E62" s="5" t="s">
        <v>190</v>
      </c>
      <c r="F62" s="5" t="s">
        <v>20</v>
      </c>
      <c r="G62" s="5" t="s">
        <v>128</v>
      </c>
      <c r="H62" s="5" t="s">
        <v>22</v>
      </c>
      <c r="I62" s="5" t="s">
        <v>34</v>
      </c>
      <c r="J62" s="5" t="s">
        <v>35</v>
      </c>
      <c r="K62" s="5" t="s">
        <v>36</v>
      </c>
      <c r="L62" s="5" t="s">
        <v>26</v>
      </c>
      <c r="M62" s="6" t="s">
        <v>37</v>
      </c>
      <c r="N62" s="7">
        <v>174.0</v>
      </c>
      <c r="O62" s="7">
        <v>66.52404</v>
      </c>
      <c r="P62" s="8">
        <f t="shared" si="1"/>
        <v>0.617677931</v>
      </c>
      <c r="Q62" s="9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9"/>
      <c r="AN62" s="9"/>
      <c r="AO62" s="9"/>
      <c r="AP62" s="17" t="s">
        <v>129</v>
      </c>
      <c r="AQ62" s="4"/>
    </row>
    <row r="63">
      <c r="A63" s="3"/>
      <c r="B63" s="5" t="s">
        <v>191</v>
      </c>
      <c r="C63" s="5" t="s">
        <v>17</v>
      </c>
      <c r="D63" s="5" t="s">
        <v>192</v>
      </c>
      <c r="E63" s="5" t="s">
        <v>193</v>
      </c>
      <c r="F63" s="5" t="s">
        <v>33</v>
      </c>
      <c r="G63" s="5" t="s">
        <v>21</v>
      </c>
      <c r="H63" s="5" t="s">
        <v>22</v>
      </c>
      <c r="I63" s="5" t="s">
        <v>45</v>
      </c>
      <c r="J63" s="5" t="s">
        <v>46</v>
      </c>
      <c r="K63" s="5" t="s">
        <v>25</v>
      </c>
      <c r="L63" s="5" t="s">
        <v>26</v>
      </c>
      <c r="M63" s="6" t="s">
        <v>47</v>
      </c>
      <c r="N63" s="7">
        <v>58.0</v>
      </c>
      <c r="O63" s="7">
        <v>23.04459</v>
      </c>
      <c r="P63" s="8">
        <f t="shared" si="1"/>
        <v>0.6026794828</v>
      </c>
      <c r="Q63" s="9"/>
      <c r="R63" s="9"/>
      <c r="S63" s="9"/>
      <c r="T63" s="9"/>
      <c r="U63" s="9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9"/>
      <c r="AO63" s="9"/>
      <c r="AP63" s="13" t="s">
        <v>38</v>
      </c>
      <c r="AQ63" s="4"/>
    </row>
    <row r="64">
      <c r="A64" s="3"/>
      <c r="B64" s="5" t="s">
        <v>194</v>
      </c>
      <c r="C64" s="5" t="s">
        <v>17</v>
      </c>
      <c r="D64" s="5" t="s">
        <v>195</v>
      </c>
      <c r="E64" s="5" t="s">
        <v>193</v>
      </c>
      <c r="F64" s="5" t="s">
        <v>20</v>
      </c>
      <c r="G64" s="5" t="s">
        <v>21</v>
      </c>
      <c r="H64" s="5" t="s">
        <v>22</v>
      </c>
      <c r="I64" s="5" t="s">
        <v>23</v>
      </c>
      <c r="J64" s="5" t="s">
        <v>46</v>
      </c>
      <c r="K64" s="5" t="s">
        <v>25</v>
      </c>
      <c r="L64" s="5" t="s">
        <v>26</v>
      </c>
      <c r="M64" s="6" t="s">
        <v>47</v>
      </c>
      <c r="N64" s="7">
        <v>75.4</v>
      </c>
      <c r="O64" s="7">
        <v>29.13075</v>
      </c>
      <c r="P64" s="8">
        <f t="shared" si="1"/>
        <v>0.6136505305</v>
      </c>
      <c r="Q64" s="9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9"/>
      <c r="AM64" s="9"/>
      <c r="AN64" s="9"/>
      <c r="AO64" s="9"/>
      <c r="AP64" s="11" t="s">
        <v>28</v>
      </c>
      <c r="AQ64" s="4"/>
    </row>
    <row r="65">
      <c r="A65" s="3"/>
      <c r="B65" s="5" t="s">
        <v>196</v>
      </c>
      <c r="C65" s="5" t="s">
        <v>17</v>
      </c>
      <c r="D65" s="5" t="s">
        <v>197</v>
      </c>
      <c r="E65" s="5" t="s">
        <v>193</v>
      </c>
      <c r="F65" s="5" t="s">
        <v>33</v>
      </c>
      <c r="G65" s="5" t="s">
        <v>21</v>
      </c>
      <c r="H65" s="5" t="s">
        <v>22</v>
      </c>
      <c r="I65" s="5" t="s">
        <v>45</v>
      </c>
      <c r="J65" s="5" t="s">
        <v>24</v>
      </c>
      <c r="K65" s="5" t="s">
        <v>25</v>
      </c>
      <c r="L65" s="5" t="s">
        <v>26</v>
      </c>
      <c r="M65" s="6" t="s">
        <v>83</v>
      </c>
      <c r="N65" s="7">
        <v>174.0</v>
      </c>
      <c r="O65" s="7">
        <v>66.52404</v>
      </c>
      <c r="P65" s="8">
        <f t="shared" si="1"/>
        <v>0.617677931</v>
      </c>
      <c r="Q65" s="9"/>
      <c r="R65" s="9"/>
      <c r="S65" s="9"/>
      <c r="T65" s="9"/>
      <c r="U65" s="9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9"/>
      <c r="AO65" s="9"/>
      <c r="AP65" s="13" t="s">
        <v>38</v>
      </c>
      <c r="AQ65" s="4"/>
    </row>
    <row r="66">
      <c r="A66" s="3"/>
      <c r="B66" s="5" t="s">
        <v>198</v>
      </c>
      <c r="C66" s="5" t="s">
        <v>70</v>
      </c>
      <c r="D66" s="5" t="s">
        <v>199</v>
      </c>
      <c r="E66" s="5" t="s">
        <v>200</v>
      </c>
      <c r="F66" s="5" t="s">
        <v>20</v>
      </c>
      <c r="G66" s="5" t="s">
        <v>128</v>
      </c>
      <c r="H66" s="5" t="s">
        <v>74</v>
      </c>
      <c r="I66" s="5" t="s">
        <v>179</v>
      </c>
      <c r="J66" s="5" t="s">
        <v>35</v>
      </c>
      <c r="K66" s="5" t="s">
        <v>76</v>
      </c>
      <c r="L66" s="5" t="s">
        <v>26</v>
      </c>
      <c r="M66" s="6" t="s">
        <v>201</v>
      </c>
      <c r="N66" s="7">
        <v>81.2</v>
      </c>
      <c r="O66" s="7">
        <v>29.13075</v>
      </c>
      <c r="P66" s="8">
        <f t="shared" si="1"/>
        <v>0.6412469212</v>
      </c>
      <c r="Q66" s="9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17" t="s">
        <v>129</v>
      </c>
      <c r="AQ66" s="4"/>
    </row>
    <row r="67">
      <c r="A67" s="3"/>
      <c r="B67" s="5" t="s">
        <v>202</v>
      </c>
      <c r="C67" s="5" t="s">
        <v>17</v>
      </c>
      <c r="D67" s="5" t="s">
        <v>203</v>
      </c>
      <c r="E67" s="5" t="s">
        <v>41</v>
      </c>
      <c r="F67" s="5" t="s">
        <v>204</v>
      </c>
      <c r="G67" s="5" t="s">
        <v>21</v>
      </c>
      <c r="H67" s="5" t="s">
        <v>22</v>
      </c>
      <c r="I67" s="5" t="s">
        <v>45</v>
      </c>
      <c r="J67" s="5" t="s">
        <v>35</v>
      </c>
      <c r="K67" s="5" t="s">
        <v>25</v>
      </c>
      <c r="L67" s="5" t="s">
        <v>26</v>
      </c>
      <c r="M67" s="6" t="s">
        <v>42</v>
      </c>
      <c r="N67" s="7">
        <v>46.4</v>
      </c>
      <c r="O67" s="7">
        <v>18.25848</v>
      </c>
      <c r="P67" s="8">
        <f t="shared" si="1"/>
        <v>0.6064982759</v>
      </c>
      <c r="Q67" s="18"/>
      <c r="R67" s="18"/>
      <c r="S67" s="18"/>
      <c r="T67" s="18"/>
      <c r="U67" s="18"/>
      <c r="V67" s="18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19" t="s">
        <v>205</v>
      </c>
      <c r="AQ67" s="4"/>
    </row>
    <row r="68">
      <c r="A68" s="3"/>
      <c r="B68" s="5" t="s">
        <v>206</v>
      </c>
      <c r="C68" s="5" t="s">
        <v>17</v>
      </c>
      <c r="D68" s="5" t="s">
        <v>103</v>
      </c>
      <c r="E68" s="5" t="s">
        <v>41</v>
      </c>
      <c r="F68" s="5" t="s">
        <v>33</v>
      </c>
      <c r="G68" s="5" t="s">
        <v>21</v>
      </c>
      <c r="H68" s="5" t="s">
        <v>22</v>
      </c>
      <c r="I68" s="5" t="s">
        <v>45</v>
      </c>
      <c r="J68" s="5" t="s">
        <v>24</v>
      </c>
      <c r="K68" s="5" t="s">
        <v>25</v>
      </c>
      <c r="L68" s="5" t="s">
        <v>26</v>
      </c>
      <c r="M68" s="6" t="s">
        <v>42</v>
      </c>
      <c r="N68" s="7">
        <v>58.0</v>
      </c>
      <c r="O68" s="7">
        <v>23.04459</v>
      </c>
      <c r="P68" s="8">
        <f t="shared" si="1"/>
        <v>0.6026794828</v>
      </c>
      <c r="Q68" s="9"/>
      <c r="R68" s="9"/>
      <c r="S68" s="9"/>
      <c r="T68" s="9"/>
      <c r="U68" s="9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9"/>
      <c r="AO68" s="9"/>
      <c r="AP68" s="13" t="s">
        <v>38</v>
      </c>
      <c r="AQ68" s="4"/>
    </row>
    <row r="69">
      <c r="A69" s="3"/>
      <c r="B69" s="5" t="s">
        <v>207</v>
      </c>
      <c r="C69" s="5" t="s">
        <v>17</v>
      </c>
      <c r="D69" s="5" t="s">
        <v>208</v>
      </c>
      <c r="E69" s="5" t="s">
        <v>41</v>
      </c>
      <c r="F69" s="5" t="s">
        <v>20</v>
      </c>
      <c r="G69" s="5" t="s">
        <v>21</v>
      </c>
      <c r="H69" s="5" t="s">
        <v>22</v>
      </c>
      <c r="I69" s="5" t="s">
        <v>23</v>
      </c>
      <c r="J69" s="5" t="s">
        <v>46</v>
      </c>
      <c r="K69" s="5" t="s">
        <v>25</v>
      </c>
      <c r="L69" s="5" t="s">
        <v>26</v>
      </c>
      <c r="M69" s="6" t="s">
        <v>147</v>
      </c>
      <c r="N69" s="7">
        <v>104.4</v>
      </c>
      <c r="O69" s="7">
        <v>39.56004</v>
      </c>
      <c r="P69" s="8">
        <f t="shared" si="1"/>
        <v>0.6210724138</v>
      </c>
      <c r="Q69" s="9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9"/>
      <c r="AM69" s="9"/>
      <c r="AN69" s="9"/>
      <c r="AO69" s="9"/>
      <c r="AP69" s="11" t="s">
        <v>28</v>
      </c>
      <c r="AQ69" s="4"/>
    </row>
    <row r="70">
      <c r="A70" s="3"/>
      <c r="B70" s="5" t="s">
        <v>209</v>
      </c>
      <c r="C70" s="5" t="s">
        <v>17</v>
      </c>
      <c r="D70" s="5" t="s">
        <v>18</v>
      </c>
      <c r="E70" s="5" t="s">
        <v>41</v>
      </c>
      <c r="F70" s="5" t="s">
        <v>20</v>
      </c>
      <c r="G70" s="5" t="s">
        <v>21</v>
      </c>
      <c r="H70" s="5" t="s">
        <v>22</v>
      </c>
      <c r="I70" s="5" t="s">
        <v>23</v>
      </c>
      <c r="J70" s="5" t="s">
        <v>24</v>
      </c>
      <c r="K70" s="5" t="s">
        <v>25</v>
      </c>
      <c r="L70" s="5" t="s">
        <v>26</v>
      </c>
      <c r="M70" s="6" t="s">
        <v>27</v>
      </c>
      <c r="N70" s="7">
        <v>104.4</v>
      </c>
      <c r="O70" s="7">
        <v>39.56004</v>
      </c>
      <c r="P70" s="8">
        <f t="shared" si="1"/>
        <v>0.6210724138</v>
      </c>
      <c r="Q70" s="9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9"/>
      <c r="AM70" s="9"/>
      <c r="AN70" s="9"/>
      <c r="AO70" s="9"/>
      <c r="AP70" s="11" t="s">
        <v>28</v>
      </c>
      <c r="AQ70" s="4"/>
    </row>
    <row r="71">
      <c r="A71" s="3"/>
      <c r="B71" s="5" t="s">
        <v>210</v>
      </c>
      <c r="C71" s="5" t="s">
        <v>17</v>
      </c>
      <c r="D71" s="5" t="s">
        <v>211</v>
      </c>
      <c r="E71" s="5" t="s">
        <v>41</v>
      </c>
      <c r="F71" s="5" t="s">
        <v>20</v>
      </c>
      <c r="G71" s="5" t="s">
        <v>21</v>
      </c>
      <c r="H71" s="5" t="s">
        <v>22</v>
      </c>
      <c r="I71" s="5" t="s">
        <v>23</v>
      </c>
      <c r="J71" s="5" t="s">
        <v>50</v>
      </c>
      <c r="K71" s="5" t="s">
        <v>25</v>
      </c>
      <c r="L71" s="5" t="s">
        <v>26</v>
      </c>
      <c r="M71" s="6" t="s">
        <v>83</v>
      </c>
      <c r="N71" s="7">
        <v>313.2</v>
      </c>
      <c r="O71" s="7">
        <v>124.78554</v>
      </c>
      <c r="P71" s="8">
        <f t="shared" si="1"/>
        <v>0.6015787356</v>
      </c>
      <c r="Q71" s="9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9"/>
      <c r="AM71" s="9"/>
      <c r="AN71" s="9"/>
      <c r="AO71" s="9"/>
      <c r="AP71" s="11" t="s">
        <v>28</v>
      </c>
      <c r="AQ71" s="4"/>
    </row>
    <row r="72">
      <c r="A72" s="3"/>
      <c r="B72" s="5" t="s">
        <v>212</v>
      </c>
      <c r="C72" s="5" t="s">
        <v>17</v>
      </c>
      <c r="D72" s="5" t="s">
        <v>211</v>
      </c>
      <c r="E72" s="5" t="s">
        <v>88</v>
      </c>
      <c r="F72" s="5" t="s">
        <v>20</v>
      </c>
      <c r="G72" s="5" t="s">
        <v>21</v>
      </c>
      <c r="H72" s="5" t="s">
        <v>22</v>
      </c>
      <c r="I72" s="5" t="s">
        <v>23</v>
      </c>
      <c r="J72" s="5" t="s">
        <v>50</v>
      </c>
      <c r="K72" s="5" t="s">
        <v>25</v>
      </c>
      <c r="L72" s="5" t="s">
        <v>26</v>
      </c>
      <c r="M72" s="6" t="s">
        <v>83</v>
      </c>
      <c r="N72" s="7">
        <v>313.2</v>
      </c>
      <c r="O72" s="7">
        <v>124.78554</v>
      </c>
      <c r="P72" s="8">
        <f t="shared" si="1"/>
        <v>0.6015787356</v>
      </c>
      <c r="Q72" s="9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9"/>
      <c r="AM72" s="9"/>
      <c r="AN72" s="9"/>
      <c r="AO72" s="9"/>
      <c r="AP72" s="11" t="s">
        <v>28</v>
      </c>
      <c r="AQ72" s="4"/>
    </row>
    <row r="73">
      <c r="A73" s="3"/>
      <c r="B73" s="5" t="s">
        <v>213</v>
      </c>
      <c r="C73" s="5" t="s">
        <v>17</v>
      </c>
      <c r="D73" s="5" t="s">
        <v>214</v>
      </c>
      <c r="E73" s="5" t="s">
        <v>41</v>
      </c>
      <c r="F73" s="5" t="s">
        <v>33</v>
      </c>
      <c r="G73" s="5" t="s">
        <v>21</v>
      </c>
      <c r="H73" s="5" t="s">
        <v>22</v>
      </c>
      <c r="I73" s="5" t="s">
        <v>45</v>
      </c>
      <c r="J73" s="5" t="s">
        <v>46</v>
      </c>
      <c r="K73" s="5" t="s">
        <v>25</v>
      </c>
      <c r="L73" s="5" t="s">
        <v>26</v>
      </c>
      <c r="M73" s="6" t="s">
        <v>147</v>
      </c>
      <c r="N73" s="7">
        <v>81.2</v>
      </c>
      <c r="O73" s="7">
        <v>31.30713</v>
      </c>
      <c r="P73" s="8">
        <f t="shared" si="1"/>
        <v>0.6144442118</v>
      </c>
      <c r="Q73" s="9"/>
      <c r="R73" s="9"/>
      <c r="S73" s="9"/>
      <c r="T73" s="9"/>
      <c r="U73" s="9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9"/>
      <c r="AO73" s="9"/>
      <c r="AP73" s="13" t="s">
        <v>38</v>
      </c>
      <c r="AQ73" s="4"/>
    </row>
    <row r="74">
      <c r="A74" s="3"/>
      <c r="B74" s="5" t="s">
        <v>215</v>
      </c>
      <c r="C74" s="5" t="s">
        <v>30</v>
      </c>
      <c r="D74" s="5" t="s">
        <v>216</v>
      </c>
      <c r="E74" s="5" t="s">
        <v>217</v>
      </c>
      <c r="F74" s="5" t="s">
        <v>20</v>
      </c>
      <c r="G74" s="5" t="s">
        <v>62</v>
      </c>
      <c r="H74" s="5" t="s">
        <v>22</v>
      </c>
      <c r="I74" s="5" t="s">
        <v>34</v>
      </c>
      <c r="J74" s="5" t="s">
        <v>35</v>
      </c>
      <c r="K74" s="5" t="s">
        <v>36</v>
      </c>
      <c r="L74" s="5" t="s">
        <v>26</v>
      </c>
      <c r="M74" s="6" t="s">
        <v>37</v>
      </c>
      <c r="N74" s="7">
        <v>174.0</v>
      </c>
      <c r="O74" s="7">
        <v>66.52404</v>
      </c>
      <c r="P74" s="8">
        <f t="shared" si="1"/>
        <v>0.617677931</v>
      </c>
      <c r="Q74" s="9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1" t="s">
        <v>28</v>
      </c>
      <c r="AQ74" s="4"/>
    </row>
    <row r="75">
      <c r="A75" s="3"/>
      <c r="B75" s="5" t="s">
        <v>218</v>
      </c>
      <c r="C75" s="5" t="s">
        <v>17</v>
      </c>
      <c r="D75" s="5" t="s">
        <v>219</v>
      </c>
      <c r="E75" s="5" t="s">
        <v>88</v>
      </c>
      <c r="F75" s="5" t="s">
        <v>20</v>
      </c>
      <c r="G75" s="5" t="s">
        <v>21</v>
      </c>
      <c r="H75" s="5" t="s">
        <v>22</v>
      </c>
      <c r="I75" s="5" t="s">
        <v>23</v>
      </c>
      <c r="J75" s="5" t="s">
        <v>220</v>
      </c>
      <c r="K75" s="5" t="s">
        <v>25</v>
      </c>
      <c r="L75" s="5" t="s">
        <v>26</v>
      </c>
      <c r="M75" s="6" t="s">
        <v>83</v>
      </c>
      <c r="N75" s="7">
        <v>313.2</v>
      </c>
      <c r="O75" s="7">
        <v>124.78554</v>
      </c>
      <c r="P75" s="8">
        <f t="shared" si="1"/>
        <v>0.6015787356</v>
      </c>
      <c r="Q75" s="9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9"/>
      <c r="AM75" s="9"/>
      <c r="AN75" s="9"/>
      <c r="AO75" s="9"/>
      <c r="AP75" s="11" t="s">
        <v>28</v>
      </c>
      <c r="AQ75" s="4"/>
    </row>
    <row r="76">
      <c r="A76" s="3"/>
      <c r="B76" s="5" t="s">
        <v>221</v>
      </c>
      <c r="C76" s="5" t="s">
        <v>17</v>
      </c>
      <c r="D76" s="5" t="s">
        <v>219</v>
      </c>
      <c r="E76" s="5" t="s">
        <v>41</v>
      </c>
      <c r="F76" s="5" t="s">
        <v>20</v>
      </c>
      <c r="G76" s="5" t="s">
        <v>21</v>
      </c>
      <c r="H76" s="5" t="s">
        <v>22</v>
      </c>
      <c r="I76" s="5" t="s">
        <v>23</v>
      </c>
      <c r="J76" s="5" t="s">
        <v>220</v>
      </c>
      <c r="K76" s="5" t="s">
        <v>25</v>
      </c>
      <c r="L76" s="5" t="s">
        <v>26</v>
      </c>
      <c r="M76" s="6" t="s">
        <v>83</v>
      </c>
      <c r="N76" s="7">
        <v>313.2</v>
      </c>
      <c r="O76" s="7">
        <v>124.78554</v>
      </c>
      <c r="P76" s="8">
        <f t="shared" si="1"/>
        <v>0.6015787356</v>
      </c>
      <c r="Q76" s="9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9"/>
      <c r="AM76" s="9"/>
      <c r="AN76" s="9"/>
      <c r="AO76" s="9"/>
      <c r="AP76" s="11" t="s">
        <v>28</v>
      </c>
      <c r="AQ76" s="4"/>
    </row>
    <row r="77">
      <c r="A77" s="3"/>
      <c r="B77" s="5" t="s">
        <v>222</v>
      </c>
      <c r="C77" s="5" t="s">
        <v>17</v>
      </c>
      <c r="D77" s="5" t="s">
        <v>223</v>
      </c>
      <c r="E77" s="5" t="s">
        <v>41</v>
      </c>
      <c r="F77" s="5" t="s">
        <v>33</v>
      </c>
      <c r="G77" s="5" t="s">
        <v>21</v>
      </c>
      <c r="H77" s="5" t="s">
        <v>22</v>
      </c>
      <c r="I77" s="5" t="s">
        <v>45</v>
      </c>
      <c r="J77" s="5" t="s">
        <v>112</v>
      </c>
      <c r="K77" s="5" t="s">
        <v>25</v>
      </c>
      <c r="L77" s="5" t="s">
        <v>26</v>
      </c>
      <c r="M77" s="6" t="s">
        <v>47</v>
      </c>
      <c r="N77" s="7">
        <v>58.0</v>
      </c>
      <c r="O77" s="7">
        <v>23.04459</v>
      </c>
      <c r="P77" s="8">
        <f t="shared" si="1"/>
        <v>0.6026794828</v>
      </c>
      <c r="Q77" s="9"/>
      <c r="R77" s="9"/>
      <c r="S77" s="9"/>
      <c r="T77" s="9"/>
      <c r="U77" s="9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9"/>
      <c r="AO77" s="9"/>
      <c r="AP77" s="13" t="s">
        <v>38</v>
      </c>
      <c r="AQ77" s="4"/>
    </row>
    <row r="78">
      <c r="A78" s="3"/>
      <c r="B78" s="5" t="s">
        <v>224</v>
      </c>
      <c r="C78" s="5" t="s">
        <v>17</v>
      </c>
      <c r="D78" s="5" t="s">
        <v>223</v>
      </c>
      <c r="E78" s="5" t="s">
        <v>19</v>
      </c>
      <c r="F78" s="5" t="s">
        <v>33</v>
      </c>
      <c r="G78" s="5" t="s">
        <v>21</v>
      </c>
      <c r="H78" s="5" t="s">
        <v>22</v>
      </c>
      <c r="I78" s="5" t="s">
        <v>45</v>
      </c>
      <c r="J78" s="5" t="s">
        <v>112</v>
      </c>
      <c r="K78" s="5" t="s">
        <v>25</v>
      </c>
      <c r="L78" s="5" t="s">
        <v>26</v>
      </c>
      <c r="M78" s="6" t="s">
        <v>47</v>
      </c>
      <c r="N78" s="7">
        <v>58.0</v>
      </c>
      <c r="O78" s="7">
        <v>23.04459</v>
      </c>
      <c r="P78" s="8">
        <f t="shared" si="1"/>
        <v>0.6026794828</v>
      </c>
      <c r="Q78" s="9"/>
      <c r="R78" s="9"/>
      <c r="S78" s="9"/>
      <c r="T78" s="9"/>
      <c r="U78" s="9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9"/>
      <c r="AO78" s="9"/>
      <c r="AP78" s="13" t="s">
        <v>38</v>
      </c>
      <c r="AQ78" s="4"/>
    </row>
    <row r="79">
      <c r="A79" s="3"/>
      <c r="B79" s="5" t="s">
        <v>225</v>
      </c>
      <c r="C79" s="5" t="s">
        <v>30</v>
      </c>
      <c r="D79" s="5" t="s">
        <v>226</v>
      </c>
      <c r="E79" s="5" t="s">
        <v>227</v>
      </c>
      <c r="F79" s="5" t="s">
        <v>20</v>
      </c>
      <c r="G79" s="5" t="s">
        <v>128</v>
      </c>
      <c r="H79" s="5" t="s">
        <v>22</v>
      </c>
      <c r="I79" s="5" t="s">
        <v>34</v>
      </c>
      <c r="J79" s="5" t="s">
        <v>35</v>
      </c>
      <c r="K79" s="5" t="s">
        <v>36</v>
      </c>
      <c r="L79" s="5" t="s">
        <v>26</v>
      </c>
      <c r="M79" s="6" t="s">
        <v>37</v>
      </c>
      <c r="N79" s="7">
        <v>69.6</v>
      </c>
      <c r="O79" s="7">
        <v>26.95437</v>
      </c>
      <c r="P79" s="8">
        <f t="shared" si="1"/>
        <v>0.612724569</v>
      </c>
      <c r="Q79" s="9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9"/>
      <c r="AJ79" s="9"/>
      <c r="AK79" s="9"/>
      <c r="AL79" s="9"/>
      <c r="AM79" s="9"/>
      <c r="AN79" s="9"/>
      <c r="AO79" s="9"/>
      <c r="AP79" s="17" t="s">
        <v>129</v>
      </c>
      <c r="AQ79" s="4"/>
    </row>
    <row r="80">
      <c r="A80" s="3"/>
      <c r="B80" s="5" t="s">
        <v>228</v>
      </c>
      <c r="C80" s="5" t="s">
        <v>30</v>
      </c>
      <c r="D80" s="5" t="s">
        <v>229</v>
      </c>
      <c r="E80" s="5" t="s">
        <v>230</v>
      </c>
      <c r="F80" s="5" t="s">
        <v>20</v>
      </c>
      <c r="G80" s="5" t="s">
        <v>62</v>
      </c>
      <c r="H80" s="5" t="s">
        <v>22</v>
      </c>
      <c r="I80" s="5" t="s">
        <v>34</v>
      </c>
      <c r="J80" s="5" t="s">
        <v>35</v>
      </c>
      <c r="K80" s="5" t="s">
        <v>36</v>
      </c>
      <c r="L80" s="5" t="s">
        <v>26</v>
      </c>
      <c r="M80" s="6" t="s">
        <v>37</v>
      </c>
      <c r="N80" s="7">
        <v>69.6</v>
      </c>
      <c r="O80" s="7">
        <v>26.95437</v>
      </c>
      <c r="P80" s="8">
        <f t="shared" si="1"/>
        <v>0.612724569</v>
      </c>
      <c r="Q80" s="9"/>
      <c r="R80" s="9"/>
      <c r="S80" s="9"/>
      <c r="T80" s="9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9"/>
      <c r="AM80" s="9"/>
      <c r="AN80" s="9"/>
      <c r="AO80" s="9"/>
      <c r="AP80" s="11" t="s">
        <v>28</v>
      </c>
      <c r="AQ80" s="4"/>
    </row>
    <row r="81">
      <c r="A81" s="3"/>
      <c r="B81" s="5" t="s">
        <v>231</v>
      </c>
      <c r="C81" s="5" t="s">
        <v>30</v>
      </c>
      <c r="D81" s="5" t="s">
        <v>229</v>
      </c>
      <c r="E81" s="5" t="s">
        <v>232</v>
      </c>
      <c r="F81" s="5" t="s">
        <v>20</v>
      </c>
      <c r="G81" s="5" t="s">
        <v>62</v>
      </c>
      <c r="H81" s="5" t="s">
        <v>22</v>
      </c>
      <c r="I81" s="5" t="s">
        <v>34</v>
      </c>
      <c r="J81" s="5" t="s">
        <v>35</v>
      </c>
      <c r="K81" s="5" t="s">
        <v>36</v>
      </c>
      <c r="L81" s="5" t="s">
        <v>26</v>
      </c>
      <c r="M81" s="6" t="s">
        <v>37</v>
      </c>
      <c r="N81" s="7">
        <v>69.6</v>
      </c>
      <c r="O81" s="7">
        <v>26.95437</v>
      </c>
      <c r="P81" s="8">
        <f t="shared" si="1"/>
        <v>0.612724569</v>
      </c>
      <c r="Q81" s="9"/>
      <c r="R81" s="9"/>
      <c r="S81" s="9"/>
      <c r="T81" s="9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9"/>
      <c r="AM81" s="9"/>
      <c r="AN81" s="9"/>
      <c r="AO81" s="9"/>
      <c r="AP81" s="11" t="s">
        <v>28</v>
      </c>
      <c r="AQ81" s="4"/>
    </row>
    <row r="82">
      <c r="A82" s="3"/>
      <c r="B82" s="5" t="s">
        <v>233</v>
      </c>
      <c r="C82" s="5" t="s">
        <v>30</v>
      </c>
      <c r="D82" s="5" t="s">
        <v>234</v>
      </c>
      <c r="E82" s="5" t="s">
        <v>235</v>
      </c>
      <c r="F82" s="5" t="s">
        <v>33</v>
      </c>
      <c r="G82" s="5" t="s">
        <v>21</v>
      </c>
      <c r="H82" s="5" t="s">
        <v>22</v>
      </c>
      <c r="I82" s="5" t="s">
        <v>34</v>
      </c>
      <c r="J82" s="5" t="s">
        <v>35</v>
      </c>
      <c r="K82" s="5" t="s">
        <v>36</v>
      </c>
      <c r="L82" s="5" t="s">
        <v>26</v>
      </c>
      <c r="M82" s="6" t="s">
        <v>37</v>
      </c>
      <c r="N82" s="7">
        <v>52.2</v>
      </c>
      <c r="O82" s="7">
        <v>19.99188</v>
      </c>
      <c r="P82" s="8">
        <f t="shared" si="1"/>
        <v>0.6170137931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9"/>
      <c r="AO82" s="9"/>
      <c r="AP82" s="13" t="s">
        <v>38</v>
      </c>
      <c r="AQ82" s="4"/>
    </row>
    <row r="83">
      <c r="A83" s="3"/>
      <c r="B83" s="5" t="s">
        <v>236</v>
      </c>
      <c r="C83" s="5" t="s">
        <v>30</v>
      </c>
      <c r="D83" s="5" t="s">
        <v>237</v>
      </c>
      <c r="E83" s="5" t="s">
        <v>238</v>
      </c>
      <c r="F83" s="5" t="s">
        <v>20</v>
      </c>
      <c r="G83" s="5" t="s">
        <v>128</v>
      </c>
      <c r="H83" s="5" t="s">
        <v>22</v>
      </c>
      <c r="I83" s="5" t="s">
        <v>34</v>
      </c>
      <c r="J83" s="5" t="s">
        <v>35</v>
      </c>
      <c r="K83" s="5" t="s">
        <v>36</v>
      </c>
      <c r="L83" s="5" t="s">
        <v>26</v>
      </c>
      <c r="M83" s="6" t="s">
        <v>37</v>
      </c>
      <c r="N83" s="7">
        <v>98.6</v>
      </c>
      <c r="O83" s="7">
        <v>37.38366</v>
      </c>
      <c r="P83" s="8">
        <f t="shared" si="1"/>
        <v>0.6208553753</v>
      </c>
      <c r="Q83" s="9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9"/>
      <c r="AN83" s="9"/>
      <c r="AO83" s="9"/>
      <c r="AP83" s="17" t="s">
        <v>129</v>
      </c>
      <c r="AQ83" s="4"/>
    </row>
    <row r="84">
      <c r="A84" s="3"/>
      <c r="B84" s="5" t="s">
        <v>239</v>
      </c>
      <c r="C84" s="5" t="s">
        <v>30</v>
      </c>
      <c r="D84" s="5" t="s">
        <v>240</v>
      </c>
      <c r="E84" s="5" t="s">
        <v>241</v>
      </c>
      <c r="F84" s="5" t="s">
        <v>20</v>
      </c>
      <c r="G84" s="5" t="s">
        <v>62</v>
      </c>
      <c r="H84" s="5" t="s">
        <v>22</v>
      </c>
      <c r="I84" s="5" t="s">
        <v>34</v>
      </c>
      <c r="J84" s="5" t="s">
        <v>35</v>
      </c>
      <c r="K84" s="5" t="s">
        <v>36</v>
      </c>
      <c r="L84" s="5" t="s">
        <v>26</v>
      </c>
      <c r="M84" s="6" t="s">
        <v>37</v>
      </c>
      <c r="N84" s="7">
        <v>98.6</v>
      </c>
      <c r="O84" s="7">
        <v>37.38366</v>
      </c>
      <c r="P84" s="8">
        <f t="shared" si="1"/>
        <v>0.6208553753</v>
      </c>
      <c r="Q84" s="9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9"/>
      <c r="AO84" s="10"/>
      <c r="AP84" s="11" t="s">
        <v>28</v>
      </c>
      <c r="AQ84" s="4"/>
    </row>
    <row r="85">
      <c r="A85" s="3"/>
      <c r="B85" s="5" t="s">
        <v>242</v>
      </c>
      <c r="C85" s="5" t="s">
        <v>17</v>
      </c>
      <c r="D85" s="5" t="s">
        <v>243</v>
      </c>
      <c r="E85" s="5" t="s">
        <v>244</v>
      </c>
      <c r="F85" s="5" t="s">
        <v>33</v>
      </c>
      <c r="G85" s="5" t="s">
        <v>21</v>
      </c>
      <c r="H85" s="5" t="s">
        <v>22</v>
      </c>
      <c r="I85" s="5" t="s">
        <v>45</v>
      </c>
      <c r="J85" s="5" t="s">
        <v>24</v>
      </c>
      <c r="K85" s="5" t="s">
        <v>25</v>
      </c>
      <c r="L85" s="5" t="s">
        <v>26</v>
      </c>
      <c r="M85" s="6" t="s">
        <v>83</v>
      </c>
      <c r="N85" s="7">
        <v>162.4</v>
      </c>
      <c r="O85" s="7">
        <v>62.60463</v>
      </c>
      <c r="P85" s="8">
        <f t="shared" si="1"/>
        <v>0.6145035099</v>
      </c>
      <c r="Q85" s="9"/>
      <c r="R85" s="9"/>
      <c r="S85" s="9"/>
      <c r="T85" s="9"/>
      <c r="U85" s="9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9"/>
      <c r="AO85" s="9"/>
      <c r="AP85" s="13" t="s">
        <v>38</v>
      </c>
      <c r="AQ85" s="4"/>
    </row>
    <row r="86">
      <c r="A86" s="3"/>
      <c r="B86" s="5" t="s">
        <v>245</v>
      </c>
      <c r="C86" s="5" t="s">
        <v>17</v>
      </c>
      <c r="D86" s="5" t="s">
        <v>246</v>
      </c>
      <c r="E86" s="5" t="s">
        <v>244</v>
      </c>
      <c r="F86" s="5" t="s">
        <v>33</v>
      </c>
      <c r="G86" s="5" t="s">
        <v>21</v>
      </c>
      <c r="H86" s="5" t="s">
        <v>22</v>
      </c>
      <c r="I86" s="5" t="s">
        <v>45</v>
      </c>
      <c r="J86" s="5" t="s">
        <v>46</v>
      </c>
      <c r="K86" s="5" t="s">
        <v>25</v>
      </c>
      <c r="L86" s="5" t="s">
        <v>26</v>
      </c>
      <c r="M86" s="6" t="s">
        <v>47</v>
      </c>
      <c r="N86" s="7">
        <v>63.8</v>
      </c>
      <c r="O86" s="7">
        <v>25.22097</v>
      </c>
      <c r="P86" s="8">
        <f t="shared" si="1"/>
        <v>0.6046869906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13" t="s">
        <v>38</v>
      </c>
      <c r="AQ86" s="4"/>
    </row>
    <row r="87">
      <c r="A87" s="3"/>
      <c r="B87" s="5" t="s">
        <v>247</v>
      </c>
      <c r="C87" s="5" t="s">
        <v>17</v>
      </c>
      <c r="D87" s="5" t="s">
        <v>197</v>
      </c>
      <c r="E87" s="5" t="s">
        <v>244</v>
      </c>
      <c r="F87" s="5" t="s">
        <v>33</v>
      </c>
      <c r="G87" s="5" t="s">
        <v>21</v>
      </c>
      <c r="H87" s="5" t="s">
        <v>22</v>
      </c>
      <c r="I87" s="5" t="s">
        <v>45</v>
      </c>
      <c r="J87" s="5" t="s">
        <v>24</v>
      </c>
      <c r="K87" s="5" t="s">
        <v>25</v>
      </c>
      <c r="L87" s="5" t="s">
        <v>26</v>
      </c>
      <c r="M87" s="6" t="s">
        <v>83</v>
      </c>
      <c r="N87" s="7">
        <v>174.0</v>
      </c>
      <c r="O87" s="7">
        <v>66.52404</v>
      </c>
      <c r="P87" s="8">
        <f t="shared" si="1"/>
        <v>0.617677931</v>
      </c>
      <c r="Q87" s="9"/>
      <c r="R87" s="9"/>
      <c r="S87" s="9"/>
      <c r="T87" s="9"/>
      <c r="U87" s="9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9"/>
      <c r="AG87" s="12"/>
      <c r="AH87" s="12"/>
      <c r="AI87" s="12"/>
      <c r="AJ87" s="12"/>
      <c r="AK87" s="12"/>
      <c r="AL87" s="12"/>
      <c r="AM87" s="12"/>
      <c r="AN87" s="9"/>
      <c r="AO87" s="9"/>
      <c r="AP87" s="13" t="s">
        <v>38</v>
      </c>
      <c r="AQ87" s="4"/>
    </row>
  </sheetData>
  <drawing r:id="rId1"/>
</worksheet>
</file>
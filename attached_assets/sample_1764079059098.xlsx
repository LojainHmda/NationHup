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jai\OneDrive\Desktop\"/>
    </mc:Choice>
  </mc:AlternateContent>
  <xr:revisionPtr revIDLastSave="0" documentId="13_ncr:1_{669DD298-48AF-4AFD-8484-BF6186297958}" xr6:coauthVersionLast="47" xr6:coauthVersionMax="47" xr10:uidLastSave="{00000000-0000-0000-0000-000000000000}"/>
  <bookViews>
    <workbookView xWindow="-110" yWindow="-110" windowWidth="19420" windowHeight="10300" xr2:uid="{E640C7F0-A276-47D2-BCA3-0B9EB5E50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<sst xmlns="http://schemas.openxmlformats.org/spreadsheetml/2006/main" count="156" uniqueCount="67">
  <si>
    <t>Images</t>
  </si>
  <si>
    <t>Article Number</t>
  </si>
  <si>
    <t>Key Category</t>
  </si>
  <si>
    <t>Model Name</t>
  </si>
  <si>
    <t>Colourway</t>
  </si>
  <si>
    <t>Age Group</t>
  </si>
  <si>
    <t>Gender</t>
  </si>
  <si>
    <t>Corporate Marketing Line</t>
  </si>
  <si>
    <t>Product Line</t>
  </si>
  <si>
    <t>Product Type</t>
  </si>
  <si>
    <t>Sports Category</t>
  </si>
  <si>
    <t>MOQ CONDITIONS</t>
  </si>
  <si>
    <t>Material
Composition</t>
  </si>
  <si>
    <t>Retail Price</t>
  </si>
  <si>
    <t>PRICE</t>
  </si>
  <si>
    <t>DISCOUNT</t>
  </si>
  <si>
    <t>ADULT</t>
  </si>
  <si>
    <t>UNISEX</t>
  </si>
  <si>
    <t>SPORT PERFORMANCE</t>
  </si>
  <si>
    <t>MOQ=150</t>
  </si>
  <si>
    <t>JR9617</t>
  </si>
  <si>
    <t>OTHER SPECIALIST SPORTS FTW</t>
  </si>
  <si>
    <t>Speedcourt K Velcro</t>
  </si>
  <si>
    <t>core black/ftwr white/core black</t>
  </si>
  <si>
    <t>KIDS</t>
  </si>
  <si>
    <t>OTHER SPECIALIST SPORTS FTW ALL</t>
  </si>
  <si>
    <t>SHOES - LOW (NON FOOTBALL)</t>
  </si>
  <si>
    <t>INDOOR</t>
  </si>
  <si>
    <t>TEXTILE,SYNTHETICS TEXTILE TEXTILE RUBBER</t>
  </si>
  <si>
    <t>KK3849</t>
  </si>
  <si>
    <t>TENNIS FTW</t>
  </si>
  <si>
    <t>Ubersonic k</t>
  </si>
  <si>
    <t>Distilled Pink/Distilled Pink/ftwr white</t>
  </si>
  <si>
    <t>TENNIS FTW KIDS</t>
  </si>
  <si>
    <t>TENNIS</t>
  </si>
  <si>
    <t>KK2044</t>
  </si>
  <si>
    <t>Ligra 8 M</t>
  </si>
  <si>
    <t>ftwr white/Equipment Green/grey one</t>
  </si>
  <si>
    <t>MALE</t>
  </si>
  <si>
    <t>KK2043</t>
  </si>
  <si>
    <t>Solar Purple/ftwr white/Solar Lemon</t>
  </si>
  <si>
    <t>KK3850</t>
  </si>
  <si>
    <t>ftwr white/core black/ftwr white</t>
  </si>
  <si>
    <t>E</t>
  </si>
  <si>
    <t>G</t>
  </si>
  <si>
    <t>KK1742</t>
  </si>
  <si>
    <t>OUTDOOR FTW</t>
  </si>
  <si>
    <t>TERREX TRACEFINDER MINECRAFT J</t>
  </si>
  <si>
    <t>hazy green/wonder alumina/chalky brown</t>
  </si>
  <si>
    <t>JUNIOR</t>
  </si>
  <si>
    <t>TERREX</t>
  </si>
  <si>
    <t>OUTDOOR FTW KIDS</t>
  </si>
  <si>
    <t>TRAIL RUNNING</t>
  </si>
  <si>
    <t>SYNTHETICS,TEXTILE TEXTILE TEXTILE RUBBER</t>
  </si>
  <si>
    <t>D</t>
  </si>
  <si>
    <t>KK1741</t>
  </si>
  <si>
    <t>glory grey/dark blue/grey one</t>
  </si>
  <si>
    <t>HQ5107</t>
  </si>
  <si>
    <t>TERREX TRACEFINDER PLUS GTX</t>
  </si>
  <si>
    <t>brown oxide/light brown/Aurora Coffee</t>
  </si>
  <si>
    <t>OUTDOOR FTW MEN</t>
  </si>
  <si>
    <t>KJ3792</t>
  </si>
  <si>
    <t>core black/grey five/core black</t>
  </si>
  <si>
    <t>HQ5108</t>
  </si>
  <si>
    <t>legend ink/grey three/core black</t>
  </si>
  <si>
    <t>brand</t>
  </si>
  <si>
    <t xml:space="preserve"> Adidas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</si>
</sst>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296334</xdr:colOff>
      <xdr:row>1</xdr:row>
      <xdr:rowOff>127000</xdr:rowOff>
    </xdr:from>
    <xdr:to>
      <xdr:col>0</xdr:col>
      <xdr:colOff>1439334</xdr:colOff>
      <xdr:row>1</xdr:row>
      <xdr:rowOff>1069975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2B704BB-97CF-443A-8EB6-D3AC41A5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4" y="5283200"/>
          <a:ext cx="1143000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2</xdr:row>
      <xdr:rowOff>127000</xdr:rowOff>
    </xdr:from>
    <xdr:to>
      <xdr:col>0</xdr:col>
      <xdr:colOff>1429809</xdr:colOff>
      <xdr:row>2</xdr:row>
      <xdr:rowOff>1069975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AC46F30A-CB9C-42C1-A679-AA35D7346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334" y="11633200"/>
          <a:ext cx="11334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3</xdr:row>
      <xdr:rowOff>127000</xdr:rowOff>
    </xdr:from>
    <xdr:to>
      <xdr:col>0</xdr:col>
      <xdr:colOff>1439334</xdr:colOff>
      <xdr:row>3</xdr:row>
      <xdr:rowOff>1069975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A1DF0910-34A9-40F0-BD94-3326B84B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334" y="12903200"/>
          <a:ext cx="1143000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4</xdr:row>
      <xdr:rowOff>127000</xdr:rowOff>
    </xdr:from>
    <xdr:to>
      <xdr:col>0</xdr:col>
      <xdr:colOff>1439334</xdr:colOff>
      <xdr:row>4</xdr:row>
      <xdr:rowOff>1069975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2BFD1508-B0FE-45D3-8D9A-3290C118B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334" y="14173200"/>
          <a:ext cx="1143000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5</xdr:row>
      <xdr:rowOff>127000</xdr:rowOff>
    </xdr:from>
    <xdr:to>
      <xdr:col>0</xdr:col>
      <xdr:colOff>1429809</xdr:colOff>
      <xdr:row>5</xdr:row>
      <xdr:rowOff>1069975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B3BDD3B9-B405-4D58-AAB6-2ABFE09A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334" y="15443200"/>
          <a:ext cx="11334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6</xdr:row>
      <xdr:rowOff>127000</xdr:rowOff>
    </xdr:from>
    <xdr:to>
      <xdr:col>0</xdr:col>
      <xdr:colOff>1239309</xdr:colOff>
      <xdr:row>6</xdr:row>
      <xdr:rowOff>1069975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2F8C8F12-706C-4B67-BBD9-DC3E85409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334" y="17983200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7</xdr:row>
      <xdr:rowOff>127000</xdr:rowOff>
    </xdr:from>
    <xdr:to>
      <xdr:col>0</xdr:col>
      <xdr:colOff>1239309</xdr:colOff>
      <xdr:row>7</xdr:row>
      <xdr:rowOff>1069975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6610B59-E977-4EA5-9673-1320538C9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334" y="19253200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8</xdr:row>
      <xdr:rowOff>127000</xdr:rowOff>
    </xdr:from>
    <xdr:to>
      <xdr:col>0</xdr:col>
      <xdr:colOff>1239309</xdr:colOff>
      <xdr:row>8</xdr:row>
      <xdr:rowOff>1069975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50A9E138-6A40-430C-81BF-9DDC38DB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334" y="29413200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9</xdr:row>
      <xdr:rowOff>127000</xdr:rowOff>
    </xdr:from>
    <xdr:to>
      <xdr:col>0</xdr:col>
      <xdr:colOff>1239309</xdr:colOff>
      <xdr:row>9</xdr:row>
      <xdr:rowOff>1069975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FA09A33C-1BFE-4A50-A30A-6C29F4BD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334" y="30683200"/>
          <a:ext cx="9429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10</xdr:row>
      <xdr:rowOff>127000</xdr:rowOff>
    </xdr:from>
    <xdr:to>
      <xdr:col>0</xdr:col>
      <xdr:colOff>1239309</xdr:colOff>
      <xdr:row>10</xdr:row>
      <xdr:rowOff>1069975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D3521281-8F3A-4A31-9E8F-7A95DD06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334" y="31953200"/>
          <a:ext cx="94297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B004-D468-4150-8849-8040409DE182}">
  <dimension ref="A1:AQ11"/>
  <sheetViews>
    <sheetView tabSelected="1" topLeftCell="A10" workbookViewId="0">
      <selection activeCell="D2" sqref="D2:D11"/>
    </sheetView>
  </sheetViews>
  <sheetFormatPr defaultRowHeight="14.5" x14ac:dyDescent="0.35"/>
  <sheetData>
    <row r="1" spans="1:43" ht="58" x14ac:dyDescent="0.35">
      <c r="A1" s="1" t="s">
        <v>0</v>
      </c>
      <c r="B1" s="1" t="s">
        <v>1</v>
      </c>
      <c r="C1" s="1" t="s">
        <v>2</v>
      </c>
      <c r="D1" s="1" t="s">
        <v>65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3" t="s">
        <v>15</v>
      </c>
    </row>
    <row r="2" spans="1:43" ht="100" customHeight="1" x14ac:dyDescent="0.35">
      <c r="A2" s="4"/>
      <c r="B2" s="5" t="s">
        <v>20</v>
      </c>
      <c r="C2" s="5" t="s">
        <v>21</v>
      </c>
      <c r="D2" s="5" t="s">
        <v>66</v>
      </c>
      <c r="E2" s="5" t="s">
        <v>22</v>
      </c>
      <c r="F2" s="5" t="s">
        <v>23</v>
      </c>
      <c r="G2" s="5" t="s">
        <v>24</v>
      </c>
      <c r="H2" s="5" t="s">
        <v>17</v>
      </c>
      <c r="I2" s="5" t="s">
        <v>18</v>
      </c>
      <c r="J2" s="5" t="s">
        <v>25</v>
      </c>
      <c r="K2" s="5" t="s">
        <v>26</v>
      </c>
      <c r="L2" s="5" t="s">
        <v>27</v>
      </c>
      <c r="M2" s="5" t="s">
        <v>19</v>
      </c>
      <c r="N2" s="6" t="s">
        <v>28</v>
      </c>
      <c r="O2" s="7">
        <v>52.199999999999996</v>
      </c>
      <c r="P2" s="7">
        <v>19.991880000000002</v>
      </c>
      <c r="Q2" s="8">
        <f t="shared" ref="Q2:Q11" si="0">1-P2/O2</f>
        <v>0.61701379310344828</v>
      </c>
      <c r="R2" s="9"/>
      <c r="S2" s="9"/>
      <c r="T2" s="9"/>
      <c r="U2" s="9"/>
      <c r="V2" s="9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9"/>
      <c r="AP2" s="9"/>
      <c r="AQ2" s="10"/>
    </row>
    <row r="3" spans="1:43" ht="100" customHeight="1" x14ac:dyDescent="0.35">
      <c r="A3" s="4"/>
      <c r="B3" s="5" t="s">
        <v>29</v>
      </c>
      <c r="C3" s="5" t="s">
        <v>30</v>
      </c>
      <c r="D3" s="5" t="s">
        <v>66</v>
      </c>
      <c r="E3" s="5" t="s">
        <v>31</v>
      </c>
      <c r="F3" s="5" t="s">
        <v>32</v>
      </c>
      <c r="G3" s="5" t="s">
        <v>24</v>
      </c>
      <c r="H3" s="5" t="s">
        <v>17</v>
      </c>
      <c r="I3" s="5" t="s">
        <v>18</v>
      </c>
      <c r="J3" s="5" t="s">
        <v>33</v>
      </c>
      <c r="K3" s="5" t="s">
        <v>26</v>
      </c>
      <c r="L3" s="5" t="s">
        <v>34</v>
      </c>
      <c r="M3" s="5" t="s">
        <v>19</v>
      </c>
      <c r="N3" s="6" t="s">
        <v>28</v>
      </c>
      <c r="O3" s="7">
        <v>69.599999999999994</v>
      </c>
      <c r="P3" s="7">
        <v>26.954370000000001</v>
      </c>
      <c r="Q3" s="8">
        <f t="shared" si="0"/>
        <v>0.61272456896551719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9"/>
      <c r="AQ3" s="10" t="s">
        <v>43</v>
      </c>
    </row>
    <row r="4" spans="1:43" ht="100" customHeight="1" x14ac:dyDescent="0.35">
      <c r="A4" s="4"/>
      <c r="B4" s="5" t="s">
        <v>35</v>
      </c>
      <c r="C4" s="5" t="s">
        <v>21</v>
      </c>
      <c r="D4" s="5" t="s">
        <v>66</v>
      </c>
      <c r="E4" s="5" t="s">
        <v>36</v>
      </c>
      <c r="F4" s="5" t="s">
        <v>37</v>
      </c>
      <c r="G4" s="5" t="s">
        <v>16</v>
      </c>
      <c r="H4" s="5" t="s">
        <v>38</v>
      </c>
      <c r="I4" s="5" t="s">
        <v>18</v>
      </c>
      <c r="J4" s="5" t="s">
        <v>25</v>
      </c>
      <c r="K4" s="5" t="s">
        <v>26</v>
      </c>
      <c r="L4" s="5" t="s">
        <v>27</v>
      </c>
      <c r="M4" s="5" t="s">
        <v>19</v>
      </c>
      <c r="N4" s="6" t="s">
        <v>28</v>
      </c>
      <c r="O4" s="7">
        <v>81.199999999999989</v>
      </c>
      <c r="P4" s="7">
        <v>31.307130000000001</v>
      </c>
      <c r="Q4" s="8">
        <f t="shared" si="0"/>
        <v>0.61444421182266007</v>
      </c>
      <c r="R4" s="9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9"/>
      <c r="AP4" s="11"/>
      <c r="AQ4" s="11" t="s">
        <v>44</v>
      </c>
    </row>
    <row r="5" spans="1:43" ht="100" customHeight="1" x14ac:dyDescent="0.35">
      <c r="A5" s="4"/>
      <c r="B5" s="5" t="s">
        <v>39</v>
      </c>
      <c r="C5" s="5" t="s">
        <v>21</v>
      </c>
      <c r="D5" s="5" t="s">
        <v>66</v>
      </c>
      <c r="E5" s="5" t="s">
        <v>36</v>
      </c>
      <c r="F5" s="5" t="s">
        <v>40</v>
      </c>
      <c r="G5" s="5" t="s">
        <v>16</v>
      </c>
      <c r="H5" s="5" t="s">
        <v>38</v>
      </c>
      <c r="I5" s="5" t="s">
        <v>18</v>
      </c>
      <c r="J5" s="5" t="s">
        <v>25</v>
      </c>
      <c r="K5" s="5" t="s">
        <v>26</v>
      </c>
      <c r="L5" s="5" t="s">
        <v>27</v>
      </c>
      <c r="M5" s="5" t="s">
        <v>19</v>
      </c>
      <c r="N5" s="6" t="s">
        <v>28</v>
      </c>
      <c r="O5" s="7">
        <v>81.199999999999989</v>
      </c>
      <c r="P5" s="7">
        <v>31.307130000000001</v>
      </c>
      <c r="Q5" s="8">
        <f t="shared" si="0"/>
        <v>0.61444421182266007</v>
      </c>
      <c r="R5" s="9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9"/>
      <c r="AP5" s="11"/>
      <c r="AQ5" s="11" t="s">
        <v>44</v>
      </c>
    </row>
    <row r="6" spans="1:43" ht="100" customHeight="1" x14ac:dyDescent="0.35">
      <c r="A6" s="4"/>
      <c r="B6" s="5" t="s">
        <v>41</v>
      </c>
      <c r="C6" s="5" t="s">
        <v>30</v>
      </c>
      <c r="D6" s="5" t="s">
        <v>66</v>
      </c>
      <c r="E6" s="5" t="s">
        <v>31</v>
      </c>
      <c r="F6" s="5" t="s">
        <v>42</v>
      </c>
      <c r="G6" s="5" t="s">
        <v>24</v>
      </c>
      <c r="H6" s="5" t="s">
        <v>17</v>
      </c>
      <c r="I6" s="5" t="s">
        <v>18</v>
      </c>
      <c r="J6" s="5" t="s">
        <v>33</v>
      </c>
      <c r="K6" s="5" t="s">
        <v>26</v>
      </c>
      <c r="L6" s="5" t="s">
        <v>34</v>
      </c>
      <c r="M6" s="5" t="s">
        <v>19</v>
      </c>
      <c r="N6" s="6" t="s">
        <v>28</v>
      </c>
      <c r="O6" s="7">
        <v>69.599999999999994</v>
      </c>
      <c r="P6" s="7">
        <v>26.954370000000001</v>
      </c>
      <c r="Q6" s="8">
        <f t="shared" si="0"/>
        <v>0.61272456896551719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  <c r="AQ6" s="10" t="s">
        <v>43</v>
      </c>
    </row>
    <row r="7" spans="1:43" ht="100" customHeight="1" x14ac:dyDescent="0.35">
      <c r="A7" s="4"/>
      <c r="B7" s="5" t="s">
        <v>45</v>
      </c>
      <c r="C7" s="5" t="s">
        <v>46</v>
      </c>
      <c r="D7" s="5" t="s">
        <v>66</v>
      </c>
      <c r="E7" s="5" t="s">
        <v>47</v>
      </c>
      <c r="F7" s="5" t="s">
        <v>48</v>
      </c>
      <c r="G7" s="5" t="s">
        <v>49</v>
      </c>
      <c r="H7" s="5" t="s">
        <v>17</v>
      </c>
      <c r="I7" s="5" t="s">
        <v>50</v>
      </c>
      <c r="J7" s="5" t="s">
        <v>51</v>
      </c>
      <c r="K7" s="5" t="s">
        <v>26</v>
      </c>
      <c r="L7" s="5" t="s">
        <v>52</v>
      </c>
      <c r="M7" s="5" t="s">
        <v>19</v>
      </c>
      <c r="N7" s="6" t="s">
        <v>53</v>
      </c>
      <c r="O7" s="7">
        <v>69.599999999999994</v>
      </c>
      <c r="P7" s="7">
        <v>26.954370000000001</v>
      </c>
      <c r="Q7" s="8">
        <f t="shared" si="0"/>
        <v>0.61272456896551719</v>
      </c>
      <c r="R7" s="12"/>
      <c r="S7" s="12"/>
      <c r="T7" s="12"/>
      <c r="U7" s="12"/>
      <c r="V7" s="12"/>
      <c r="W7" s="12"/>
      <c r="X7" s="12"/>
      <c r="Y7" s="12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2" t="s">
        <v>54</v>
      </c>
    </row>
    <row r="8" spans="1:43" ht="100" customHeight="1" x14ac:dyDescent="0.35">
      <c r="A8" s="4"/>
      <c r="B8" s="5" t="s">
        <v>55</v>
      </c>
      <c r="C8" s="5" t="s">
        <v>46</v>
      </c>
      <c r="D8" s="5" t="s">
        <v>66</v>
      </c>
      <c r="E8" s="5" t="s">
        <v>47</v>
      </c>
      <c r="F8" s="5" t="s">
        <v>56</v>
      </c>
      <c r="G8" s="5" t="s">
        <v>49</v>
      </c>
      <c r="H8" s="5" t="s">
        <v>17</v>
      </c>
      <c r="I8" s="5" t="s">
        <v>50</v>
      </c>
      <c r="J8" s="5" t="s">
        <v>51</v>
      </c>
      <c r="K8" s="5" t="s">
        <v>26</v>
      </c>
      <c r="L8" s="5" t="s">
        <v>52</v>
      </c>
      <c r="M8" s="5" t="s">
        <v>19</v>
      </c>
      <c r="N8" s="6" t="s">
        <v>53</v>
      </c>
      <c r="O8" s="7">
        <v>69.599999999999994</v>
      </c>
      <c r="P8" s="7">
        <v>26.954370000000001</v>
      </c>
      <c r="Q8" s="8">
        <f t="shared" si="0"/>
        <v>0.61272456896551719</v>
      </c>
      <c r="R8" s="12"/>
      <c r="S8" s="12"/>
      <c r="T8" s="12"/>
      <c r="U8" s="12"/>
      <c r="V8" s="12"/>
      <c r="W8" s="12"/>
      <c r="X8" s="12"/>
      <c r="Y8" s="12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12" t="s">
        <v>54</v>
      </c>
    </row>
    <row r="9" spans="1:43" ht="100" customHeight="1" x14ac:dyDescent="0.35">
      <c r="A9" s="4"/>
      <c r="B9" s="5" t="s">
        <v>57</v>
      </c>
      <c r="C9" s="5" t="s">
        <v>46</v>
      </c>
      <c r="D9" s="5" t="s">
        <v>66</v>
      </c>
      <c r="E9" s="5" t="s">
        <v>58</v>
      </c>
      <c r="F9" s="5" t="s">
        <v>59</v>
      </c>
      <c r="G9" s="5" t="s">
        <v>16</v>
      </c>
      <c r="H9" s="5" t="s">
        <v>38</v>
      </c>
      <c r="I9" s="5" t="s">
        <v>50</v>
      </c>
      <c r="J9" s="5" t="s">
        <v>60</v>
      </c>
      <c r="K9" s="5" t="s">
        <v>26</v>
      </c>
      <c r="L9" s="5" t="s">
        <v>52</v>
      </c>
      <c r="M9" s="5" t="s">
        <v>19</v>
      </c>
      <c r="N9" s="6" t="s">
        <v>28</v>
      </c>
      <c r="O9" s="7">
        <v>139.19999999999999</v>
      </c>
      <c r="P9" s="7">
        <v>49.998960000000004</v>
      </c>
      <c r="Q9" s="8">
        <f t="shared" si="0"/>
        <v>0.64081206896551723</v>
      </c>
      <c r="R9" s="9"/>
      <c r="S9" s="9"/>
      <c r="T9" s="9"/>
      <c r="U9" s="9"/>
      <c r="V9" s="9"/>
      <c r="W9" s="9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9"/>
      <c r="AM9" s="11"/>
      <c r="AN9" s="9"/>
      <c r="AO9" s="11"/>
      <c r="AP9" s="9"/>
      <c r="AQ9" s="11" t="s">
        <v>44</v>
      </c>
    </row>
    <row r="10" spans="1:43" ht="100" customHeight="1" x14ac:dyDescent="0.35">
      <c r="A10" s="4"/>
      <c r="B10" s="5" t="s">
        <v>61</v>
      </c>
      <c r="C10" s="5" t="s">
        <v>46</v>
      </c>
      <c r="D10" s="5" t="s">
        <v>66</v>
      </c>
      <c r="E10" s="5" t="s">
        <v>58</v>
      </c>
      <c r="F10" s="5" t="s">
        <v>62</v>
      </c>
      <c r="G10" s="5" t="s">
        <v>16</v>
      </c>
      <c r="H10" s="5" t="s">
        <v>38</v>
      </c>
      <c r="I10" s="5" t="s">
        <v>50</v>
      </c>
      <c r="J10" s="5" t="s">
        <v>60</v>
      </c>
      <c r="K10" s="5" t="s">
        <v>26</v>
      </c>
      <c r="L10" s="5" t="s">
        <v>52</v>
      </c>
      <c r="M10" s="5" t="s">
        <v>19</v>
      </c>
      <c r="N10" s="6" t="s">
        <v>28</v>
      </c>
      <c r="O10" s="7">
        <v>139.19999999999999</v>
      </c>
      <c r="P10" s="7">
        <v>49.998960000000004</v>
      </c>
      <c r="Q10" s="8">
        <f t="shared" si="0"/>
        <v>0.64081206896551723</v>
      </c>
      <c r="R10" s="9"/>
      <c r="S10" s="9"/>
      <c r="T10" s="9"/>
      <c r="U10" s="9"/>
      <c r="V10" s="9"/>
      <c r="W10" s="9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9"/>
      <c r="AM10" s="11"/>
      <c r="AN10" s="9"/>
      <c r="AO10" s="11"/>
      <c r="AP10" s="9"/>
      <c r="AQ10" s="11" t="s">
        <v>44</v>
      </c>
    </row>
    <row r="11" spans="1:43" ht="100" customHeight="1" x14ac:dyDescent="0.35">
      <c r="A11" s="4"/>
      <c r="B11" s="5" t="s">
        <v>63</v>
      </c>
      <c r="C11" s="5" t="s">
        <v>46</v>
      </c>
      <c r="D11" s="5" t="s">
        <v>66</v>
      </c>
      <c r="E11" s="5" t="s">
        <v>58</v>
      </c>
      <c r="F11" s="5" t="s">
        <v>64</v>
      </c>
      <c r="G11" s="5" t="s">
        <v>16</v>
      </c>
      <c r="H11" s="5" t="s">
        <v>38</v>
      </c>
      <c r="I11" s="5" t="s">
        <v>50</v>
      </c>
      <c r="J11" s="5" t="s">
        <v>60</v>
      </c>
      <c r="K11" s="5" t="s">
        <v>26</v>
      </c>
      <c r="L11" s="5" t="s">
        <v>52</v>
      </c>
      <c r="M11" s="5" t="s">
        <v>19</v>
      </c>
      <c r="N11" s="6" t="s">
        <v>28</v>
      </c>
      <c r="O11" s="7">
        <v>139.19999999999999</v>
      </c>
      <c r="P11" s="7">
        <v>49.998960000000004</v>
      </c>
      <c r="Q11" s="8">
        <f t="shared" si="0"/>
        <v>0.64081206896551723</v>
      </c>
      <c r="R11" s="9"/>
      <c r="S11" s="9"/>
      <c r="T11" s="9"/>
      <c r="U11" s="9"/>
      <c r="V11" s="9"/>
      <c r="W11" s="9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9"/>
      <c r="AM11" s="11"/>
      <c r="AN11" s="9"/>
      <c r="AO11" s="11"/>
      <c r="AP11" s="9"/>
      <c r="AQ11" s="11" t="s">
        <v>44</v>
      </c>
    </row>
  </sheetData>
  <conditionalFormatting sqref="B2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3:B6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B7:B8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B9:B1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lojain hamda</dc:creator>
  <cp:lastModifiedBy>lojain hamda</cp:lastModifiedBy>
  <dcterms:created xsi:type="dcterms:W3CDTF">2025-11-23T20:05:44Z</dcterms:created>
  <dcterms:modified xsi:type="dcterms:W3CDTF">2025-11-25T12:31:53Z</dcterms:modified>
</cp:coreProperties>
</file>
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ojai\OneDrive\Desktop\New folder (3)\ShoeHup\wetransfer_fw26_2025-12-20_1221\fw26\skechers fw26\"/>
    </mc:Choice>
  </mc:AlternateContent>
  <xr:revisionPtr revIDLastSave="0" documentId="13_ncr:1_{A2A90C15-3FBD-4AAB-A56E-B29F3395E659}" xr6:coauthVersionLast="47" xr6:coauthVersionMax="47" xr10:uidLastSave="{00000000-0000-0000-0000-000000000000}"/>
  <bookViews>
    <workbookView xWindow="-110" yWindow="-110" windowWidth="19420" windowHeight="10300" xr2:uid="{00000000-000D-0000-FFFF-FFFF00000000}"/>
  </bookViews>
  <sheets>
    <sheet name="----- ------ --- 1 1-12" sheetId="1" r:id="rId1"/>
  </sheets>
  <externalReferences>
    <externalReference r:id="rId2"/>
  </externalReferences>
  <definedNames>
    <definedName name="_xlnm._FilterDatabase" localSheetId="0" hidden="1">'----- ------ --- 1 1-12'!$A$1:$X$1429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415" i="1" l="1"/>
  <c r="V1415" i="1"/>
  <c r="W1414" i="1"/>
  <c r="V1414" i="1"/>
  <c r="W1413" i="1"/>
  <c r="V1413" i="1"/>
  <c r="W1412" i="1"/>
  <c r="V1412" i="1"/>
  <c r="W1411" i="1"/>
  <c r="V1411" i="1"/>
  <c r="W1410" i="1"/>
  <c r="V1410" i="1"/>
  <c r="W1409" i="1"/>
  <c r="V1409" i="1"/>
  <c r="W1408" i="1"/>
  <c r="V1408" i="1"/>
  <c r="W1407" i="1"/>
  <c r="V1407" i="1"/>
  <c r="W1033" i="1"/>
  <c r="V1033" i="1"/>
  <c r="W1032" i="1"/>
  <c r="V1032" i="1"/>
  <c r="W1031" i="1"/>
  <c r="V1031" i="1"/>
  <c r="W1030" i="1"/>
  <c r="V1030" i="1"/>
  <c r="W1029" i="1"/>
  <c r="V1029" i="1"/>
  <c r="W1028" i="1"/>
  <c r="V1028" i="1"/>
  <c r="W1027" i="1"/>
  <c r="V1027" i="1"/>
  <c r="W1026" i="1"/>
  <c r="V1026" i="1"/>
  <c r="W1025" i="1"/>
  <c r="V1025" i="1"/>
  <c r="W1024" i="1"/>
  <c r="V1024" i="1"/>
  <c r="W1023" i="1"/>
  <c r="V1023" i="1"/>
  <c r="W1022" i="1"/>
  <c r="V1022" i="1"/>
  <c r="W1021" i="1"/>
  <c r="V1021" i="1"/>
  <c r="W1020" i="1"/>
  <c r="V1020" i="1"/>
  <c r="W1019" i="1"/>
  <c r="V1019" i="1"/>
  <c r="W1018" i="1"/>
  <c r="V1018" i="1"/>
  <c r="W1017" i="1"/>
  <c r="V1017" i="1"/>
  <c r="W1016" i="1"/>
  <c r="V1016" i="1"/>
  <c r="W1015" i="1"/>
  <c r="V1015" i="1"/>
  <c r="W1014" i="1"/>
  <c r="V1014" i="1"/>
  <c r="W1013" i="1"/>
  <c r="V1013" i="1"/>
  <c r="W1012" i="1"/>
  <c r="V1012" i="1"/>
  <c r="W1011" i="1"/>
  <c r="V1011" i="1"/>
  <c r="W1010" i="1"/>
  <c r="V1010" i="1"/>
  <c r="W1009" i="1"/>
  <c r="V1009" i="1"/>
  <c r="W1008" i="1"/>
  <c r="V1008" i="1"/>
  <c r="W1007" i="1"/>
  <c r="V1007" i="1"/>
  <c r="W1006" i="1"/>
  <c r="V1006" i="1"/>
  <c r="W1005" i="1"/>
  <c r="V1005" i="1"/>
  <c r="W1004" i="1"/>
  <c r="V1004" i="1"/>
  <c r="W1003" i="1"/>
  <c r="V1003" i="1"/>
  <c r="W1002" i="1"/>
  <c r="V1002" i="1"/>
  <c r="W1001" i="1"/>
  <c r="V1001" i="1"/>
  <c r="W1000" i="1"/>
  <c r="V1000" i="1"/>
  <c r="W999" i="1"/>
  <c r="V999" i="1"/>
  <c r="W998" i="1"/>
  <c r="V998" i="1"/>
  <c r="W997" i="1"/>
  <c r="V997" i="1"/>
  <c r="W996" i="1"/>
  <c r="V996" i="1"/>
  <c r="W995" i="1"/>
  <c r="V995" i="1"/>
  <c r="W994" i="1"/>
  <c r="V994" i="1"/>
  <c r="W993" i="1"/>
  <c r="V993" i="1"/>
  <c r="W992" i="1"/>
  <c r="V992" i="1"/>
  <c r="W991" i="1"/>
  <c r="V991" i="1"/>
  <c r="W990" i="1"/>
  <c r="V990" i="1"/>
  <c r="W989" i="1"/>
  <c r="V989" i="1"/>
  <c r="W988" i="1"/>
  <c r="V988" i="1"/>
  <c r="W987" i="1"/>
  <c r="V987" i="1"/>
  <c r="W986" i="1"/>
  <c r="V986" i="1"/>
  <c r="X985" i="1"/>
  <c r="W985" i="1"/>
  <c r="V985" i="1"/>
  <c r="W984" i="1"/>
  <c r="V984" i="1"/>
  <c r="W983" i="1"/>
  <c r="V983" i="1"/>
  <c r="W982" i="1"/>
  <c r="V982" i="1"/>
  <c r="W981" i="1"/>
  <c r="V981" i="1"/>
  <c r="W980" i="1"/>
  <c r="V980" i="1"/>
  <c r="W979" i="1"/>
  <c r="V979" i="1"/>
  <c r="W978" i="1"/>
  <c r="V978" i="1"/>
  <c r="W977" i="1"/>
  <c r="V977" i="1"/>
  <c r="W976" i="1"/>
  <c r="V976" i="1"/>
  <c r="W975" i="1"/>
  <c r="V975" i="1"/>
  <c r="W974" i="1"/>
  <c r="V974" i="1"/>
  <c r="W973" i="1"/>
  <c r="V973" i="1"/>
  <c r="W972" i="1"/>
  <c r="V972" i="1"/>
  <c r="W971" i="1"/>
  <c r="V971" i="1"/>
  <c r="W970" i="1"/>
  <c r="V970" i="1"/>
  <c r="W969" i="1"/>
  <c r="V969" i="1"/>
  <c r="W968" i="1"/>
  <c r="V968" i="1"/>
  <c r="W967" i="1"/>
  <c r="V967" i="1"/>
  <c r="W966" i="1"/>
  <c r="V966" i="1"/>
  <c r="W965" i="1"/>
  <c r="V965" i="1"/>
  <c r="W964" i="1"/>
  <c r="V964" i="1"/>
  <c r="W963" i="1"/>
  <c r="V963" i="1"/>
  <c r="X962" i="1"/>
  <c r="W962" i="1"/>
  <c r="V962" i="1"/>
  <c r="X961" i="1"/>
  <c r="W961" i="1"/>
  <c r="V961" i="1"/>
  <c r="W960" i="1"/>
  <c r="V960" i="1"/>
  <c r="W959" i="1"/>
  <c r="V959" i="1"/>
  <c r="W958" i="1"/>
  <c r="V958" i="1"/>
  <c r="W957" i="1"/>
  <c r="V957" i="1"/>
  <c r="W956" i="1"/>
  <c r="V956" i="1"/>
  <c r="W955" i="1"/>
  <c r="V955" i="1"/>
  <c r="W954" i="1"/>
  <c r="V954" i="1"/>
  <c r="W953" i="1"/>
  <c r="V953" i="1"/>
  <c r="W952" i="1"/>
  <c r="V952" i="1"/>
  <c r="W951" i="1"/>
  <c r="V951" i="1"/>
  <c r="W950" i="1"/>
  <c r="V950" i="1"/>
  <c r="X949" i="1"/>
  <c r="W949" i="1"/>
  <c r="V949" i="1"/>
  <c r="X948" i="1"/>
  <c r="W948" i="1"/>
  <c r="V948" i="1"/>
  <c r="W947" i="1"/>
  <c r="V947" i="1"/>
  <c r="W946" i="1"/>
  <c r="V946" i="1"/>
  <c r="X945" i="1"/>
  <c r="W945" i="1"/>
  <c r="V945" i="1"/>
  <c r="W944" i="1"/>
  <c r="V944" i="1"/>
  <c r="W943" i="1"/>
  <c r="V943" i="1"/>
  <c r="W942" i="1"/>
  <c r="V942" i="1"/>
  <c r="W941" i="1"/>
  <c r="V941" i="1"/>
  <c r="W940" i="1"/>
  <c r="V940" i="1"/>
  <c r="W939" i="1"/>
  <c r="V939" i="1"/>
  <c r="W938" i="1"/>
  <c r="V938" i="1"/>
  <c r="W937" i="1"/>
  <c r="V937" i="1"/>
  <c r="W936" i="1"/>
  <c r="V936" i="1"/>
  <c r="W935" i="1"/>
  <c r="V935" i="1"/>
  <c r="W934" i="1"/>
  <c r="V934" i="1"/>
  <c r="W933" i="1"/>
  <c r="V933" i="1"/>
  <c r="W932" i="1"/>
  <c r="V932" i="1"/>
  <c r="W931" i="1"/>
  <c r="V931" i="1"/>
  <c r="W930" i="1"/>
  <c r="V930" i="1"/>
  <c r="W929" i="1"/>
  <c r="V929" i="1"/>
  <c r="W928" i="1"/>
  <c r="V928" i="1"/>
  <c r="W927" i="1"/>
  <c r="V927" i="1"/>
  <c r="W926" i="1"/>
  <c r="V926" i="1"/>
  <c r="W925" i="1"/>
  <c r="V925" i="1"/>
  <c r="W924" i="1"/>
  <c r="V924" i="1"/>
  <c r="W923" i="1"/>
  <c r="V923" i="1"/>
  <c r="W922" i="1"/>
  <c r="V922" i="1"/>
  <c r="W921" i="1"/>
  <c r="V921" i="1"/>
  <c r="W920" i="1"/>
  <c r="V920" i="1"/>
  <c r="W919" i="1"/>
  <c r="V919" i="1"/>
  <c r="W918" i="1"/>
  <c r="V918" i="1"/>
  <c r="W917" i="1"/>
  <c r="V917" i="1"/>
  <c r="X916" i="1"/>
  <c r="W916" i="1"/>
  <c r="V916" i="1"/>
  <c r="W915" i="1"/>
  <c r="V915" i="1"/>
  <c r="W914" i="1"/>
  <c r="V914" i="1"/>
  <c r="W913" i="1"/>
  <c r="V913" i="1"/>
  <c r="W912" i="1"/>
  <c r="V912" i="1"/>
  <c r="W911" i="1"/>
  <c r="V911" i="1"/>
  <c r="W910" i="1"/>
  <c r="V910" i="1"/>
  <c r="W909" i="1"/>
  <c r="V909" i="1"/>
  <c r="X908" i="1"/>
  <c r="W908" i="1"/>
  <c r="V908" i="1"/>
  <c r="W907" i="1"/>
  <c r="V907" i="1"/>
  <c r="W906" i="1"/>
  <c r="V906" i="1"/>
  <c r="W905" i="1"/>
  <c r="V905" i="1"/>
  <c r="W904" i="1"/>
  <c r="V904" i="1"/>
  <c r="W903" i="1"/>
  <c r="V903" i="1"/>
  <c r="W902" i="1"/>
  <c r="V902" i="1"/>
  <c r="W901" i="1"/>
  <c r="V901" i="1"/>
  <c r="W900" i="1"/>
  <c r="V900" i="1"/>
  <c r="X899" i="1"/>
  <c r="W899" i="1"/>
  <c r="V899" i="1"/>
  <c r="W898" i="1"/>
  <c r="V898" i="1"/>
  <c r="W897" i="1"/>
  <c r="V897" i="1"/>
  <c r="W896" i="1"/>
  <c r="V896" i="1"/>
  <c r="W895" i="1"/>
  <c r="V895" i="1"/>
  <c r="W894" i="1"/>
  <c r="V894" i="1"/>
  <c r="W893" i="1"/>
  <c r="V893" i="1"/>
  <c r="W892" i="1"/>
  <c r="V892" i="1"/>
  <c r="W891" i="1"/>
  <c r="V891" i="1"/>
  <c r="W890" i="1"/>
  <c r="V890" i="1"/>
  <c r="W889" i="1"/>
  <c r="V889" i="1"/>
  <c r="W888" i="1"/>
  <c r="V888" i="1"/>
  <c r="W887" i="1"/>
  <c r="V887" i="1"/>
  <c r="W886" i="1"/>
  <c r="V886" i="1"/>
  <c r="W885" i="1"/>
  <c r="V885" i="1"/>
  <c r="W884" i="1"/>
  <c r="V884" i="1"/>
  <c r="W883" i="1"/>
  <c r="V883" i="1"/>
  <c r="X882" i="1"/>
  <c r="W882" i="1"/>
  <c r="V882" i="1"/>
  <c r="W881" i="1"/>
  <c r="V881" i="1"/>
  <c r="X880" i="1"/>
  <c r="W880" i="1"/>
  <c r="V880" i="1"/>
  <c r="W879" i="1"/>
  <c r="V879" i="1"/>
  <c r="W878" i="1"/>
  <c r="V878" i="1"/>
  <c r="W877" i="1"/>
  <c r="V877" i="1"/>
  <c r="W876" i="1"/>
  <c r="V876" i="1"/>
  <c r="W875" i="1"/>
  <c r="V875" i="1"/>
  <c r="W874" i="1"/>
  <c r="V874" i="1"/>
  <c r="W873" i="1"/>
  <c r="V873" i="1"/>
  <c r="W872" i="1"/>
  <c r="V872" i="1"/>
  <c r="W871" i="1"/>
  <c r="V871" i="1"/>
  <c r="W870" i="1"/>
  <c r="V870" i="1"/>
  <c r="W869" i="1"/>
  <c r="V869" i="1"/>
  <c r="W868" i="1"/>
  <c r="V868" i="1"/>
  <c r="W867" i="1"/>
  <c r="V867" i="1"/>
  <c r="W866" i="1"/>
  <c r="V866" i="1"/>
  <c r="W865" i="1"/>
  <c r="V865" i="1"/>
  <c r="W864" i="1"/>
  <c r="V864" i="1"/>
  <c r="W863" i="1"/>
  <c r="V863" i="1"/>
  <c r="W862" i="1"/>
  <c r="V862" i="1"/>
  <c r="W861" i="1"/>
  <c r="V861" i="1"/>
  <c r="W860" i="1"/>
  <c r="V860" i="1"/>
  <c r="W859" i="1"/>
  <c r="V859" i="1"/>
  <c r="W858" i="1"/>
  <c r="V858" i="1"/>
  <c r="W857" i="1"/>
  <c r="V857" i="1"/>
  <c r="W856" i="1"/>
  <c r="V856" i="1"/>
  <c r="W855" i="1"/>
  <c r="V855" i="1"/>
  <c r="W854" i="1"/>
  <c r="V854" i="1"/>
  <c r="W853" i="1"/>
  <c r="V853" i="1"/>
  <c r="X852" i="1"/>
  <c r="W852" i="1"/>
  <c r="V852" i="1"/>
  <c r="W851" i="1"/>
  <c r="V851" i="1"/>
  <c r="W850" i="1"/>
  <c r="V850" i="1"/>
  <c r="W849" i="1"/>
  <c r="V849" i="1"/>
  <c r="W848" i="1"/>
  <c r="V848" i="1"/>
  <c r="W847" i="1"/>
  <c r="V847" i="1"/>
  <c r="W846" i="1"/>
  <c r="V846" i="1"/>
  <c r="W845" i="1"/>
  <c r="V845" i="1"/>
  <c r="W844" i="1"/>
  <c r="V844" i="1"/>
  <c r="W843" i="1"/>
  <c r="V843" i="1"/>
  <c r="W842" i="1"/>
  <c r="V842" i="1"/>
  <c r="W841" i="1"/>
  <c r="V841" i="1"/>
  <c r="X840" i="1"/>
  <c r="W840" i="1"/>
  <c r="V840" i="1"/>
  <c r="W839" i="1"/>
  <c r="V839" i="1"/>
  <c r="W838" i="1"/>
  <c r="V838" i="1"/>
  <c r="W837" i="1"/>
  <c r="V837" i="1"/>
  <c r="W836" i="1"/>
  <c r="V836" i="1"/>
  <c r="W835" i="1"/>
  <c r="V835" i="1"/>
  <c r="W834" i="1"/>
  <c r="V834" i="1"/>
  <c r="W833" i="1"/>
  <c r="V833" i="1"/>
  <c r="W832" i="1"/>
  <c r="V832" i="1"/>
  <c r="W831" i="1"/>
  <c r="V831" i="1"/>
  <c r="W830" i="1"/>
  <c r="V830" i="1"/>
  <c r="W829" i="1"/>
  <c r="V829" i="1"/>
  <c r="W828" i="1"/>
  <c r="V828" i="1"/>
  <c r="W827" i="1"/>
  <c r="V827" i="1"/>
  <c r="W826" i="1"/>
  <c r="V826" i="1"/>
  <c r="W825" i="1"/>
  <c r="V825" i="1"/>
  <c r="W824" i="1"/>
  <c r="V824" i="1"/>
  <c r="W823" i="1"/>
  <c r="V823" i="1"/>
  <c r="W822" i="1"/>
  <c r="V822" i="1"/>
  <c r="W821" i="1"/>
  <c r="V821" i="1"/>
  <c r="W820" i="1"/>
  <c r="V820" i="1"/>
  <c r="X819" i="1"/>
  <c r="W819" i="1"/>
  <c r="V819" i="1"/>
  <c r="W818" i="1"/>
  <c r="V818" i="1"/>
  <c r="W817" i="1"/>
  <c r="V817" i="1"/>
  <c r="W816" i="1"/>
  <c r="V816" i="1"/>
  <c r="X815" i="1"/>
  <c r="W815" i="1"/>
  <c r="V815" i="1"/>
  <c r="W814" i="1"/>
  <c r="V814" i="1"/>
  <c r="W813" i="1"/>
  <c r="V813" i="1"/>
  <c r="W812" i="1"/>
  <c r="V812" i="1"/>
  <c r="W811" i="1"/>
  <c r="V811" i="1"/>
  <c r="W810" i="1"/>
  <c r="V810" i="1"/>
  <c r="W809" i="1"/>
  <c r="V809" i="1"/>
  <c r="W808" i="1"/>
  <c r="V808" i="1"/>
  <c r="W807" i="1"/>
  <c r="V807" i="1"/>
  <c r="W806" i="1"/>
  <c r="V806" i="1"/>
  <c r="W805" i="1"/>
  <c r="V805" i="1"/>
  <c r="W804" i="1"/>
  <c r="V804" i="1"/>
  <c r="W803" i="1"/>
  <c r="V803" i="1"/>
  <c r="W802" i="1"/>
  <c r="V802" i="1"/>
  <c r="W801" i="1"/>
  <c r="V801" i="1"/>
  <c r="W800" i="1"/>
  <c r="V800" i="1"/>
  <c r="W799" i="1"/>
  <c r="V799" i="1"/>
  <c r="W798" i="1"/>
  <c r="V798" i="1"/>
  <c r="W797" i="1"/>
  <c r="V797" i="1"/>
  <c r="W796" i="1"/>
  <c r="V796" i="1"/>
  <c r="W795" i="1"/>
  <c r="V795" i="1"/>
  <c r="W794" i="1"/>
  <c r="V794" i="1"/>
  <c r="W793" i="1"/>
  <c r="V793" i="1"/>
  <c r="W792" i="1"/>
  <c r="V792" i="1"/>
  <c r="W791" i="1"/>
  <c r="V791" i="1"/>
  <c r="W790" i="1"/>
  <c r="V790" i="1"/>
  <c r="W789" i="1"/>
  <c r="V789" i="1"/>
  <c r="W788" i="1"/>
  <c r="V788" i="1"/>
  <c r="W787" i="1"/>
  <c r="V787" i="1"/>
  <c r="W786" i="1"/>
  <c r="V786" i="1"/>
  <c r="W785" i="1"/>
  <c r="V785" i="1"/>
  <c r="W784" i="1"/>
  <c r="V784" i="1"/>
  <c r="W783" i="1"/>
  <c r="V783" i="1"/>
  <c r="W782" i="1"/>
  <c r="V782" i="1"/>
  <c r="W781" i="1"/>
  <c r="V781" i="1"/>
  <c r="W780" i="1"/>
  <c r="V780" i="1"/>
  <c r="W779" i="1"/>
  <c r="V779" i="1"/>
  <c r="W778" i="1"/>
  <c r="V778" i="1"/>
  <c r="W777" i="1"/>
  <c r="V777" i="1"/>
  <c r="W776" i="1"/>
  <c r="V776" i="1"/>
  <c r="W775" i="1"/>
  <c r="V775" i="1"/>
  <c r="W774" i="1"/>
  <c r="V774" i="1"/>
  <c r="W773" i="1"/>
  <c r="V773" i="1"/>
  <c r="W772" i="1"/>
  <c r="V772" i="1"/>
  <c r="W771" i="1"/>
  <c r="V771" i="1"/>
  <c r="W770" i="1"/>
  <c r="V770" i="1"/>
  <c r="W769" i="1"/>
  <c r="V769" i="1"/>
  <c r="W768" i="1"/>
  <c r="V768" i="1"/>
  <c r="W767" i="1"/>
  <c r="V767" i="1"/>
  <c r="W766" i="1"/>
  <c r="V766" i="1"/>
  <c r="W765" i="1"/>
  <c r="V765" i="1"/>
  <c r="W764" i="1"/>
  <c r="V764" i="1"/>
  <c r="W763" i="1"/>
  <c r="V763" i="1"/>
  <c r="W762" i="1"/>
  <c r="V762" i="1"/>
  <c r="W761" i="1"/>
  <c r="V761" i="1"/>
  <c r="W760" i="1"/>
  <c r="V760" i="1"/>
  <c r="W759" i="1"/>
  <c r="V759" i="1"/>
  <c r="W758" i="1"/>
  <c r="V758" i="1"/>
  <c r="W757" i="1"/>
  <c r="V757" i="1"/>
  <c r="W756" i="1"/>
  <c r="V756" i="1"/>
  <c r="W755" i="1"/>
  <c r="V755" i="1"/>
  <c r="W754" i="1"/>
  <c r="V754" i="1"/>
  <c r="W753" i="1"/>
  <c r="V753" i="1"/>
  <c r="W752" i="1"/>
  <c r="V752" i="1"/>
  <c r="W751" i="1"/>
  <c r="V751" i="1"/>
  <c r="X750" i="1"/>
  <c r="W750" i="1"/>
  <c r="V750" i="1"/>
  <c r="W749" i="1"/>
  <c r="V749" i="1"/>
  <c r="W748" i="1"/>
  <c r="V748" i="1"/>
  <c r="W747" i="1"/>
  <c r="V747" i="1"/>
  <c r="W746" i="1"/>
  <c r="V746" i="1"/>
  <c r="W745" i="1"/>
  <c r="V745" i="1"/>
  <c r="W744" i="1"/>
  <c r="V744" i="1"/>
  <c r="W743" i="1"/>
  <c r="V743" i="1"/>
  <c r="W742" i="1"/>
  <c r="V742" i="1"/>
  <c r="W741" i="1"/>
  <c r="V741" i="1"/>
  <c r="W740" i="1"/>
  <c r="V740" i="1"/>
  <c r="W739" i="1"/>
  <c r="V739" i="1"/>
  <c r="W738" i="1"/>
  <c r="V738" i="1"/>
  <c r="W737" i="1"/>
  <c r="V737" i="1"/>
  <c r="W736" i="1"/>
  <c r="V736" i="1"/>
  <c r="W735" i="1"/>
  <c r="V735" i="1"/>
  <c r="W734" i="1"/>
  <c r="V734" i="1"/>
  <c r="W733" i="1"/>
  <c r="V733" i="1"/>
  <c r="W732" i="1"/>
  <c r="V732" i="1"/>
  <c r="W731" i="1"/>
  <c r="V731" i="1"/>
  <c r="W730" i="1"/>
  <c r="V730" i="1"/>
  <c r="W729" i="1"/>
  <c r="V729" i="1"/>
  <c r="W728" i="1"/>
  <c r="V728" i="1"/>
  <c r="W727" i="1"/>
  <c r="V727" i="1"/>
  <c r="W726" i="1"/>
  <c r="V726" i="1"/>
  <c r="W725" i="1"/>
  <c r="V725" i="1"/>
  <c r="W724" i="1"/>
  <c r="V724" i="1"/>
  <c r="W723" i="1"/>
  <c r="V723" i="1"/>
  <c r="W722" i="1"/>
  <c r="V722" i="1"/>
  <c r="W721" i="1"/>
  <c r="V721" i="1"/>
  <c r="W720" i="1"/>
  <c r="V720" i="1"/>
  <c r="W719" i="1"/>
  <c r="V719" i="1"/>
  <c r="W718" i="1"/>
  <c r="V718" i="1"/>
  <c r="W717" i="1"/>
  <c r="V717" i="1"/>
  <c r="W716" i="1"/>
  <c r="V716" i="1"/>
  <c r="W715" i="1"/>
  <c r="V715" i="1"/>
  <c r="W714" i="1"/>
  <c r="V714" i="1"/>
  <c r="W713" i="1"/>
  <c r="V713" i="1"/>
  <c r="W712" i="1"/>
  <c r="V712" i="1"/>
  <c r="X711" i="1"/>
  <c r="W711" i="1"/>
  <c r="V711" i="1"/>
  <c r="W710" i="1"/>
  <c r="V710" i="1"/>
  <c r="X709" i="1"/>
  <c r="W709" i="1"/>
  <c r="V709" i="1"/>
  <c r="W708" i="1"/>
  <c r="V708" i="1"/>
  <c r="W707" i="1"/>
  <c r="V707" i="1"/>
  <c r="W706" i="1"/>
  <c r="V706" i="1"/>
  <c r="W705" i="1"/>
  <c r="V705" i="1"/>
  <c r="X704" i="1"/>
  <c r="W704" i="1"/>
  <c r="V704" i="1"/>
  <c r="W703" i="1"/>
  <c r="V703" i="1"/>
  <c r="W702" i="1"/>
  <c r="V702" i="1"/>
  <c r="W701" i="1"/>
  <c r="V701" i="1"/>
  <c r="W700" i="1"/>
  <c r="V700" i="1"/>
  <c r="W699" i="1"/>
  <c r="V699" i="1"/>
  <c r="W698" i="1"/>
  <c r="V698" i="1"/>
  <c r="W697" i="1"/>
  <c r="V697" i="1"/>
  <c r="W696" i="1"/>
  <c r="V696" i="1"/>
  <c r="W695" i="1"/>
  <c r="V695" i="1"/>
  <c r="W694" i="1"/>
  <c r="V694" i="1"/>
  <c r="W693" i="1"/>
  <c r="V693" i="1"/>
  <c r="W692" i="1"/>
  <c r="V692" i="1"/>
  <c r="W691" i="1"/>
  <c r="V691" i="1"/>
  <c r="W690" i="1"/>
  <c r="V690" i="1"/>
  <c r="W689" i="1"/>
  <c r="V689" i="1"/>
  <c r="W688" i="1"/>
  <c r="V688" i="1"/>
  <c r="W687" i="1"/>
  <c r="V687" i="1"/>
  <c r="W686" i="1"/>
  <c r="V686" i="1"/>
  <c r="W685" i="1"/>
  <c r="V685" i="1"/>
  <c r="W684" i="1"/>
  <c r="V684" i="1"/>
  <c r="W683" i="1"/>
  <c r="V683" i="1"/>
  <c r="W682" i="1"/>
  <c r="V682" i="1"/>
  <c r="W681" i="1"/>
  <c r="V681" i="1"/>
  <c r="W680" i="1"/>
  <c r="V680" i="1"/>
  <c r="W679" i="1"/>
  <c r="V679" i="1"/>
  <c r="W678" i="1"/>
  <c r="V678" i="1"/>
  <c r="W677" i="1"/>
  <c r="V677" i="1"/>
  <c r="W676" i="1"/>
  <c r="V676" i="1"/>
  <c r="W675" i="1"/>
  <c r="V675" i="1"/>
  <c r="W674" i="1"/>
  <c r="V674" i="1"/>
  <c r="W673" i="1"/>
  <c r="V673" i="1"/>
  <c r="W672" i="1"/>
  <c r="V672" i="1"/>
  <c r="W671" i="1"/>
  <c r="V671" i="1"/>
  <c r="W670" i="1"/>
  <c r="V670" i="1"/>
  <c r="W669" i="1"/>
  <c r="V669" i="1"/>
  <c r="W668" i="1"/>
  <c r="V668" i="1"/>
  <c r="W667" i="1"/>
  <c r="V667" i="1"/>
  <c r="W666" i="1"/>
  <c r="V666" i="1"/>
  <c r="X665" i="1"/>
  <c r="W665" i="1"/>
  <c r="V665" i="1"/>
  <c r="W664" i="1"/>
  <c r="V664" i="1"/>
  <c r="W663" i="1"/>
  <c r="V663" i="1"/>
  <c r="W662" i="1"/>
  <c r="V662" i="1"/>
  <c r="W661" i="1"/>
  <c r="V661" i="1"/>
  <c r="W660" i="1"/>
  <c r="V660" i="1"/>
  <c r="W659" i="1"/>
  <c r="V659" i="1"/>
  <c r="W658" i="1"/>
  <c r="V658" i="1"/>
  <c r="W657" i="1"/>
  <c r="V657" i="1"/>
  <c r="W656" i="1"/>
  <c r="V656" i="1"/>
  <c r="W655" i="1"/>
  <c r="V655" i="1"/>
  <c r="W654" i="1"/>
  <c r="V654" i="1"/>
  <c r="W653" i="1"/>
  <c r="V653" i="1"/>
  <c r="W652" i="1"/>
  <c r="V652" i="1"/>
  <c r="W651" i="1"/>
  <c r="V651" i="1"/>
  <c r="W650" i="1"/>
  <c r="V650" i="1"/>
  <c r="W649" i="1"/>
  <c r="V649" i="1"/>
  <c r="W648" i="1"/>
  <c r="V648" i="1"/>
  <c r="W647" i="1"/>
  <c r="V647" i="1"/>
  <c r="W646" i="1"/>
  <c r="V646" i="1"/>
  <c r="W645" i="1"/>
  <c r="V645" i="1"/>
  <c r="W644" i="1"/>
  <c r="V644" i="1"/>
  <c r="W643" i="1"/>
  <c r="V643" i="1"/>
  <c r="W642" i="1"/>
  <c r="V642" i="1"/>
  <c r="W641" i="1"/>
  <c r="V641" i="1"/>
  <c r="W640" i="1"/>
  <c r="V640" i="1"/>
  <c r="W639" i="1"/>
  <c r="V639" i="1"/>
  <c r="W638" i="1"/>
  <c r="V638" i="1"/>
  <c r="W637" i="1"/>
  <c r="V637" i="1"/>
  <c r="W636" i="1"/>
  <c r="V636" i="1"/>
  <c r="W635" i="1"/>
  <c r="V635" i="1"/>
  <c r="W634" i="1"/>
  <c r="V634" i="1"/>
  <c r="W633" i="1"/>
  <c r="V633" i="1"/>
  <c r="W632" i="1"/>
  <c r="V632" i="1"/>
  <c r="W631" i="1"/>
  <c r="V631" i="1"/>
  <c r="W630" i="1"/>
  <c r="V630" i="1"/>
  <c r="W629" i="1"/>
  <c r="V629" i="1"/>
  <c r="W628" i="1"/>
  <c r="V628" i="1"/>
  <c r="W627" i="1"/>
  <c r="V627" i="1"/>
  <c r="W626" i="1"/>
  <c r="V626" i="1"/>
  <c r="W625" i="1"/>
  <c r="V625" i="1"/>
  <c r="W624" i="1"/>
  <c r="V624" i="1"/>
  <c r="W623" i="1"/>
  <c r="V623" i="1"/>
  <c r="W622" i="1"/>
  <c r="V622" i="1"/>
  <c r="W621" i="1"/>
  <c r="V621" i="1"/>
  <c r="W620" i="1"/>
  <c r="V620" i="1"/>
  <c r="W619" i="1"/>
  <c r="V619" i="1"/>
  <c r="W618" i="1"/>
  <c r="V618" i="1"/>
  <c r="X617" i="1"/>
  <c r="W617" i="1"/>
  <c r="V617" i="1"/>
  <c r="W616" i="1"/>
  <c r="V616" i="1"/>
  <c r="W615" i="1"/>
  <c r="V615" i="1"/>
  <c r="W614" i="1"/>
  <c r="V614" i="1"/>
  <c r="W613" i="1"/>
  <c r="V613" i="1"/>
  <c r="W612" i="1"/>
  <c r="V612" i="1"/>
  <c r="W611" i="1"/>
  <c r="V611" i="1"/>
  <c r="W610" i="1"/>
  <c r="V610" i="1"/>
  <c r="W609" i="1"/>
  <c r="V609" i="1"/>
  <c r="W608" i="1"/>
  <c r="V608" i="1"/>
  <c r="W607" i="1"/>
  <c r="V607" i="1"/>
  <c r="W606" i="1"/>
  <c r="V606" i="1"/>
  <c r="W605" i="1"/>
  <c r="V605" i="1"/>
  <c r="W604" i="1"/>
  <c r="V604" i="1"/>
  <c r="W603" i="1"/>
  <c r="V603" i="1"/>
  <c r="W602" i="1"/>
  <c r="V602" i="1"/>
  <c r="W601" i="1"/>
  <c r="V601" i="1"/>
  <c r="W600" i="1"/>
  <c r="V600" i="1"/>
  <c r="W599" i="1"/>
  <c r="V599" i="1"/>
  <c r="W598" i="1"/>
  <c r="V598" i="1"/>
  <c r="W597" i="1"/>
  <c r="V597" i="1"/>
  <c r="W596" i="1"/>
  <c r="V596" i="1"/>
  <c r="W595" i="1"/>
  <c r="V595" i="1"/>
  <c r="X594" i="1"/>
  <c r="W594" i="1"/>
  <c r="V594" i="1"/>
  <c r="W593" i="1"/>
  <c r="V593" i="1"/>
  <c r="W592" i="1"/>
  <c r="V592" i="1"/>
  <c r="W591" i="1"/>
  <c r="V591" i="1"/>
  <c r="W590" i="1"/>
  <c r="V590" i="1"/>
  <c r="W589" i="1"/>
  <c r="V589" i="1"/>
  <c r="W588" i="1"/>
  <c r="V588" i="1"/>
  <c r="W587" i="1"/>
  <c r="V587" i="1"/>
  <c r="W586" i="1"/>
  <c r="V586" i="1"/>
  <c r="W585" i="1"/>
  <c r="V585" i="1"/>
  <c r="W584" i="1"/>
  <c r="V584" i="1"/>
  <c r="W583" i="1"/>
  <c r="V583" i="1"/>
  <c r="W582" i="1"/>
  <c r="V582" i="1"/>
  <c r="X581" i="1"/>
  <c r="W581" i="1"/>
  <c r="V581" i="1"/>
  <c r="X580" i="1"/>
  <c r="W580" i="1"/>
  <c r="V580" i="1"/>
  <c r="X579" i="1"/>
  <c r="W579" i="1"/>
  <c r="V579" i="1"/>
  <c r="W578" i="1"/>
  <c r="V578" i="1"/>
  <c r="X577" i="1"/>
  <c r="W577" i="1"/>
  <c r="V577" i="1"/>
  <c r="X576" i="1"/>
  <c r="W576" i="1"/>
  <c r="V576" i="1"/>
  <c r="X575" i="1"/>
  <c r="W575" i="1"/>
  <c r="V575" i="1"/>
  <c r="X574" i="1"/>
  <c r="W574" i="1"/>
  <c r="V574" i="1"/>
  <c r="W573" i="1"/>
  <c r="V573" i="1"/>
  <c r="W572" i="1"/>
  <c r="V572" i="1"/>
  <c r="W571" i="1"/>
  <c r="V571" i="1"/>
  <c r="X570" i="1"/>
  <c r="W570" i="1"/>
  <c r="V570" i="1"/>
  <c r="W569" i="1"/>
  <c r="V569" i="1"/>
  <c r="W568" i="1"/>
  <c r="V568" i="1"/>
  <c r="X567" i="1"/>
  <c r="W567" i="1"/>
  <c r="V567" i="1"/>
  <c r="W566" i="1"/>
  <c r="V566" i="1"/>
  <c r="W565" i="1"/>
  <c r="V565" i="1"/>
  <c r="W564" i="1"/>
  <c r="V564" i="1"/>
  <c r="W563" i="1"/>
  <c r="V563" i="1"/>
  <c r="W562" i="1"/>
  <c r="V562" i="1"/>
  <c r="W561" i="1"/>
  <c r="V561" i="1"/>
  <c r="W560" i="1"/>
  <c r="V560" i="1"/>
  <c r="W559" i="1"/>
  <c r="V559" i="1"/>
  <c r="X558" i="1"/>
  <c r="W558" i="1"/>
  <c r="V558" i="1"/>
  <c r="X557" i="1"/>
  <c r="W557" i="1"/>
  <c r="V557" i="1"/>
  <c r="W556" i="1"/>
  <c r="V556" i="1"/>
  <c r="W555" i="1"/>
  <c r="V555" i="1"/>
  <c r="W554" i="1"/>
  <c r="V554" i="1"/>
  <c r="W553" i="1"/>
  <c r="V553" i="1"/>
  <c r="W552" i="1"/>
  <c r="V552" i="1"/>
  <c r="W551" i="1"/>
  <c r="V551" i="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W488" i="1"/>
  <c r="V488" i="1"/>
  <c r="W487" i="1"/>
  <c r="V487" i="1"/>
  <c r="W486" i="1"/>
  <c r="V486" i="1"/>
  <c r="W485" i="1"/>
  <c r="V485" i="1"/>
  <c r="W484" i="1"/>
  <c r="V484" i="1"/>
  <c r="W483" i="1"/>
  <c r="V483" i="1"/>
  <c r="W482" i="1"/>
  <c r="V482" i="1"/>
  <c r="W481" i="1"/>
  <c r="V481" i="1"/>
  <c r="W480" i="1"/>
  <c r="V480" i="1"/>
  <c r="W479" i="1"/>
  <c r="V479" i="1"/>
  <c r="W478" i="1"/>
  <c r="V478" i="1"/>
  <c r="W477" i="1"/>
  <c r="V477" i="1"/>
  <c r="W476" i="1"/>
  <c r="V476" i="1"/>
  <c r="W475" i="1"/>
  <c r="V475" i="1"/>
  <c r="W474" i="1"/>
  <c r="V474" i="1"/>
  <c r="W473" i="1"/>
  <c r="V473" i="1"/>
  <c r="W472" i="1"/>
  <c r="V472" i="1"/>
  <c r="W471" i="1"/>
  <c r="V471" i="1"/>
  <c r="W470" i="1"/>
  <c r="V470" i="1"/>
  <c r="W469" i="1"/>
  <c r="V469" i="1"/>
  <c r="X460" i="1"/>
  <c r="X446" i="1"/>
  <c r="X445" i="1"/>
  <c r="X412" i="1"/>
  <c r="X402" i="1"/>
  <c r="X379" i="1"/>
  <c r="X378" i="1"/>
  <c r="X319" i="1"/>
  <c r="X208" i="1"/>
  <c r="X194" i="1"/>
  <c r="X184" i="1"/>
  <c r="X179" i="1"/>
  <c r="X128" i="1"/>
  <c r="X118" i="1"/>
  <c r="X116" i="1"/>
  <c r="X109"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X78" i="1"/>
  <c r="W78" i="1"/>
  <c r="V78" i="1"/>
  <c r="W77" i="1"/>
  <c r="V77" i="1"/>
  <c r="W76" i="1"/>
  <c r="V76" i="1"/>
  <c r="W75" i="1"/>
  <c r="V75" i="1"/>
  <c r="W74" i="1"/>
  <c r="V74" i="1"/>
  <c r="X63" i="1"/>
  <c r="X54" i="1"/>
  <c r="X53" i="1"/>
  <c r="X50" i="1"/>
  <c r="X47" i="1"/>
  <c r="X26" i="1"/>
  <c r="X22" i="1"/>
  <c r="X9" i="1"/>
  <c r="X8" i="1"/>
</calcChain>
</file>

<file path=xl/sharedStrings.xml><?xml version="1.0" encoding="utf-8"?>
<sst xmlns="http://schemas.openxmlformats.org/spreadsheetml/2006/main" count="19111" uniqueCount="7173">
  <si>
    <t>Image</t>
  </si>
  <si>
    <t xml:space="preserve">Article </t>
  </si>
  <si>
    <t>Style</t>
  </si>
  <si>
    <t>Color</t>
  </si>
  <si>
    <t>s&amp;c</t>
  </si>
  <si>
    <t>Wide</t>
  </si>
  <si>
    <t>Outsole</t>
  </si>
  <si>
    <t>Upper</t>
  </si>
  <si>
    <t>Gender</t>
  </si>
  <si>
    <t>Description</t>
  </si>
  <si>
    <t>Color Description</t>
  </si>
  <si>
    <t>Key Features</t>
  </si>
  <si>
    <t>Design Details</t>
  </si>
  <si>
    <t>Division</t>
  </si>
  <si>
    <t>Features</t>
  </si>
  <si>
    <t>Box Category</t>
  </si>
  <si>
    <t>Wholesale price</t>
  </si>
  <si>
    <t>w.h price</t>
  </si>
  <si>
    <t>RRP</t>
  </si>
  <si>
    <t>Quntity per box</t>
  </si>
  <si>
    <t>Number of series</t>
  </si>
  <si>
    <t>TTL QTY</t>
  </si>
  <si>
    <t>TTL AMOUNT</t>
  </si>
  <si>
    <t>instret</t>
  </si>
  <si>
    <t>total</t>
  </si>
  <si>
    <t>https://image.skechers.com/img/productimages/xlarge/100859_BBK_A.jpg</t>
  </si>
  <si>
    <t>100859BBK-45P</t>
  </si>
  <si>
    <t>BBK</t>
  </si>
  <si>
    <t>100859BBK</t>
  </si>
  <si>
    <t>EASY GOING</t>
  </si>
  <si>
    <t>OPEN FLOW</t>
  </si>
  <si>
    <t>WOMENS</t>
  </si>
  <si>
    <t>Rf Open Back Knit W/ Air-Cooed Mf</t>
  </si>
  <si>
    <t>Black Knit</t>
  </si>
  <si>
    <t>Skechers Air-Cooled Memory Foam® cushioned comfort footbed
Relaxed Fit® for a roomy comfort fit at toe and forefoot
Crafted with 100% vegan materials</t>
  </si>
  <si>
    <t>Casual open-back design with an engineered knit upper
Flexible traction outsole
1 1/4-heel height
Machine washable
Skechers® logo detail</t>
  </si>
  <si>
    <t>W - MODERN COMFORT</t>
  </si>
  <si>
    <t>Air-Cooled MF
Machine Washable
Relaxed Fit
Vegan</t>
  </si>
  <si>
    <t>https://image.skechers.com/img/productimages/xlarge/100859_GRY_A.jpg</t>
  </si>
  <si>
    <t>100859GRY-45P</t>
  </si>
  <si>
    <t>GRY</t>
  </si>
  <si>
    <t>100859GRY</t>
  </si>
  <si>
    <t>Gray Knit</t>
  </si>
  <si>
    <t>https://image.skechers.com/img/productimages/xlarge/100859_TPE_A.jpg</t>
  </si>
  <si>
    <t>100859TPE-45P</t>
  </si>
  <si>
    <t>TPE</t>
  </si>
  <si>
    <t>100859TPE</t>
  </si>
  <si>
    <t>Taupe Knit</t>
  </si>
  <si>
    <t>https://image.skechers.com/img/productimages/xlarge/100965_BBK_A.jpg</t>
  </si>
  <si>
    <t>100965BBK-45P</t>
  </si>
  <si>
    <t>100965BBK</t>
  </si>
  <si>
    <t>GRACEFUL</t>
  </si>
  <si>
    <t>STEADY RISE</t>
  </si>
  <si>
    <t>Eng Knit A-Line Slip-Ins W/ Air-Cooled Mf</t>
  </si>
  <si>
    <t/>
  </si>
  <si>
    <t>Air-Cooled MF
Machine Washable
Slip-Ins
Stretch Fit
Vegan</t>
  </si>
  <si>
    <t>https://image.skechers.com/img/productimages/xlarge/100965_GRY_A.jpg</t>
  </si>
  <si>
    <t>100965GRY-45P</t>
  </si>
  <si>
    <t>100965GRY</t>
  </si>
  <si>
    <t>https://image.skechers.com/img/productimages/xlarge/100965_TPE_A.jpg</t>
  </si>
  <si>
    <t>100965TPE-45P</t>
  </si>
  <si>
    <t>100965TPE</t>
  </si>
  <si>
    <t>https://image.skechers.com/img/productimages/xlarge/104494_BKW_A.jpg</t>
  </si>
  <si>
    <t>104494BKW-45K</t>
  </si>
  <si>
    <t>BKW</t>
  </si>
  <si>
    <t>104494BKW</t>
  </si>
  <si>
    <t>D'LUX COMFORT 2.0</t>
  </si>
  <si>
    <t>SUPERNOVA</t>
  </si>
  <si>
    <t>Slip-Ins Knit Bungee W/Cording</t>
  </si>
  <si>
    <t>Black/Natural Knit</t>
  </si>
  <si>
    <t>1AA - SPORT ACTIVE</t>
  </si>
  <si>
    <t>Air-Cooled MF
Machine Washable
No Tie Fit
Relaxed Fit
Slip-Ins
Vegan</t>
  </si>
  <si>
    <t>https://image.skechers.com/img/productimages/xlarge/104494_NAT_A.jpg</t>
  </si>
  <si>
    <t>104494NAT-45K</t>
  </si>
  <si>
    <t>NAT</t>
  </si>
  <si>
    <t>104494NAT</t>
  </si>
  <si>
    <t>Natural Knit</t>
  </si>
  <si>
    <t>https://image.skechers.com/img/productimages/xlarge/104550_BBK_A.jpg</t>
  </si>
  <si>
    <t>104550BBK-45K</t>
  </si>
  <si>
    <t>104550BBK</t>
  </si>
  <si>
    <t>GLIDE-STEP</t>
  </si>
  <si>
    <t>OBSESSED</t>
  </si>
  <si>
    <t>Geometric Mesh Bungee Mule</t>
  </si>
  <si>
    <t>Black Mesh</t>
  </si>
  <si>
    <t>Skechers Air-Cooled Memory Foam® cushioned comfort insole
Glide-Step® geometric midsole designed to provide natural momentum with every step
Crafted with 100% vegan materials</t>
  </si>
  <si>
    <t>Geo mesh upper with fixed stretch laces
Super flexible traction outsole
1 1/2-inch heel height
Machine washable
Skechers® logo detail</t>
  </si>
  <si>
    <t>Air-Cooled MF
Glide-Step
Machine Washable
Vegan</t>
  </si>
  <si>
    <t>https://image.skechers.com/img/productimages/xlarge/104550_NVY_A.jpg</t>
  </si>
  <si>
    <t>104550NVY-45K</t>
  </si>
  <si>
    <t>NVY</t>
  </si>
  <si>
    <t>104550NVY</t>
  </si>
  <si>
    <t>Navy Mesh</t>
  </si>
  <si>
    <t>https://image.skechers.com/img/productimages/xlarge/104550_WBK_A.jpg</t>
  </si>
  <si>
    <t>104550WBK-45K</t>
  </si>
  <si>
    <t>WBK</t>
  </si>
  <si>
    <t>104550WBK</t>
  </si>
  <si>
    <t>White Mesh/Black Trim</t>
  </si>
  <si>
    <t>https://image.skechers.com/img/productimages/xlarge/104556_BKNT_A.jpg</t>
  </si>
  <si>
    <t>104556BKNT-45K</t>
  </si>
  <si>
    <t>BKNT</t>
  </si>
  <si>
    <t>104556BKNT</t>
  </si>
  <si>
    <t>AT EASE</t>
  </si>
  <si>
    <t>Cozy Fit Slip-Ins Knotted Bungee</t>
  </si>
  <si>
    <t>Black Nylon</t>
  </si>
  <si>
    <t>Skechers Hands Free Slip-ins® for an easy fit
Heel Pillow® holds your foot securely in place
Cozy Fit® premium soft quilted materials wrap your feet in luxury, providing a cozy, natural fit for ultimate comfort
Glide-Step® geometric midsole designed to provide natural momentum with every step
Skechers Air-Cooled Memory Foam® cushioned comfort insole
No Tie Fit™ - laces never come untied</t>
  </si>
  <si>
    <t>Air-quilted fabric and duraleather upper with tied-off stretch laces
Crafted with 100% vegan materials
Super flexible traction outsole
1 1/4-inch heel height
Machine washable
Skechers® logo detail</t>
  </si>
  <si>
    <t>Air-Cooled MF
Cozy Fit
Glide-Step
Machine Washable
No Tie Fit
Slip-Ins
Vegan</t>
  </si>
  <si>
    <t>https://image.skechers.com/img/productimages/xlarge/104556_OFWT_A.jpg</t>
  </si>
  <si>
    <t>104556OFWT-45K</t>
  </si>
  <si>
    <t>OFWT</t>
  </si>
  <si>
    <t>104556OFWT</t>
  </si>
  <si>
    <t>Off White Nylon</t>
  </si>
  <si>
    <t>https://image.skechers.com/img/productimages/xlarge/104556_TPE_A.jpg</t>
  </si>
  <si>
    <t>104556TPE-45K</t>
  </si>
  <si>
    <t>104556TPE</t>
  </si>
  <si>
    <t>Taupe Nylon</t>
  </si>
  <si>
    <t>https://image.skechers.com/img/productimages/xlarge/104614_BKNT_A.jpg</t>
  </si>
  <si>
    <t>104614BKNT-45K</t>
  </si>
  <si>
    <t>104614BKNT</t>
  </si>
  <si>
    <t>GLIDE-STEP GRATIFY</t>
  </si>
  <si>
    <t>PERFECTION</t>
  </si>
  <si>
    <t>Slip-Ins Debossed Perf Leather Lace-Up</t>
  </si>
  <si>
    <t>Black Leather</t>
  </si>
  <si>
    <t>Air-Cooled MF
Glide-Step
Slip-Ins</t>
  </si>
  <si>
    <t>https://image.skechers.com/img/productimages/xlarge/104614_WHT_A.jpg</t>
  </si>
  <si>
    <t>104614WHT-45K</t>
  </si>
  <si>
    <t>WHT</t>
  </si>
  <si>
    <t>104614WHT</t>
  </si>
  <si>
    <t>White Leather</t>
  </si>
  <si>
    <t>https://image.skechers.com/img/productimages/xlarge/104736_BBK_A.jpg</t>
  </si>
  <si>
    <t>104736BBK-45K</t>
  </si>
  <si>
    <t>104736BBK</t>
  </si>
  <si>
    <t>VIRTUE</t>
  </si>
  <si>
    <t>SERENDIPITY</t>
  </si>
  <si>
    <t>Slip-Ins Stretch Fit Knit W/Hotmelt Toe Cap</t>
  </si>
  <si>
    <t>Skechers Hands Free Slip-ins® for an easy fit
Heel Pillow® holds your foot securely in place
Skechers Air-Cooled Memory Foam® cushioned comfort insole
Stretch Fit® design for sock-like comfort
Crafted with 100% vegan materials</t>
  </si>
  <si>
    <t>Laceless engineered knit upper
Flexible traction outsole
3/4-inch heel height
Machine washable
Skechers® logo detail</t>
  </si>
  <si>
    <t>https://image.skechers.com/img/productimages/xlarge/104736_BKW_A.jpg</t>
  </si>
  <si>
    <t>104736BKW-45K</t>
  </si>
  <si>
    <t>104736BKW</t>
  </si>
  <si>
    <t>https://image.skechers.com/img/productimages/xlarge/104736_DKTP_A.jpg</t>
  </si>
  <si>
    <t>104736DKTP-45K</t>
  </si>
  <si>
    <t>DKTP</t>
  </si>
  <si>
    <t>104736DKTP</t>
  </si>
  <si>
    <t>Dark Taupe Knit</t>
  </si>
  <si>
    <t>https://image.skechers.com/img/productimages/xlarge/117324_BLK_A.jpg</t>
  </si>
  <si>
    <t>117324BLK-45P</t>
  </si>
  <si>
    <t>BLK</t>
  </si>
  <si>
    <t>117324BLK</t>
  </si>
  <si>
    <t>BOBS B FLEX</t>
  </si>
  <si>
    <t>FLEX LUCY</t>
  </si>
  <si>
    <t>Slip-Ins Bungee Mesh Sneaker</t>
  </si>
  <si>
    <t>Skechers Hands Free Slip-ins® for an easy fit
Heel Pillow® holds your foot securely in place
Skechers Memory Foam™ cushioned comfort insole
No Tie Fit® - laces never come untied
Crafted with 100% vegan materials</t>
  </si>
  <si>
    <t>Mesh upper with fixed stretch laces
Contoured shock-absorbing midsole
Flexible traction outsole
1 1/4-inch heel height
Machine washable
Skechers BOBS Sport™ logo detail</t>
  </si>
  <si>
    <t>BOS - BOBS SPORT WOMENS</t>
  </si>
  <si>
    <t>Heel Pillow
Machine Washable
Memory Foam
No Tie Fit
Slip-Ins
Vegan</t>
  </si>
  <si>
    <t>https://image.skechers.com/img/productimages/xlarge/117324W_BBK_A.jpg</t>
  </si>
  <si>
    <t>117324WBBK-45P</t>
  </si>
  <si>
    <t>117324W</t>
  </si>
  <si>
    <t>117324WBBK</t>
  </si>
  <si>
    <t>https://image.skechers.com/img/productimages/xlarge/117324_WHT_A.jpg</t>
  </si>
  <si>
    <t>117324WHT-45P</t>
  </si>
  <si>
    <t>117324WHT</t>
  </si>
  <si>
    <t>White Mesh</t>
  </si>
  <si>
    <t>https://image.skechers.com/img/productimages/xlarge/117324W_TPE_A.jpg</t>
  </si>
  <si>
    <t>117324WTPE-45P</t>
  </si>
  <si>
    <t>117324WTPE</t>
  </si>
  <si>
    <t>Taupe Mesh</t>
  </si>
  <si>
    <t>https://image.skechers.com/img/productimages/xlarge/117497_BKGD_A.jpg</t>
  </si>
  <si>
    <t>117497BKGD-45P</t>
  </si>
  <si>
    <t>BKGD</t>
  </si>
  <si>
    <t>117497BKGD</t>
  </si>
  <si>
    <t>BOBS SQUAD CHAOS</t>
  </si>
  <si>
    <t>CURRENT MUSE</t>
  </si>
  <si>
    <t>Slip-Ins Engineered Knit Bungee</t>
  </si>
  <si>
    <t>Black/Gold Textile</t>
  </si>
  <si>
    <t>Skechers Hands Free Slip-ins® for an easy fit
Heel Pillow® holds your foot securely in place
Skechers Memory Foam™ cushioned comfort insole
Crafted with 100% vegan materials</t>
  </si>
  <si>
    <t>Engineered knit upper with stretch laces
Contoured shock-absorbing midsole
Flexible traction outsole
1 1/4-inch heel height
BOBS® from Skechers® logo detail</t>
  </si>
  <si>
    <t>https://image.skechers.com/img/productimages/xlarge/117497_WTGD_A.jpg</t>
  </si>
  <si>
    <t>117497WTGD-45P</t>
  </si>
  <si>
    <t>WTGD</t>
  </si>
  <si>
    <t>117497WTGD</t>
  </si>
  <si>
    <t>White/Gold Textile</t>
  </si>
  <si>
    <t>https://image.skechers.com/img/productimages/xlarge/117624_BLK_A.jpg</t>
  </si>
  <si>
    <t>117624BLK-45P</t>
  </si>
  <si>
    <t>117624BLK</t>
  </si>
  <si>
    <t>BOBS SQUAD 4</t>
  </si>
  <si>
    <t>STAPLE LOOK</t>
  </si>
  <si>
    <t>Slip-Ins Bungee Mesh W/ Hotmelt</t>
  </si>
  <si>
    <t>Black Hot Melt/ Mesh</t>
  </si>
  <si>
    <t>Skechers Hands Free Slip-ins® for an easy fit
Heel Pillow® holds your foot securely in place
Skechers Memory Foam™ cushioned comfort insole
No Tie Fit™ - laces never come untied</t>
  </si>
  <si>
    <t>Mesh and synthetic upper with stretch laces
Contoured shock-absorbing midsole
Flexible traction outsole
Machine washable
1 1/4-inch heel height
Skechers BOBS Sport™ logo details</t>
  </si>
  <si>
    <t>Heel Pillow
Machine Washable
Memory Foam
No Tie Fit
Slip-Ins</t>
  </si>
  <si>
    <t>https://image.skechers.com/img/productimages/xlarge/117624_GYMT_A.jpg</t>
  </si>
  <si>
    <t>117624GYMT-45P</t>
  </si>
  <si>
    <t>GYMT</t>
  </si>
  <si>
    <t>117624GYMT</t>
  </si>
  <si>
    <t>Gray Hot Melt/ Mesh/ Multi Trim</t>
  </si>
  <si>
    <t>https://image.skechers.com/img/productimages/xlarge/117624_OLV_A.jpg</t>
  </si>
  <si>
    <t>117624OLV-45P</t>
  </si>
  <si>
    <t>OLV</t>
  </si>
  <si>
    <t>117624OLV</t>
  </si>
  <si>
    <t>Olive Hot Melt/ Mesh</t>
  </si>
  <si>
    <t>https://image.skechers.com/img/productimages/xlarge/117624_TPE_A.jpg</t>
  </si>
  <si>
    <t>117624TPE-45P</t>
  </si>
  <si>
    <t>117624TPE</t>
  </si>
  <si>
    <t>Taupe Hot Melt/ Mesh</t>
  </si>
  <si>
    <t>https://image.skechers.com/img/productimages/xlarge/117624_WHT_A.jpg</t>
  </si>
  <si>
    <t>117624WHT-45P</t>
  </si>
  <si>
    <t>117624WHT</t>
  </si>
  <si>
    <t>White Hot Melt/ Mesh</t>
  </si>
  <si>
    <t>https://image.skechers.com/img/productimages/xlarge/117629_BBK_A.jpg</t>
  </si>
  <si>
    <t>117629BBK-45P</t>
  </si>
  <si>
    <t>117629BBK</t>
  </si>
  <si>
    <t>BOBS ARC WAVES</t>
  </si>
  <si>
    <t xml:space="preserve"> </t>
  </si>
  <si>
    <t>Slip-Ins Engineered Knit Bungee Glide-Step</t>
  </si>
  <si>
    <t>Black Engineered Knit</t>
  </si>
  <si>
    <t>Skechers Hands Free Slip-ins® for an easy fit
Heel Pillow® holds your foot securely in place
Skechers Memory Foam™ cushioned comfort insole
Glide Step® geometric midsole designed to provide natural momentum with every step</t>
  </si>
  <si>
    <t>Lace-up engineered knit upper
Super flexible traction outsole
Machine washable
1/2 inch heel
Skechers BOBS Sport™ logo detail</t>
  </si>
  <si>
    <t>Glide-Step
Heel Pillow
Machine Washable
Memory Foam
No Tie Fit
Slip-Ins
Vegan</t>
  </si>
  <si>
    <t>https://image.skechers.com/img/productimages/xlarge/117629_OFWT_A.jpg</t>
  </si>
  <si>
    <t>117629OFWT-45P</t>
  </si>
  <si>
    <t>117629OFWT</t>
  </si>
  <si>
    <t>Off White Engineered Knit</t>
  </si>
  <si>
    <t>https://image.skechers.com/img/productimages/xlarge/117629_OLV_A.jpg</t>
  </si>
  <si>
    <t>117629OLV-45P</t>
  </si>
  <si>
    <t>117629OLV</t>
  </si>
  <si>
    <t>Olive Engineered Knit</t>
  </si>
  <si>
    <t>https://image.skechers.com/img/productimages/xlarge/117700_BBK_A.jpg</t>
  </si>
  <si>
    <t>117700BBK-45P</t>
  </si>
  <si>
    <t>117700BBK</t>
  </si>
  <si>
    <t>BOBS B LITE</t>
  </si>
  <si>
    <t>Engineered Knit Lace Up</t>
  </si>
  <si>
    <t>Skechers Memory Foam™ cushioned comfort insole
Crafted with 100% vegan materials</t>
  </si>
  <si>
    <t>Engineered knit upper with lace-up front
Flexible traction outsole
1 1/4-inch heel height
Machine washable
Skechers BOBS Sport™ logo detail</t>
  </si>
  <si>
    <t>Machine Washable
Memory Foam
Vegan</t>
  </si>
  <si>
    <t>https://image.skechers.com/img/productimages/xlarge/117700_DKNV_A.jpg</t>
  </si>
  <si>
    <t>117700DKNV-45P</t>
  </si>
  <si>
    <t>DKNV</t>
  </si>
  <si>
    <t>117700DKNV</t>
  </si>
  <si>
    <t>Dark Navy Knit</t>
  </si>
  <si>
    <t>https://image.skechers.com/img/productimages/xlarge/117700_LIL_A.jpg</t>
  </si>
  <si>
    <t>117700LIL-45P</t>
  </si>
  <si>
    <t>LIL</t>
  </si>
  <si>
    <t>117700LIL</t>
  </si>
  <si>
    <t>Lilac Knit</t>
  </si>
  <si>
    <t>https://image.skechers.com/img/productimages/xlarge/117700_OFWT_A.jpg</t>
  </si>
  <si>
    <t>117700OFWT-45P</t>
  </si>
  <si>
    <t>117700OFWT</t>
  </si>
  <si>
    <t>Off White Knit</t>
  </si>
  <si>
    <t>https://image.skechers.com/img/productimages/xlarge/117700_TPE_A.jpg</t>
  </si>
  <si>
    <t>117700TPE-45P</t>
  </si>
  <si>
    <t>117700TPE</t>
  </si>
  <si>
    <t>https://image.skechers.com/img/productimages/xlarge/117715W_BBK_A.jpg</t>
  </si>
  <si>
    <t>117715WBBK-45P</t>
  </si>
  <si>
    <t>117715W</t>
  </si>
  <si>
    <t>117715WBBK</t>
  </si>
  <si>
    <t>BOBS B FLEX LO</t>
  </si>
  <si>
    <t>COOL EASE</t>
  </si>
  <si>
    <t>Debossed Pu Lace Up Sneaker</t>
  </si>
  <si>
    <t>Black Pu</t>
  </si>
  <si>
    <t>Skechers Memory Foam™ cushioned comfort insole</t>
  </si>
  <si>
    <t>Debossed synthetic upper with lace-up front
Well-cushioned midsole
Flexible traction outsole
1 1/4-inch heel height
Skechers BOBS Sport™ logo detail</t>
  </si>
  <si>
    <t>Wide Fit
Memory Foam</t>
  </si>
  <si>
    <t>https://image.skechers.com/img/productimages/xlarge/117715_WHT_A.jpg</t>
  </si>
  <si>
    <t>117715WHT-45P</t>
  </si>
  <si>
    <t>117715WHT</t>
  </si>
  <si>
    <t>https://image.skechers.com/img/productimages/xlarge/117715W_WHT_A.jpg</t>
  </si>
  <si>
    <t>117715WWHT-45P</t>
  </si>
  <si>
    <t>117715WWHT</t>
  </si>
  <si>
    <t>https://image.skechers.com/img/productimages/xlarge/117733_BBK_A.jpg</t>
  </si>
  <si>
    <t>117733BBK-45P</t>
  </si>
  <si>
    <t>117733BBK</t>
  </si>
  <si>
    <t>BOBS MODA FLEX</t>
  </si>
  <si>
    <t>EASY DAWN</t>
  </si>
  <si>
    <t>Engineered Knit Lace Up Sneaker</t>
  </si>
  <si>
    <t>https://image.skechers.com/img/productimages/xlarge/117733_LAV_A.jpg</t>
  </si>
  <si>
    <t>117733LAV-45P</t>
  </si>
  <si>
    <t>LAV</t>
  </si>
  <si>
    <t>117733LAV</t>
  </si>
  <si>
    <t>Lavender Knit</t>
  </si>
  <si>
    <t>https://image.skechers.com/img/productimages/xlarge/117733_NAT_A.jpg</t>
  </si>
  <si>
    <t>117733NAT-45P</t>
  </si>
  <si>
    <t>117733NAT</t>
  </si>
  <si>
    <t>https://image.skechers.com/img/productimages/xlarge/117733_WHT_A.jpg</t>
  </si>
  <si>
    <t>117733WHT-45P</t>
  </si>
  <si>
    <t>117733WHT</t>
  </si>
  <si>
    <t>White Knit</t>
  </si>
  <si>
    <t>https://image.skechers.com/img/productimages/xlarge/117734_BBK_A.jpg</t>
  </si>
  <si>
    <t>117734BBK-45P</t>
  </si>
  <si>
    <t>117734BBK</t>
  </si>
  <si>
    <t>CHILL DAWN</t>
  </si>
  <si>
    <t>Engineered Knit Stretch Fit Slip On</t>
  </si>
  <si>
    <t>Machine Washable
Memory Foam
Stretch Fit
Vegan</t>
  </si>
  <si>
    <t>https://image.skechers.com/img/productimages/xlarge/117734_BLK_A.jpg</t>
  </si>
  <si>
    <t>117734BLK-45P</t>
  </si>
  <si>
    <t>117734BLK</t>
  </si>
  <si>
    <t>https://image.skechers.com/img/productimages/xlarge/117734_LAV_A.jpg</t>
  </si>
  <si>
    <t>117734LAV-45P</t>
  </si>
  <si>
    <t>117734LAV</t>
  </si>
  <si>
    <t>https://image.skechers.com/img/productimages/xlarge/117734_OFWT_A.jpg</t>
  </si>
  <si>
    <t>117734OFWT-45P</t>
  </si>
  <si>
    <t>117734OFWT</t>
  </si>
  <si>
    <t>https://image.skechers.com/img/productimages/xlarge/117734_TPE_A.jpg</t>
  </si>
  <si>
    <t>117734TPE-45P</t>
  </si>
  <si>
    <t>117734TPE</t>
  </si>
  <si>
    <t>https://image.skechers.com/img/productimages/xlarge/117743_BBK_A.jpg</t>
  </si>
  <si>
    <t>117743BBK-45P</t>
  </si>
  <si>
    <t>117743BBK</t>
  </si>
  <si>
    <t>DIRE STEP</t>
  </si>
  <si>
    <t>Slip-Ins Engineered Knit Sock Fit w/ Bungee</t>
  </si>
  <si>
    <t>Skechers Hands Free Slip-ins® for an easy fit
Heel Pillow® holds your foot securely in place
Skechers Memory Foam™ cushioned comfort insole
No Tie Fit® - laces never come untied
Stretch Fit® design for sock-like comfort
Crafted with 100% vegan materials</t>
  </si>
  <si>
    <t>Engineered knit and synthetic upper with fixed stretch laces
Contoured shock-absorbing midsole
Flexible traction outsole
Machine washable
1 1/4-inch heel height
Skechers BOBS Sport™ logo details</t>
  </si>
  <si>
    <t>Heel Pillow
Machine Washable
Memory Foam
No Tie Fit
Slip-Ins
Stretch Fit
Vegan</t>
  </si>
  <si>
    <t>https://image.skechers.com/img/productimages/xlarge/117743_BLSH_A.jpg</t>
  </si>
  <si>
    <t>117743BLSH-45P</t>
  </si>
  <si>
    <t>BLSH</t>
  </si>
  <si>
    <t>117743BLSH</t>
  </si>
  <si>
    <t>Blush Engineered Knit</t>
  </si>
  <si>
    <t>https://image.skechers.com/img/productimages/xlarge/117743_OFWT_A.jpg</t>
  </si>
  <si>
    <t>117743OFWT-45P</t>
  </si>
  <si>
    <t>117743OFWT</t>
  </si>
  <si>
    <t>https://image.skechers.com/img/productimages/xlarge/117756_BLK_A.jpg</t>
  </si>
  <si>
    <t>117756BLK-45P</t>
  </si>
  <si>
    <t>117756BLK</t>
  </si>
  <si>
    <t>BOBS SKILLZ</t>
  </si>
  <si>
    <t>TOO ESSENTIAL</t>
  </si>
  <si>
    <t>Slip-Ins Engineered Knit Lace Up Sneaker</t>
  </si>
  <si>
    <t>Engineered knit and synthetic upper with adjustable laces
Flexible traction outsole
1 1/2-inch heel height
Machine washable
BOBS® from Skechers® logo detail</t>
  </si>
  <si>
    <t>Heel Pillow
Machine Washable
Memory Foam
Slip-Ins
Vegan</t>
  </si>
  <si>
    <t>https://image.skechers.com/img/productimages/xlarge/117756_NTGY_A.jpg</t>
  </si>
  <si>
    <t>117756NTGY-45P</t>
  </si>
  <si>
    <t>NTGY</t>
  </si>
  <si>
    <t>117756NTGY</t>
  </si>
  <si>
    <t>Natural/Gray Knit</t>
  </si>
  <si>
    <t>https://image.skechers.com/img/productimages/xlarge/117756_OFWT_A.jpg</t>
  </si>
  <si>
    <t>117756OFWT-45P</t>
  </si>
  <si>
    <t>117756OFWT</t>
  </si>
  <si>
    <t>https://image.skechers.com/img/productimages/xlarge/117756_OLV_A.jpg</t>
  </si>
  <si>
    <t>117756OLV-45P</t>
  </si>
  <si>
    <t>117756OLV</t>
  </si>
  <si>
    <t>Olive Knit</t>
  </si>
  <si>
    <t>https://image.skechers.com/img/productimages/xlarge/117756_QUAL_A.jpg</t>
  </si>
  <si>
    <t>117756QUAL-45P</t>
  </si>
  <si>
    <t>QUAL</t>
  </si>
  <si>
    <t>117756QUAL</t>
  </si>
  <si>
    <t>Quail Knit</t>
  </si>
  <si>
    <t>https://image.skechers.com/img/productimages/xlarge/117756W_BBK_A.jpg</t>
  </si>
  <si>
    <t>117756WBBK-45P</t>
  </si>
  <si>
    <t>117756W</t>
  </si>
  <si>
    <t>117756WBBK</t>
  </si>
  <si>
    <t>https://image.skechers.com/img/productimages/xlarge/117756_WHT_A.jpg</t>
  </si>
  <si>
    <t>117756WHT-45P</t>
  </si>
  <si>
    <t>117756WHT</t>
  </si>
  <si>
    <t>https://image.skechers.com/img/productimages/xlarge/117756W_WGY_A.jpg</t>
  </si>
  <si>
    <t>117756WWGY-45P</t>
  </si>
  <si>
    <t>WGY</t>
  </si>
  <si>
    <t>117756WWGY</t>
  </si>
  <si>
    <t>White/Gray Knit</t>
  </si>
  <si>
    <t>https://image.skechers.com/img/productimages/xlarge/117759_BBK_A.jpg</t>
  </si>
  <si>
    <t>117759BBK-45P</t>
  </si>
  <si>
    <t>117759BBK</t>
  </si>
  <si>
    <t>TOO VITAL</t>
  </si>
  <si>
    <t>Laced Engineered Knit w/ TPU</t>
  </si>
  <si>
    <t>Black Synthetic/Textile</t>
  </si>
  <si>
    <t>Machine Washable
Memory Foam
Stretch Fit</t>
  </si>
  <si>
    <t>https://image.skechers.com/img/productimages/xlarge/117759_BLK_A.jpg</t>
  </si>
  <si>
    <t>117759BLK-45P</t>
  </si>
  <si>
    <t>117759BLK</t>
  </si>
  <si>
    <t>https://image.skechers.com/img/productimages/xlarge/117759_LIL_A.jpg</t>
  </si>
  <si>
    <t>117759LIL-45P</t>
  </si>
  <si>
    <t>117759LIL</t>
  </si>
  <si>
    <t>Lilac Synthetic/Textile</t>
  </si>
  <si>
    <t>https://image.skechers.com/img/productimages/xlarge/117759_WBL_A.jpg</t>
  </si>
  <si>
    <t>117759WBL-45P</t>
  </si>
  <si>
    <t>WBL</t>
  </si>
  <si>
    <t>117759WBL</t>
  </si>
  <si>
    <t>White/Blue Synthetic/Textile</t>
  </si>
  <si>
    <t>https://image.skechers.com/img/productimages/xlarge/117861_BLK_A.jpg</t>
  </si>
  <si>
    <t>117861BLK-45P</t>
  </si>
  <si>
    <t>117861BLK</t>
  </si>
  <si>
    <t>BOBS ARC WAVES REMIX</t>
  </si>
  <si>
    <t>Glide-Step Bungee Knit w/ TPU Accents</t>
  </si>
  <si>
    <t>Black Snythetic/Textile</t>
  </si>
  <si>
    <t>Glide-Step
Machine Washable
Memory Foam
No Tie Fit</t>
  </si>
  <si>
    <t>https://image.skechers.com/img/productimages/xlarge/117861_GRY_A.jpg</t>
  </si>
  <si>
    <t>117861GRY-45P</t>
  </si>
  <si>
    <t>117861GRY</t>
  </si>
  <si>
    <t>Gray Snythetic/Textile</t>
  </si>
  <si>
    <t>https://image.skechers.com/img/productimages/xlarge/117861_LTMV_A.jpg</t>
  </si>
  <si>
    <t>117861LTMV-45P</t>
  </si>
  <si>
    <t>LTMV</t>
  </si>
  <si>
    <t>117861LTMV</t>
  </si>
  <si>
    <t>Light Mauve Snythetic/Textile</t>
  </si>
  <si>
    <t>https://image.skechers.com/img/productimages/xlarge/117861_OFWT_A.jpg</t>
  </si>
  <si>
    <t>117861OFWT-45P</t>
  </si>
  <si>
    <t>117861OFWT</t>
  </si>
  <si>
    <t>Off White Snythetic/Textile</t>
  </si>
  <si>
    <t>https://image.skechers.com/img/productimages/xlarge/117863_BBK_A.jpg</t>
  </si>
  <si>
    <t>117863BBK-45P</t>
  </si>
  <si>
    <t>117863BBK</t>
  </si>
  <si>
    <t>GET GROUNDED</t>
  </si>
  <si>
    <t>Slip-Ins Glide-Step Bungee Knit w/ TPU Accents</t>
  </si>
  <si>
    <t>Glide-Step
Heel Pillow
Machine Washable
Memory Foam
No Tie Fit
Slip-Ins</t>
  </si>
  <si>
    <t>https://image.skechers.com/img/productimages/xlarge/117863_DKTP_A.jpg</t>
  </si>
  <si>
    <t>117863DKTP-45P</t>
  </si>
  <si>
    <t>117863DKTP</t>
  </si>
  <si>
    <t>https://image.skechers.com/img/productimages/xlarge/117863_WLV_A.jpg</t>
  </si>
  <si>
    <t>117863WLV-45P</t>
  </si>
  <si>
    <t>WLV</t>
  </si>
  <si>
    <t>117863WLV</t>
  </si>
  <si>
    <t>White Knit/Lavender Trim</t>
  </si>
  <si>
    <t>https://image.skechers.com/img/productimages/xlarge/118110_BBK_A.jpg</t>
  </si>
  <si>
    <t>118110BBK-43R</t>
  </si>
  <si>
    <t>118110BBK</t>
  </si>
  <si>
    <t>ARCTIC EDGE</t>
  </si>
  <si>
    <t>MENS</t>
  </si>
  <si>
    <t>Debossed Lace Up Pu Sneaker</t>
  </si>
  <si>
    <t>BOM - BOBS SPORT MENS</t>
  </si>
  <si>
    <t>Memory Foam</t>
  </si>
  <si>
    <t>https://image.skechers.com/img/productimages/xlarge/118113_DKTP_A.jpg</t>
  </si>
  <si>
    <t>118113DKTP-43R</t>
  </si>
  <si>
    <t>118113DKTP</t>
  </si>
  <si>
    <t>GLACIAL EDGE</t>
  </si>
  <si>
    <t>Dark Taupe Mesh</t>
  </si>
  <si>
    <t>https://image.skechers.com/img/productimages/xlarge/118113W_BBK_A.jpg</t>
  </si>
  <si>
    <t>118113WBBK-43R</t>
  </si>
  <si>
    <t>118113W</t>
  </si>
  <si>
    <t>118113WBBK</t>
  </si>
  <si>
    <t>https://image.skechers.com/img/productimages/xlarge/118113W_BLK_A.jpg</t>
  </si>
  <si>
    <t>118113WBLK-43R</t>
  </si>
  <si>
    <t>118113WBLK</t>
  </si>
  <si>
    <t>https://image.skechers.com/img/productimages/xlarge/118312_BLK_A.jpg</t>
  </si>
  <si>
    <t>118312BLK-43R</t>
  </si>
  <si>
    <t>118312BLK</t>
  </si>
  <si>
    <t>SOLID STEP</t>
  </si>
  <si>
    <t>Skechers Hands Free Slip-ins® for an easy fit
Heel Pillow® holds your foot securely in place
Skechers Memory Foam™ cushioned comfort insole
No Tie Fit™ - laces never come untied
Crafted with 100% vegan materials</t>
  </si>
  <si>
    <t>Engineered knit upper with stretch laces
Contoured shock-absorbing midsole
Flexible traction outsole
1 1/4-inch heel height
Machine washable
Skechers BOBS Sport™ logo details</t>
  </si>
  <si>
    <t>https://image.skechers.com/img/productimages/xlarge/118312W_BBK_A.jpg</t>
  </si>
  <si>
    <t>118312WBBK-43R</t>
  </si>
  <si>
    <t>118312W</t>
  </si>
  <si>
    <t>118312WBBK</t>
  </si>
  <si>
    <t>https://image.skechers.com/img/productimages/xlarge/118412_BKGY_A.jpg</t>
  </si>
  <si>
    <t>118412BKGY-43R</t>
  </si>
  <si>
    <t>BKGY</t>
  </si>
  <si>
    <t>118412BKGY</t>
  </si>
  <si>
    <t>Slip-Ins Multi-Layered Pu/Mesh Lace Up</t>
  </si>
  <si>
    <t>Black/Gray Mesh</t>
  </si>
  <si>
    <t>Heel Pillow
Leather Upper
Memory Foam
Slip-Ins</t>
  </si>
  <si>
    <t>https://image.skechers.com/img/productimages/xlarge/118412_GYMT_A.jpg</t>
  </si>
  <si>
    <t>118412GYMT-43R</t>
  </si>
  <si>
    <t>118412GYMT</t>
  </si>
  <si>
    <t>Gray-Multi Mesh</t>
  </si>
  <si>
    <t>https://image.skechers.com/img/productimages/xlarge/118412_TPMT_A.jpg</t>
  </si>
  <si>
    <t>118412TPMT-43R</t>
  </si>
  <si>
    <t>TPMT</t>
  </si>
  <si>
    <t>118412TPMT</t>
  </si>
  <si>
    <t>Taupe-Multi Mesh</t>
  </si>
  <si>
    <t>https://image.skechers.com/img/productimages/xlarge/118416_BBK_A.jpg</t>
  </si>
  <si>
    <t>118416BBK-43R</t>
  </si>
  <si>
    <t>118416BBK</t>
  </si>
  <si>
    <t>CRUCIAL STEP</t>
  </si>
  <si>
    <t>Slip-Ins Waterproof Pu/Mesh Lace Up</t>
  </si>
  <si>
    <t>Black Pu/Mesh</t>
  </si>
  <si>
    <t>Waterproof
Heel Pillow
Memory Foam
Slip-Ins</t>
  </si>
  <si>
    <t>https://image.skechers.com/img/productimages/xlarge/118423_BLK_A.jpg</t>
  </si>
  <si>
    <t>118423BLK-43R</t>
  </si>
  <si>
    <t>118423BLK</t>
  </si>
  <si>
    <t>Slip-Ins Mesh Hotmelt Bungee Sneaker</t>
  </si>
  <si>
    <t>Mesh upper with fixed stretch laces
Contoured shock-absorbing midsole
Flexible traction outsole
1 1/4-inch heel height
Skechers BOBS Sport™ logo details</t>
  </si>
  <si>
    <t>Heel Pillow
Memory Foam
No Tie Fit
Slip-Ins</t>
  </si>
  <si>
    <t>https://image.skechers.com/img/productimages/xlarge/118423_CCL_A.jpg</t>
  </si>
  <si>
    <t>118423CCL-43R</t>
  </si>
  <si>
    <t>CCL</t>
  </si>
  <si>
    <t>118423CCL</t>
  </si>
  <si>
    <t>Charcoal Mesh</t>
  </si>
  <si>
    <t>https://image.skechers.com/img/productimages/xlarge/118423_CSNT_A.jpg</t>
  </si>
  <si>
    <t>118423CSNT-43R</t>
  </si>
  <si>
    <t>CSNT</t>
  </si>
  <si>
    <t>118423CSNT</t>
  </si>
  <si>
    <t>Chestnut Mesh</t>
  </si>
  <si>
    <t>https://image.skechers.com/img/productimages/xlarge/118423_OLV_A.jpg</t>
  </si>
  <si>
    <t>118423OLV-43R</t>
  </si>
  <si>
    <t>118423OLV</t>
  </si>
  <si>
    <t>Olive Mesh</t>
  </si>
  <si>
    <t>https://image.skechers.com/img/productimages/xlarge/118423W_BBK_A.jpg</t>
  </si>
  <si>
    <t>118423WBBK-43R</t>
  </si>
  <si>
    <t>118423W</t>
  </si>
  <si>
    <t>118423WBBK</t>
  </si>
  <si>
    <t>https://image.skechers.com/img/productimages/xlarge/118423W_DKTP_A.jpg</t>
  </si>
  <si>
    <t>118423WDKTP-43R</t>
  </si>
  <si>
    <t>118423WDKTP</t>
  </si>
  <si>
    <t>https://image.skechers.com/img/productimages/xlarge/118423_WHT_A.jpg</t>
  </si>
  <si>
    <t>118423WHT-43R</t>
  </si>
  <si>
    <t>118423WHT</t>
  </si>
  <si>
    <t>https://image.skechers.com/img/productimages/xlarge/118423W_NVY_A.jpg</t>
  </si>
  <si>
    <t>118423WNVY-43R</t>
  </si>
  <si>
    <t>118423WNVY</t>
  </si>
  <si>
    <t>https://image.skechers.com/img/productimages/xlarge/118424_BLK_A.jpg</t>
  </si>
  <si>
    <t>118424BLK-43R</t>
  </si>
  <si>
    <t>118424BLK</t>
  </si>
  <si>
    <t>DIRECT STEP</t>
  </si>
  <si>
    <t>Slip-Ins Debossed Pu Bungee Sneaker</t>
  </si>
  <si>
    <t>Vegan leather upper with stretch laces
Contoured shock-absorbing midsole
Flexible traction outsole
1 1/4-inch heel height
Skechers BOBS Sport™ logo details</t>
  </si>
  <si>
    <t>https://image.skechers.com/img/productimages/xlarge/118424_TPE_A.jpg</t>
  </si>
  <si>
    <t>118424TPE-43R</t>
  </si>
  <si>
    <t>118424TPE</t>
  </si>
  <si>
    <t>Taupe Pu</t>
  </si>
  <si>
    <t>https://image.skechers.com/img/productimages/xlarge/118424_WHT_A.jpg</t>
  </si>
  <si>
    <t>118424WHT-43R</t>
  </si>
  <si>
    <t>118424WHT</t>
  </si>
  <si>
    <t>White Pu</t>
  </si>
  <si>
    <t>https://image.skechers.com/img/productimages/xlarge/118430_BBK_A.jpg</t>
  </si>
  <si>
    <t>118430BBK-43R</t>
  </si>
  <si>
    <t>118430BBK</t>
  </si>
  <si>
    <t>CLASSIC NOTE</t>
  </si>
  <si>
    <t>Engineered Knit Bungee Sneaker</t>
  </si>
  <si>
    <t>Engineered knit upper with fixed stretch laces
Flexible traction outsole
1 1/2-inch heel height
Machine washable
BOBS® from Skechers® logo detail</t>
  </si>
  <si>
    <t>https://image.skechers.com/img/productimages/xlarge/118430_BLK_A.jpg</t>
  </si>
  <si>
    <t>118430BLK-43R</t>
  </si>
  <si>
    <t>118430BLK</t>
  </si>
  <si>
    <t>https://image.skechers.com/img/productimages/xlarge/118430_DKGY_A.jpg</t>
  </si>
  <si>
    <t>118430DKGY-43R</t>
  </si>
  <si>
    <t>DKGY</t>
  </si>
  <si>
    <t>118430DKGY</t>
  </si>
  <si>
    <t>Dark Gray Knit</t>
  </si>
  <si>
    <t>https://image.skechers.com/img/productimages/xlarge/118430_NVY_A.jpg</t>
  </si>
  <si>
    <t>118430NVY-43R</t>
  </si>
  <si>
    <t>118430NVY</t>
  </si>
  <si>
    <t>Navy Knit</t>
  </si>
  <si>
    <t>https://image.skechers.com/img/productimages/xlarge/118431_BBK_A.jpg</t>
  </si>
  <si>
    <t>118431BBK-43R</t>
  </si>
  <si>
    <t>118431BBK</t>
  </si>
  <si>
    <t>Engineered knit and synthetic overlay upper with adjustable laces
Flexible traction outsole
1 1/2-inch heel height
Machine washable
BOBS® from Skechers® logo detail</t>
  </si>
  <si>
    <t>https://image.skechers.com/img/productimages/xlarge/118431_BLK_A.jpg</t>
  </si>
  <si>
    <t>118431BLK-43R</t>
  </si>
  <si>
    <t>118431BLK</t>
  </si>
  <si>
    <t>https://image.skechers.com/img/productimages/xlarge/118431_NTOL_A.jpg</t>
  </si>
  <si>
    <t>118431NTOL-43R</t>
  </si>
  <si>
    <t>NTOL</t>
  </si>
  <si>
    <t>118431NTOL</t>
  </si>
  <si>
    <t>Natural/Olive Knit</t>
  </si>
  <si>
    <t>https://image.skechers.com/img/productimages/xlarge/118432_BBK_A.jpg</t>
  </si>
  <si>
    <t>118432BBK-43R</t>
  </si>
  <si>
    <t>118432BBK</t>
  </si>
  <si>
    <t>FULLY STACKED</t>
  </si>
  <si>
    <t>Slip-Ins Lace Up Mesh W/ Pu Trim Sneaker</t>
  </si>
  <si>
    <t>Heel Pillow
Memory Foam
Slip-Ins</t>
  </si>
  <si>
    <t>https://image.skechers.com/img/productimages/xlarge/118432_W_A.jpg</t>
  </si>
  <si>
    <t>118432W-43R</t>
  </si>
  <si>
    <t>W</t>
  </si>
  <si>
    <t>118432W</t>
  </si>
  <si>
    <t>White Synthetic/Textile</t>
  </si>
  <si>
    <t>https://image.skechers.com/img/productimages/xlarge/118433_BLK_A.jpg</t>
  </si>
  <si>
    <t>118433BLK-43R</t>
  </si>
  <si>
    <t>118433BLK</t>
  </si>
  <si>
    <t>FULLY VITAL</t>
  </si>
  <si>
    <t>Laced Engineered Knit w/ TPU Accents</t>
  </si>
  <si>
    <t>https://image.skechers.com/img/productimages/xlarge/118433_LTGY_A.jpg</t>
  </si>
  <si>
    <t>118433LTGY-43R</t>
  </si>
  <si>
    <t>LTGY</t>
  </si>
  <si>
    <t>118433LTGY</t>
  </si>
  <si>
    <t>Light Gray Synthetic/Textile</t>
  </si>
  <si>
    <t>https://image.skechers.com/img/productimages/xlarge/118451_BBK_A.jpg</t>
  </si>
  <si>
    <t>118451BBK-43R</t>
  </si>
  <si>
    <t>118451BBK</t>
  </si>
  <si>
    <t>FEEL GROUNDED</t>
  </si>
  <si>
    <t>https://image.skechers.com/img/productimages/xlarge/118451_DKTP_A.jpg</t>
  </si>
  <si>
    <t>118451DKTP-43R</t>
  </si>
  <si>
    <t>118451DKTP</t>
  </si>
  <si>
    <t>https://image.skechers.com/img/productimages/xlarge/125144_BBK_A.jpg</t>
  </si>
  <si>
    <t>125144BBK-45D</t>
  </si>
  <si>
    <t>125144BBK</t>
  </si>
  <si>
    <t>GO WALK GLIDE-STEP 2.0</t>
  </si>
  <si>
    <t>MARIA</t>
  </si>
  <si>
    <t>Slip-Ins Monomesh Bungee</t>
  </si>
  <si>
    <t>Black Textile/Black Trim</t>
  </si>
  <si>
    <t>Skechers Hands Free Slip-ins® for an easy fit
Heel Pillow® holds your foot securely in place
Glide-Step® geometric midsole designed to provide natural momentum with every step
Skechers Air-Cooled Goga Mat™ breathable insole with high-rebound cushioning
Lightweight, responsive ULTRA GO® cushioning
Ultra-lightweight Skechers® Soft Stride™ cushioning foam for added comfort</t>
  </si>
  <si>
    <t>Monomesh upper with fixed stretch laces
Crafted with 100% vegan materials
No Tie Fit® - laces never come untied
Flexible traction outsole
Machine washable
1 1/2-inch heel height
Skechers® logo detail</t>
  </si>
  <si>
    <t>GOW - GO WALK WOMENS</t>
  </si>
  <si>
    <t>Air Cooled Goga Mat Insole
Glide-Step
Heel Pillow
Machine Washable
No Tie Fit
Soft Stride
Slip-Ins
Ultra Go
Vegan</t>
  </si>
  <si>
    <t>https://image.skechers.com/img/productimages/xlarge/125144_WLV_A.jpg</t>
  </si>
  <si>
    <t>125144WLV-45D</t>
  </si>
  <si>
    <t>125144WLV</t>
  </si>
  <si>
    <t>White Textile/Lavender Trim</t>
  </si>
  <si>
    <t>https://image.skechers.com/img/productimages/xlarge/125342_BBK_A.jpg</t>
  </si>
  <si>
    <t>125342BBK-45D</t>
  </si>
  <si>
    <t>125342BBK</t>
  </si>
  <si>
    <t>GO WALK ARCH FIT 2.0</t>
  </si>
  <si>
    <t>KATHY</t>
  </si>
  <si>
    <t>Slip-Ins Circular Knit Bungee Slip On</t>
  </si>
  <si>
    <t>This design has been granted the Seal of Acceptance by the American Podiatric Medical Association (APMA)
Skechers Hands Free Slip-ins® for an easy fit
Heel Pillow® holds your foot securely in place
Patented Skechers Arch Fit® insole system with podiatrist-certified arch support developed with 20 years of data and 120,000 unweighted foot scans
Removable insole helps mold to your foot to reduce shock and increase weight dispersion
Lightweight, responsive ULTRA GO® cushioning</t>
  </si>
  <si>
    <t>Engineered knit upper with stretch laces
No Tie Fit® - laces never come untied
Crafted with 100% vegan materials
High-rebound Comfort Pillars™ for added support
Durable dual-density traction outsole for stability
1 3/4-inch heel height
Machine washable
Skechers® and Arch Fit® logo details</t>
  </si>
  <si>
    <t>APMA Seal of Acceptance
Arch Fit
Comfort Pillar Technology
Dual-Density
Heel Pillow
Machine Washable
No Tie Fit
Slip-Ins
Ultra Go</t>
  </si>
  <si>
    <t>https://image.skechers.com/img/productimages/xlarge/125342_BKW_A.jpg</t>
  </si>
  <si>
    <t>125342BKW-45D</t>
  </si>
  <si>
    <t>125342BKW</t>
  </si>
  <si>
    <t>Black Textile/White Trim</t>
  </si>
  <si>
    <t>https://image.skechers.com/img/productimages/xlarge/125342_LAV_A.jpg</t>
  </si>
  <si>
    <t>125342LAV-45D</t>
  </si>
  <si>
    <t>125342LAV</t>
  </si>
  <si>
    <t>Lavender Textile/Coral Trim</t>
  </si>
  <si>
    <t>https://image.skechers.com/img/productimages/xlarge/125342_NVW_A.jpg</t>
  </si>
  <si>
    <t>125342NVW-45D</t>
  </si>
  <si>
    <t>NVW</t>
  </si>
  <si>
    <t>125342NVW</t>
  </si>
  <si>
    <t>https://image.skechers.com/img/productimages/xlarge/125342_WPR_A.jpg</t>
  </si>
  <si>
    <t>125342WPR-45D</t>
  </si>
  <si>
    <t>WPR</t>
  </si>
  <si>
    <t>125342WPR</t>
  </si>
  <si>
    <t>White Textile/Dark Purple Trim</t>
  </si>
  <si>
    <t>https://image.skechers.com/img/productimages/xlarge/125346_BBK_A.jpg</t>
  </si>
  <si>
    <t>125346BBK-45D</t>
  </si>
  <si>
    <t>125346BBK</t>
  </si>
  <si>
    <t>CASSY</t>
  </si>
  <si>
    <t>Engineered Mesh Bungee</t>
  </si>
  <si>
    <t>This design has been granted the Seal of Acceptance by the American Podiatric Medical Association (APMA)
Patented Skechers Arch Fit® insole system with podiatrist-certified arch support developed with 20 years of data and 120,000 unweighted foot scans
Removable insole helps mold to your foot to reduce shock and increase weight dispersion
Lightweight, responsive ULTRA GO® cushioning
High-rebound Comfort Pillars™ for added support
No Tie Fit® - laces never come untied</t>
  </si>
  <si>
    <t>Engineered mesh and synthetic overlay upper with stretch laces
Crafted with 100% vegan materials
Durable dual-density traction outsole for stability
1 3/4-inch heel height
Machine washable
Skechers® and Arch Fit® logo details</t>
  </si>
  <si>
    <t>APMA Seal of Acceptance
Arch Fit
Comfort Pillar Technology
Dual-Density
Machine Washable
No Tie Fit
Ultra Go
Vegan</t>
  </si>
  <si>
    <t>https://image.skechers.com/img/productimages/xlarge/125346W_BKPK_A.jpg</t>
  </si>
  <si>
    <t>125346WBKPK-45D</t>
  </si>
  <si>
    <t>125346W</t>
  </si>
  <si>
    <t>BKPK</t>
  </si>
  <si>
    <t>125346WBKPK</t>
  </si>
  <si>
    <t>Black Textile/Pink Trim</t>
  </si>
  <si>
    <t>https://image.skechers.com/img/productimages/xlarge/125346_WCRL_A.jpg</t>
  </si>
  <si>
    <t>125346WCRL-45D</t>
  </si>
  <si>
    <t>WCRL</t>
  </si>
  <si>
    <t>125346WCRL</t>
  </si>
  <si>
    <t>White Textile/Coral Trim</t>
  </si>
  <si>
    <t>https://image.skechers.com/img/productimages/xlarge/125346W_NTPH_A.jpg</t>
  </si>
  <si>
    <t>125346WNTPH-45D</t>
  </si>
  <si>
    <t>NTPH</t>
  </si>
  <si>
    <t>125346WNTPH</t>
  </si>
  <si>
    <t>Natural Textile/Peach Trim</t>
  </si>
  <si>
    <t>https://image.skechers.com/img/productimages/xlarge/125523_BBK_A.jpg</t>
  </si>
  <si>
    <t>125523BBK-45D</t>
  </si>
  <si>
    <t>125523BBK</t>
  </si>
  <si>
    <t>GO WALK FLEX</t>
  </si>
  <si>
    <t>AZRIEL</t>
  </si>
  <si>
    <t>Slip-Ins Engineered Mesh Bungee</t>
  </si>
  <si>
    <t>Skechers Hands Free Slip-ins® for an easy fit
Heel Pillow® holds your foot securely in place
Lightweight, responsive ULTRA GO® cushioning
Skechers Air-Cooled Memory Foam® cushioned comfort insole
Multi-surface stabilized and flexible traction with Flex Pillars™
No Tie Fit® - laces never come untied</t>
  </si>
  <si>
    <t>Engineered mesh upper with fixed stretch laces
Crafted with 100% vegan materials
Flexible traction outsole
1 1/4-inch heel height
Skechers® logo detail</t>
  </si>
  <si>
    <t>Air-Cooled MF
Flex Pillars
Heel Pillow
No Tie Fit
Slip-Ins
Ultra Go
Vegan</t>
  </si>
  <si>
    <t>https://image.skechers.com/img/productimages/xlarge/125523_BKW_A.jpg</t>
  </si>
  <si>
    <t>125523BKW-45D</t>
  </si>
  <si>
    <t>125523BKW</t>
  </si>
  <si>
    <t>https://image.skechers.com/img/productimages/xlarge/125523_NVW_A.jpg</t>
  </si>
  <si>
    <t>125523NVW-45D</t>
  </si>
  <si>
    <t>125523NVW</t>
  </si>
  <si>
    <t>Navy Textile/Navy Trim</t>
  </si>
  <si>
    <t>https://image.skechers.com/img/productimages/xlarge/125523_TPLV_A.jpg</t>
  </si>
  <si>
    <t>125523TPLV-45D</t>
  </si>
  <si>
    <t>TPLV</t>
  </si>
  <si>
    <t>125523TPLV</t>
  </si>
  <si>
    <t>Taupe Textile/Lavender Trim</t>
  </si>
  <si>
    <t>https://image.skechers.com/img/productimages/xlarge/125523_WSL_A.jpg</t>
  </si>
  <si>
    <t>125523WSL-45D</t>
  </si>
  <si>
    <t>WSL</t>
  </si>
  <si>
    <t>125523WSL</t>
  </si>
  <si>
    <t>White Textile/Silver Trim</t>
  </si>
  <si>
    <t>https://image.skechers.com/img/productimages/xlarge/125581_BKW_A.jpg</t>
  </si>
  <si>
    <t>125581BKW-45D</t>
  </si>
  <si>
    <t>125581BKW</t>
  </si>
  <si>
    <t>GO WALK MAX CUSHIONING ARCH FIT</t>
  </si>
  <si>
    <t>ROSLYN</t>
  </si>
  <si>
    <t>Breathable Engineered Mesh Bungee</t>
  </si>
  <si>
    <t>This design has been granted the Seal of Acceptance by the American Podiatric Medical Association (APMA)
Patented Skechers Arch Fit® contoured footbed with podiatrist-certified arch support, developed with 20 years of data and 120,000 unweighted foot scans
Removable insole helps mold to your foot to reduce shock and increase weight dispersion
Skechers Max Cushioning® design for exceptional comfort and support
Skechers HYPER ARC™ adapts to your stride to promote a smoother transition for a more efficient run
Ultra-lightweight, responsive ULTRA FLIGHT® cushioning</t>
  </si>
  <si>
    <t>Engineered mesh upper with stretch laces
Crafted with 100% vegan materials
Flexible traction outsole
2-inch heel height
Machine washable
Skechers® and Arch Fit® logo details</t>
  </si>
  <si>
    <t>APMA Seal of Acceptance
Arch Fit
Machine Washable
Max Cushioning
No Tie Fit
Ultra Flight
Vegan
Hyper Arc</t>
  </si>
  <si>
    <t>https://image.skechers.com/img/productimages/xlarge/125581_LTGY_A.jpg</t>
  </si>
  <si>
    <t>125581LTGY-45D</t>
  </si>
  <si>
    <t>125581LTGY</t>
  </si>
  <si>
    <t>Light Gray Textile/Pink Trim</t>
  </si>
  <si>
    <t>https://image.skechers.com/img/productimages/xlarge/125581_NAT_A.jpg</t>
  </si>
  <si>
    <t>125581NAT-45D</t>
  </si>
  <si>
    <t>125581NAT</t>
  </si>
  <si>
    <t>Natural Textile/Green Trim</t>
  </si>
  <si>
    <t>https://image.skechers.com/img/productimages/xlarge/125581_WHT_A.jpg</t>
  </si>
  <si>
    <t>125581WHT-45D</t>
  </si>
  <si>
    <t>125581WHT</t>
  </si>
  <si>
    <t>White Textile/Trim</t>
  </si>
  <si>
    <t>https://image.skechers.com/img/productimages/xlarge/125662_GLD_A.jpg</t>
  </si>
  <si>
    <t>125662GLD-45D</t>
  </si>
  <si>
    <t>GLD</t>
  </si>
  <si>
    <t>125662GLD</t>
  </si>
  <si>
    <t>GO WALK NOW</t>
  </si>
  <si>
    <t>AURA</t>
  </si>
  <si>
    <t>Slip-Ins Metallic Leather Overlay Lace Up</t>
  </si>
  <si>
    <t>Gold Leather/Trim</t>
  </si>
  <si>
    <t>Air Cooled Goga Mat Insole
Heel Pillow
Soft Stride
Slip-Ins
Ultra Light Cushioning</t>
  </si>
  <si>
    <t>https://image.skechers.com/img/productimages/xlarge/125662_RSGD_A.jpg</t>
  </si>
  <si>
    <t>125662RSGD-45D</t>
  </si>
  <si>
    <t>RSGD</t>
  </si>
  <si>
    <t>125662RSGD</t>
  </si>
  <si>
    <t>Rose Gold Leather/Trim</t>
  </si>
  <si>
    <t>https://image.skechers.com/img/productimages/xlarge/125662_SIL_A.jpg</t>
  </si>
  <si>
    <t>125662SIL-45D</t>
  </si>
  <si>
    <t>SIL</t>
  </si>
  <si>
    <t>125662SIL</t>
  </si>
  <si>
    <t>Silver Leather/Trim</t>
  </si>
  <si>
    <t>https://image.skechers.com/img/productimages/xlarge/125840_BKW_A.jpg</t>
  </si>
  <si>
    <t>125840BKW-45D</t>
  </si>
  <si>
    <t>125840BKW</t>
  </si>
  <si>
    <t>GO WALK ARCH FIT N-JOY</t>
  </si>
  <si>
    <t>This design has been granted the Seal of Acceptance by the American Podiatric Medical Association (APMA)
Skechers Hands Free Slip-ins® for an easy fit
Heel Pillow® holds your foot securely in place
Patented Skechers Arch Fit® insole system with podiatrist-certified arch support, developed with 20 years of data and 120,000 unweighted foot scans
Removable insole helps mold to your foot to reduce shock and increase weight dispersion
Relaxed Fit® for a roomy comfort fit at toe and forefoot</t>
  </si>
  <si>
    <t>Engineered mesh upper with fixed stretch laces
Crafted with 100% vegan materials
No Tie Fit™ - laces never come untied
Lightweight, responsive ULTRA LIGHT midsole cushioning
Flexible traction outsole
1 3/4-inch heel height
Machine washable
Skechers® and Arch Fit® logo details</t>
  </si>
  <si>
    <t>APMA Seal of Acceptance
Arch Fit
Heel Pillow
Machine Washable
No Tie Fit
Relaxed Fit
Slip-Ins
Vegan
Ultra Light Cushioning</t>
  </si>
  <si>
    <t>https://image.skechers.com/img/productimages/xlarge/125840_MNT_A.jpg</t>
  </si>
  <si>
    <t>125840MNT-45D</t>
  </si>
  <si>
    <t>MNT</t>
  </si>
  <si>
    <t>125840MNT</t>
  </si>
  <si>
    <t>Mint Textile/ Lime Green Trim</t>
  </si>
  <si>
    <t>https://image.skechers.com/img/productimages/xlarge/125840_WLV_A.jpg</t>
  </si>
  <si>
    <t>125840WLV-45D</t>
  </si>
  <si>
    <t>125840WLV</t>
  </si>
  <si>
    <t>https://image.skechers.com/img/productimages/xlarge/125848_BBK_A.jpg</t>
  </si>
  <si>
    <t>125848BBK-45D</t>
  </si>
  <si>
    <t>125848BBK</t>
  </si>
  <si>
    <t>ELLIE</t>
  </si>
  <si>
    <t>This design has been granted the Seal of Acceptance by the American Podiatric Medical Association (APMA)
Patented Skechers Arch Fit® insole system with podiatrist-certified arch support, developed with 20 years of data and 120,000 unweighted foot scans
Removable insole helps mold to your foot to reduce shock and increase weight dispersion
Relaxed Fit® for a roomy comfort fit at toe and forefoot
Lightweight, responsive ULTRA LIGHT midsole cushioning
No Tie Fit™ - laces never come untied</t>
  </si>
  <si>
    <t>Engineered mesh upper with tied-off stretch laces
Crafted with 100% vegan materials
Flexible traction outsole
1 3/4-inch heel height
Machine washable
Skechers® and Arch Fit® logo details</t>
  </si>
  <si>
    <t>APMA Seal of Acceptance
Arch Fit
Machine Washable
No Tie Fit
Relaxed Fit
Vegan
Ultra Light Cushioning</t>
  </si>
  <si>
    <t>https://image.skechers.com/img/productimages/xlarge/125848_BKPK_A.jpg</t>
  </si>
  <si>
    <t>125848BKPK-45D</t>
  </si>
  <si>
    <t>125848BKPK</t>
  </si>
  <si>
    <t>Black Textile/Mauve Trim</t>
  </si>
  <si>
    <t>https://image.skechers.com/img/productimages/xlarge/125848_WPUR_A.jpg</t>
  </si>
  <si>
    <t>125848WPUR-45D</t>
  </si>
  <si>
    <t>WPUR</t>
  </si>
  <si>
    <t>125848WPUR</t>
  </si>
  <si>
    <t>White Textile/Purple Trim</t>
  </si>
  <si>
    <t>https://image.skechers.com/img/productimages/xlarge/125850_BBK_A.jpg</t>
  </si>
  <si>
    <t>125850BBK-45D</t>
  </si>
  <si>
    <t>125850BBK</t>
  </si>
  <si>
    <t>KATIE</t>
  </si>
  <si>
    <t>Yardage Mesh Open Back Slip On</t>
  </si>
  <si>
    <t>This design has been granted the Seal of Acceptance by the American Podiatric Medical Association (APMA)
Patented Skechers Arch Fit® insole system with podiatrist-certified arch support developed with 20 years of data and 120,000 unweighted foot scans
Removable insole helps mold to your foot to reduce shock and increase weight dispersion
Relaxed Fit® for a roomy comfort fit at toe and forefoot
Lightweight, responsive ULTRA LIGHT midsole cushioning
Crafted with 100% vegan materials</t>
  </si>
  <si>
    <t>Mesh upper
Casual open-back mule
Flexible traction outsole
Machine washable
1 3/4-inch heel height
Skechers® and Arch Fit® logo details</t>
  </si>
  <si>
    <t>APMA Seal of Acceptance
Arch Fit
Machine Washable
Relaxed Fit
Vegan
Ultra Light Cushioning</t>
  </si>
  <si>
    <t>https://image.skechers.com/img/productimages/xlarge/125850_BLK_A.jpg</t>
  </si>
  <si>
    <t>125850BLK-45D</t>
  </si>
  <si>
    <t>125850BLK</t>
  </si>
  <si>
    <t>Black Textile/Trim</t>
  </si>
  <si>
    <t>https://image.skechers.com/img/productimages/xlarge/125881_SLT_A.jpg</t>
  </si>
  <si>
    <t>125881SLT-45D</t>
  </si>
  <si>
    <t>SLT</t>
  </si>
  <si>
    <t>125881SLT</t>
  </si>
  <si>
    <t>GO WALK MAX CUSHIONING HYPER BURST</t>
  </si>
  <si>
    <t>NIKITA</t>
  </si>
  <si>
    <t>Slip-Ins Two Toned Engineered Mesh Bungee</t>
  </si>
  <si>
    <t>Slate Textile/Trim</t>
  </si>
  <si>
    <t>Skechers Hands Free Slip-ins® for an easy fit
Heel Pillow® holds your foot securely in place
Skechers Max Cushioning® design for exceptional comfort and support
HYPER BURST® cushioning midsole offers a highly responsive and ultra-lightweight experience. This innovative resilient foam is created using a 'Super Critical®' process with spherically-shaped cells compressed into the midsole.
Skechers Air-Cooled Goga Mat™ breathable insole with high-rebound cushioning
Ultra-lightweight Skechers® Soft Stride™ cushioning foam for added comfort</t>
  </si>
  <si>
    <t>Two-tone engineered mesh upper with tied-off stretch laces
Crafted with 100% vegan materials
No Tie Fit™ - laces never come untied
Flexible traction outsole
2-inch heel height
Machine washable
Skechers® logo detail</t>
  </si>
  <si>
    <t>Air Cooled Goga Mat
Hyper Burst
Machine Washable
Max Cushioning
No Tie Fit
Soft Stride
Slip-Ins
Vegan</t>
  </si>
  <si>
    <t>https://image.skechers.com/img/productimages/xlarge/125881_WHT_A.jpg</t>
  </si>
  <si>
    <t>125881WHT-45D</t>
  </si>
  <si>
    <t>125881WHT</t>
  </si>
  <si>
    <t>https://image.skechers.com/img/productimages/xlarge/125890_BBK_A.jpg</t>
  </si>
  <si>
    <t>125890BBK-45D</t>
  </si>
  <si>
    <t>125890BBK</t>
  </si>
  <si>
    <t>Athletic Mesh Bungee W/ HM Overlays</t>
  </si>
  <si>
    <t>Air Cooled Goga Mat Insole
Hyper Burst
Machine Washable
Max Cushioning
No Tie Fit
Soft Stride
Vegan</t>
  </si>
  <si>
    <t>https://image.skechers.com/img/productimages/xlarge/125890_MVE_A.jpg</t>
  </si>
  <si>
    <t>125890MVE-45D</t>
  </si>
  <si>
    <t>MVE</t>
  </si>
  <si>
    <t>125890MVE</t>
  </si>
  <si>
    <t>Mauve Textile/Light Pink Trim</t>
  </si>
  <si>
    <t>https://image.skechers.com/img/productimages/xlarge/125890_NTBG_A.jpg</t>
  </si>
  <si>
    <t>125890NTBG-45D</t>
  </si>
  <si>
    <t>NTBG</t>
  </si>
  <si>
    <t>125890NTBG</t>
  </si>
  <si>
    <t>Natural Textile/Burgundy Trim</t>
  </si>
  <si>
    <t>https://image.skechers.com/img/productimages/xlarge/125920_BBK_A.jpg</t>
  </si>
  <si>
    <t>125920BBK-45D</t>
  </si>
  <si>
    <t>125920BBK</t>
  </si>
  <si>
    <t>GO WALK 8</t>
  </si>
  <si>
    <t>BRITT</t>
  </si>
  <si>
    <t>Two Tone Engineered Knit Bungee</t>
  </si>
  <si>
    <t>Skechers Air-Cooled Goga Mat™ breathable insole with high-rebound cushioning
Lightweight, responsive ULTRA GO® cushioning
High-rebound Ultra Pillars® underfoot react to your every step for ultimate comfort
Ultra-lightweight Skechers® Soft Stride™ cushioning foam for added comfort
No Tie Fit® - laces never come untied</t>
  </si>
  <si>
    <t>Two-tone engineered knit upper with stretch laces
Crafted with 100% vegan materials
Durable dual-density traction outsole for stability
1 1/2-inch heel height
Machine washable
Skechers® logo detail</t>
  </si>
  <si>
    <t>Air Cooled Goga Mat Insole
Comfort Pillar Technology
Dual-Density
Machine Washable
No Tie Fit
Soft Stride
Ultra Go
Ultra Pillars
Vegan</t>
  </si>
  <si>
    <t>https://image.skechers.com/img/productimages/xlarge/125920_BKPK_A.jpg</t>
  </si>
  <si>
    <t>125920BKPK-45D</t>
  </si>
  <si>
    <t>125920BKPK</t>
  </si>
  <si>
    <t>https://image.skechers.com/img/productimages/xlarge/125920_BKW_A.jpg</t>
  </si>
  <si>
    <t>125920BKW-45D</t>
  </si>
  <si>
    <t>125920BKW</t>
  </si>
  <si>
    <t>https://image.skechers.com/img/productimages/xlarge/125920_BLPK_A.jpg</t>
  </si>
  <si>
    <t>125920BLPK-45D</t>
  </si>
  <si>
    <t>BLPK</t>
  </si>
  <si>
    <t>125920BLPK</t>
  </si>
  <si>
    <t>Blue Textile/Pink Trim</t>
  </si>
  <si>
    <t>https://image.skechers.com/img/productimages/xlarge/125921_NVW_A.jpg</t>
  </si>
  <si>
    <t>125921NVW-45D</t>
  </si>
  <si>
    <t>125921NVW</t>
  </si>
  <si>
    <t>ALEENA</t>
  </si>
  <si>
    <t>Stretch Fit Knit Slip On</t>
  </si>
  <si>
    <t>Navy Textile/Coral Trim</t>
  </si>
  <si>
    <t>Air Cooled Goga Mat Insole
Dual-Density
Machine Washable
Soft Stride
Stretch Fit
Ultra Go
Ultra Pillars
Vegan</t>
  </si>
  <si>
    <t>https://image.skechers.com/img/productimages/xlarge/125925_BBK_A.jpg</t>
  </si>
  <si>
    <t>125925BBK-45D</t>
  </si>
  <si>
    <t>125925BBK</t>
  </si>
  <si>
    <t>NADIA</t>
  </si>
  <si>
    <t>Slip-Ins Athletic Mesh Bungee</t>
  </si>
  <si>
    <t>Skechers Hands Free Slip-ins® for an easy fit
Heel Pillow® holds your foot securely in place
Skechers Air-Cooled Goga Mat™ breathable insole with high-rebound cushioning
High-rebound Ultra Pillars® underfoot react to your every step for ultimate comfort
Ultra-lightweight Skechers® Soft Stride™ cushioning foam for added comfort
No Tie Fit® - laces never come untied</t>
  </si>
  <si>
    <t>Athletic mesh upper with fixed stretch laces
Crafted with 100% vegan materials
Durable dual-density traction outsole for stability
1 1/2-inch heel height
Machine washable
Skechers® logo detail</t>
  </si>
  <si>
    <t>Air Cooled Goga Mat Insole
Dual-Density
Heel Pillow
Machine Washable
No Tie Fit
Soft Stride
Slip-Ins
Ultra Go
Ultra Pillars
Vegan</t>
  </si>
  <si>
    <t>https://image.skechers.com/img/productimages/xlarge/125925_BKW_A.jpg</t>
  </si>
  <si>
    <t>125925BKW-45D</t>
  </si>
  <si>
    <t>125925BKW</t>
  </si>
  <si>
    <t>https://image.skechers.com/img/productimages/xlarge/125925_NAT_A.jpg</t>
  </si>
  <si>
    <t>125925NAT-45D</t>
  </si>
  <si>
    <t>125925NAT</t>
  </si>
  <si>
    <t>Natural Textile/Trim</t>
  </si>
  <si>
    <t>https://image.skechers.com/img/productimages/xlarge/125925_TPE_A.jpg</t>
  </si>
  <si>
    <t>125925TPE-45D</t>
  </si>
  <si>
    <t>125925TPE</t>
  </si>
  <si>
    <t>Taupe Textile/Trim</t>
  </si>
  <si>
    <t>https://image.skechers.com/img/productimages/xlarge/125941_BBK_A.jpg</t>
  </si>
  <si>
    <t>125941BBK-45D</t>
  </si>
  <si>
    <t>125941BBK</t>
  </si>
  <si>
    <t>JACKIE</t>
  </si>
  <si>
    <t>Athletic Mesh Open Back</t>
  </si>
  <si>
    <t>Air Cooled Goga Mat Insole
Machine Washable
Soft Stride
Ultra Go
Vegan</t>
  </si>
  <si>
    <t>https://image.skechers.com/img/productimages/xlarge/125941_BLK_A.jpg</t>
  </si>
  <si>
    <t>125941BLK-45D</t>
  </si>
  <si>
    <t>125941BLK</t>
  </si>
  <si>
    <t>https://image.skechers.com/img/productimages/xlarge/125941_NVY_A.jpg</t>
  </si>
  <si>
    <t>125941NVY-45D</t>
  </si>
  <si>
    <t>125941NVY</t>
  </si>
  <si>
    <t>Navy Textile/Trim</t>
  </si>
  <si>
    <t>https://image.skechers.com/img/productimages/xlarge/125941_TPE_A.jpg</t>
  </si>
  <si>
    <t>125941TPE-45D</t>
  </si>
  <si>
    <t>125941TPE</t>
  </si>
  <si>
    <t>https://image.skechers.com/img/productimages/xlarge/125942_BBK_A.jpg</t>
  </si>
  <si>
    <t>125942BBK-45D</t>
  </si>
  <si>
    <t>125942BBK</t>
  </si>
  <si>
    <t>JOSIE</t>
  </si>
  <si>
    <t>Slip-Ins Engineered Mesh Slip On</t>
  </si>
  <si>
    <t>Air Cooled Goga Mat Insole
Dual-Density
Heel Pillow
Machine Washable
Soft Stride
Slip-Ins
Ultra Go
Ultra Pillars
Vegan</t>
  </si>
  <si>
    <t>https://image.skechers.com/img/productimages/xlarge/125942_WHT_A.jpg</t>
  </si>
  <si>
    <t>125942WHT-45D</t>
  </si>
  <si>
    <t>125942WHT</t>
  </si>
  <si>
    <t>https://image.skechers.com/img/productimages/xlarge/126030_BBK_A.jpg</t>
  </si>
  <si>
    <t>126030BBK-45D</t>
  </si>
  <si>
    <t>126030BBK</t>
  </si>
  <si>
    <t>GO WALK MAX CUSHIONING FLEX</t>
  </si>
  <si>
    <t>Skechers Max Cushioning® design for exceptional comfort and support
Skechers Air-Cooled Goga Mat™ breathable insole with high-rebound cushioning
Lightweight, responsive ULTRA GO® cushioning
Ultra-lightweight Skechers® Soft Stride™ cushioning foam for added comfort
NRT - Natural Rocker Technology® for a smooth heel-to-toe transition
Multi-surface stabilized and flexible traction with Flex Pillars™</t>
  </si>
  <si>
    <t>Athletic mesh and hotmelt overlay upper with tied-off stretch laces
Crafted with 100% vegan materials
No Tie Fit® - laces never come untied
Flexible traction outsole
Machine washable
2-inch heel height
Skechers® logo detail</t>
  </si>
  <si>
    <t>Air Cooled Goga Mat Insole
Flex Pillars
Machine Washable
Max Cushioning
Natural Rocker Technology
No Tie Fit
Soft Stride
Ultra Go
Vegan</t>
  </si>
  <si>
    <t>https://image.skechers.com/img/productimages/xlarge/126030_BKW_A.jpg</t>
  </si>
  <si>
    <t>126030BKW-45D</t>
  </si>
  <si>
    <t>126030BKW</t>
  </si>
  <si>
    <t>Black Textile/White</t>
  </si>
  <si>
    <t>https://image.skechers.com/img/productimages/xlarge/126030_NAT_A.jpg</t>
  </si>
  <si>
    <t>126030NAT-45D</t>
  </si>
  <si>
    <t>126030NAT</t>
  </si>
  <si>
    <t>Natural Textile/Lilac Trim</t>
  </si>
  <si>
    <t>https://image.skechers.com/img/productimages/xlarge/126030_SAGE_A.jpg</t>
  </si>
  <si>
    <t>126030SAGE-45D</t>
  </si>
  <si>
    <t>SAGE</t>
  </si>
  <si>
    <t>126030SAGE</t>
  </si>
  <si>
    <t>Sage Textile/Peach Trim</t>
  </si>
  <si>
    <t>https://image.skechers.com/img/productimages/xlarge/126030_WSL_A.jpg</t>
  </si>
  <si>
    <t>126030WSL-45D</t>
  </si>
  <si>
    <t>126030WSL</t>
  </si>
  <si>
    <t>White/Silver</t>
  </si>
  <si>
    <t>https://image.skechers.com/img/productimages/xlarge/126031_BBK_A.jpg</t>
  </si>
  <si>
    <t>126031BBK-45D</t>
  </si>
  <si>
    <t>126031BBK</t>
  </si>
  <si>
    <t>REMI</t>
  </si>
  <si>
    <t>Slip-Ins Engineered Mesh Bungee W/ 3D Print</t>
  </si>
  <si>
    <t>Skechers Hands Free Slip-ins® for an easy fit
Heel Pillow® holds your foot securely in place
Skechers Max Cushioning® design for exceptional comfort and support
Skechers Air-Cooled Goga Mat™ breathable insole with high-rebound cushioning
Lightweight, responsive ULTRA GO® cushioning
Multi-surface stabilized and flexible traction with Flex Pillars™</t>
  </si>
  <si>
    <t>Engineered mesh upper with 3D print and fixed stretch laces
Crafted with 100% vegan materials
No Tie Fit® - laces never come untied
Ultra-lightweight Skechers® Soft Stride™ cushioning foam for added comfort
NRT - Natural Rocker Technology® for a smooth heel-to-toe transition
Flexible traction outsole
2-inch heel height
Machine washable
Skechers® logo detail</t>
  </si>
  <si>
    <t>Air Cooled Goga Mat Insole
Flex Pillars
Heel Pillow
Machine Washable
Max Cushioning
Natural Rocker Technology
No Tie Fit
Soft Stride
Slip-Ins
Ultra Go
Vegan</t>
  </si>
  <si>
    <t>https://image.skechers.com/img/productimages/xlarge/126031_BKW_A.jpg</t>
  </si>
  <si>
    <t>126031BKW-45D</t>
  </si>
  <si>
    <t>126031BKW</t>
  </si>
  <si>
    <t>https://image.skechers.com/img/productimages/xlarge/126031_GYPK_A.jpg</t>
  </si>
  <si>
    <t>126031GYPK-45D</t>
  </si>
  <si>
    <t>GYPK</t>
  </si>
  <si>
    <t>126031GYPK</t>
  </si>
  <si>
    <t>Gray Textile/Pink Trim</t>
  </si>
  <si>
    <t>https://image.skechers.com/img/productimages/xlarge/126031_TPBL_A.jpg</t>
  </si>
  <si>
    <t>126031TPBL-45D</t>
  </si>
  <si>
    <t>TPBL</t>
  </si>
  <si>
    <t>126031TPBL</t>
  </si>
  <si>
    <t>Taupe Textile/Blue Trim</t>
  </si>
  <si>
    <t>https://image.skechers.com/img/productimages/xlarge/126031_WSL_A.jpg</t>
  </si>
  <si>
    <t>126031WSL-45D</t>
  </si>
  <si>
    <t>126031WSL</t>
  </si>
  <si>
    <t>https://image.skechers.com/img/productimages/xlarge/128630_LTRG_A.jpg</t>
  </si>
  <si>
    <t>128630LTRG-45D</t>
  </si>
  <si>
    <t>LTRG</t>
  </si>
  <si>
    <t>128630LTRG</t>
  </si>
  <si>
    <t>GO RUN CONSISTENT 2.0</t>
  </si>
  <si>
    <t>CRESSIDA</t>
  </si>
  <si>
    <t>Leather Overlay Lace Up W/ Metallic Details</t>
  </si>
  <si>
    <t>https://image.skechers.com/img/productimages/xlarge/128630_MVE_A.jpg</t>
  </si>
  <si>
    <t>128630MVE-45D</t>
  </si>
  <si>
    <t>128630MVE</t>
  </si>
  <si>
    <t>Mauve Leather/Off White Trim</t>
  </si>
  <si>
    <t>GTW - PERFORMANCE WOMENS</t>
  </si>
  <si>
    <t>Air Cooled Goga Mat Insole
Soft Stride
Mstrike
Ultra Light Cushioning</t>
  </si>
  <si>
    <t>https://image.skechers.com/img/productimages/xlarge/128633_GYSL_A.jpg</t>
  </si>
  <si>
    <t>128633GYSL-45D</t>
  </si>
  <si>
    <t>GYSL</t>
  </si>
  <si>
    <t>128633GYSL</t>
  </si>
  <si>
    <t>VOLT</t>
  </si>
  <si>
    <t>Silver Metallic Leather Overlay Lace Up</t>
  </si>
  <si>
    <t>Gray Leather/Silver Trim</t>
  </si>
  <si>
    <t>Skechers Air-Cooled Goga Mat™ breathable insole with high-rebound cushioning
Lightweight, responsive ULTRA LIGHT midsole cushioning
Skechers M-Strike® technology promotes efficiency in each stride. This midsole configuration creates smooth transitions from landing to toe-off
Ultra-lightweight Skechers® Soft Stride™ cushioning foam for added comfort</t>
  </si>
  <si>
    <t>Performance lace-up with a metallic leather and mesh upper
Parametric midsole construction for support and stability
Flexible traction outsole
1 1/4-inch heel height
Skechers GO RUN® logo detail</t>
  </si>
  <si>
    <t>Air Cooled Goga Mat Insole
Breathable Comfort
Soft Stride
Mstrike
Ultra Light Cushioning</t>
  </si>
  <si>
    <t>https://image.skechers.com/img/productimages/xlarge/128633_SLNV_A.jpg</t>
  </si>
  <si>
    <t>128633SLNV-45D</t>
  </si>
  <si>
    <t>SLNV</t>
  </si>
  <si>
    <t>128633SLNV</t>
  </si>
  <si>
    <t>Silver Leather/Navy Trim</t>
  </si>
  <si>
    <t>https://image.skechers.com/img/productimages/xlarge/128633_WSBK_A.jpg</t>
  </si>
  <si>
    <t>128633WSBK-45D</t>
  </si>
  <si>
    <t>WSBK</t>
  </si>
  <si>
    <t>128633WSBK</t>
  </si>
  <si>
    <t>White Leather/Silver Trim</t>
  </si>
  <si>
    <t>https://image.skechers.com/img/productimages/xlarge/128633_WSL_A.jpg</t>
  </si>
  <si>
    <t>128633WSL-45D</t>
  </si>
  <si>
    <t>128633WSL</t>
  </si>
  <si>
    <t>https://image.skechers.com/img/productimages/xlarge/128650_BKW_A.jpg</t>
  </si>
  <si>
    <t>128650BKW-45D</t>
  </si>
  <si>
    <t>128650BKW</t>
  </si>
  <si>
    <t>ARVEDA</t>
  </si>
  <si>
    <t>Athletic Mesh Bungee W/ Hotmelt and Qtr Detailing</t>
  </si>
  <si>
    <t>Air Cooled Goga Mat Insole
Machine Washable
Soft Stride
Mstrike
Vegan
Ultra Light Cushioning</t>
  </si>
  <si>
    <t>https://image.skechers.com/img/productimages/xlarge/128650_BLU_A.jpg</t>
  </si>
  <si>
    <t>128650BLU-45D</t>
  </si>
  <si>
    <t>BLU</t>
  </si>
  <si>
    <t>128650BLU</t>
  </si>
  <si>
    <t>https://image.skechers.com/img/productimages/xlarge/128650_NAT_A.jpg</t>
  </si>
  <si>
    <t>128650NAT-45D</t>
  </si>
  <si>
    <t>128650NAT</t>
  </si>
  <si>
    <t>https://image.skechers.com/img/productimages/xlarge/128650_PNK_A.jpg</t>
  </si>
  <si>
    <t>128650PNK-45D</t>
  </si>
  <si>
    <t>PNK</t>
  </si>
  <si>
    <t>128650PNK</t>
  </si>
  <si>
    <t>Pink Textile/Trim</t>
  </si>
  <si>
    <t>https://image.skechers.com/img/productimages/xlarge/128650_WLV_A.jpg</t>
  </si>
  <si>
    <t>128650WLV-45D</t>
  </si>
  <si>
    <t>128650WLV</t>
  </si>
  <si>
    <t>https://image.skechers.com/img/productimages/xlarge/128651W_BKW_A.jpg</t>
  </si>
  <si>
    <t>128651WBKW-45D</t>
  </si>
  <si>
    <t>128651W</t>
  </si>
  <si>
    <t>128651WBKW</t>
  </si>
  <si>
    <t>MAPLETON</t>
  </si>
  <si>
    <t>Athletic Mesh Lace Up W/ Leather Overlays</t>
  </si>
  <si>
    <t>Black Leather/White Trim</t>
  </si>
  <si>
    <t>https://image.skechers.com/img/productimages/xlarge/128651W_GRY_A.jpg</t>
  </si>
  <si>
    <t>128651WGRY-45D</t>
  </si>
  <si>
    <t>128651WGRY</t>
  </si>
  <si>
    <t>Gray Leather/Trim</t>
  </si>
  <si>
    <t>https://image.skechers.com/img/productimages/xlarge/128651W_NAT_A.jpg</t>
  </si>
  <si>
    <t>128651WNAT-45D</t>
  </si>
  <si>
    <t>128651WNAT</t>
  </si>
  <si>
    <t>Natural Leather/Trim</t>
  </si>
  <si>
    <t>https://image.skechers.com/img/productimages/xlarge/128651W_NVY_A.jpg</t>
  </si>
  <si>
    <t>128651WNVY-45D</t>
  </si>
  <si>
    <t>128651WNVY</t>
  </si>
  <si>
    <t>Navy Leather/Trim</t>
  </si>
  <si>
    <t>https://image.skechers.com/img/productimages/xlarge/128651W_WHT_A.jpg</t>
  </si>
  <si>
    <t>128651WWHT-45D</t>
  </si>
  <si>
    <t>128651WWHT</t>
  </si>
  <si>
    <t>White Leather/Trim</t>
  </si>
  <si>
    <t>https://image.skechers.com/img/productimages/xlarge/129050_BLK_A.jpg</t>
  </si>
  <si>
    <t>129050BLK-45D</t>
  </si>
  <si>
    <t>129050BLK</t>
  </si>
  <si>
    <t>GO RUN CONSISTENT 3</t>
  </si>
  <si>
    <t>Slip-Ins - Athletic Mesh Bungee W/ Peekaboo Grid Underlay</t>
  </si>
  <si>
    <t>Black Textile/Synthetic</t>
  </si>
  <si>
    <t>Air Cooled Goga Mat Insole
Heel Pillow
Machine Washable
No Tie Fit
Soft Stride
Slip-Ins
Mstrike
Vegan
Ultra Light Cushioning</t>
  </si>
  <si>
    <t>https://image.skechers.com/img/productimages/xlarge/129050_GRY_A.jpg</t>
  </si>
  <si>
    <t>129050GRY-45D</t>
  </si>
  <si>
    <t>129050GRY</t>
  </si>
  <si>
    <t>Gray Textile/Synthetic</t>
  </si>
  <si>
    <t>https://image.skechers.com/img/productimages/xlarge/129050_NVY_A.jpg</t>
  </si>
  <si>
    <t>129050NVY-45D</t>
  </si>
  <si>
    <t>129050NVY</t>
  </si>
  <si>
    <t>Navy Textile/Synthetic</t>
  </si>
  <si>
    <t>https://image.skechers.com/img/productimages/xlarge/129050_TPE_A.jpg</t>
  </si>
  <si>
    <t>129050TPE-45D</t>
  </si>
  <si>
    <t>129050TPE</t>
  </si>
  <si>
    <t>Taupe Textile/Synthetic</t>
  </si>
  <si>
    <t>https://image.skechers.com/img/productimages/xlarge/129052_BLK_A.jpg</t>
  </si>
  <si>
    <t>129052BLK-45D</t>
  </si>
  <si>
    <t>129052BLK</t>
  </si>
  <si>
    <t>Two-Toned Engineered Mesh Lace Up W/ Outline S Logo</t>
  </si>
  <si>
    <t>Black Textile</t>
  </si>
  <si>
    <t>https://image.skechers.com/img/productimages/xlarge/129052_LTBL_A.jpg</t>
  </si>
  <si>
    <t>129052LTBL-45D</t>
  </si>
  <si>
    <t>LTBL</t>
  </si>
  <si>
    <t>129052LTBL</t>
  </si>
  <si>
    <t>Light Blue Textile</t>
  </si>
  <si>
    <t>https://image.skechers.com/img/productimages/xlarge/129052_MVE_A.jpg</t>
  </si>
  <si>
    <t>129052MVE-45D</t>
  </si>
  <si>
    <t>129052MVE</t>
  </si>
  <si>
    <t>Mauve Textile</t>
  </si>
  <si>
    <t>https://image.skechers.com/img/productimages/xlarge/129052_NVY_A.jpg</t>
  </si>
  <si>
    <t>129052NVY-45D</t>
  </si>
  <si>
    <t>129052NVY</t>
  </si>
  <si>
    <t>Navy Textile</t>
  </si>
  <si>
    <t>https://image.skechers.com/img/productimages/xlarge/129052_OFWT_A.jpg</t>
  </si>
  <si>
    <t>129052OFWT-45D</t>
  </si>
  <si>
    <t>129052OFWT</t>
  </si>
  <si>
    <t>Off White Textile</t>
  </si>
  <si>
    <t>https://image.skechers.com/img/productimages/xlarge/129052_TPE_A.jpg</t>
  </si>
  <si>
    <t>129052TPE-45D</t>
  </si>
  <si>
    <t>129052TPE</t>
  </si>
  <si>
    <t>Taupe Textile</t>
  </si>
  <si>
    <t>https://image.skechers.com/img/productimages/xlarge/129200_BKW_A.jpg</t>
  </si>
  <si>
    <t>129200BKW-45D</t>
  </si>
  <si>
    <t>129200BKW</t>
  </si>
  <si>
    <t>MAX RUN</t>
  </si>
  <si>
    <t>Slip-Ins - Engineered Mesh Lace Up W/ Goodyear Rubber</t>
  </si>
  <si>
    <t>Skechers Hands Free Slip-ins® for an easy fit
Heel Pillow® holds your foot securely in place
Skechers Max Cushioning® design for exceptional comfort and support
Skechers Air-Cooled Goga Mat™ breathable insole with high-rebound cushioning
Anti-slip Goodyear® Performance Outsole under wet or dry conditions
Skechers M-Strike® technology promotes efficiency in each stride. This midsole configuration creates smooth transitions from landing to toe-off</t>
  </si>
  <si>
    <t>Engineered mesh upper with adjustable laces
Lightweight, responsive ULTRA LIGHT midsole cushioning
Ultra-lightweight Skechers® Soft Stride™ cushioning foam for added comfort
2-inch heel height
Machine washable
Skechers® logo detail</t>
  </si>
  <si>
    <t>Air Cooled Goga Mat Insole
Anti-Slip Under Wet and Dry Conditions
Goodyear Rubber
Heel Pillow
Machine Washable
Max Cushioning
Soft Stride
Slip-Ins
Mstrike
Ultra Light Cushioning</t>
  </si>
  <si>
    <t>https://image.skechers.com/img/productimages/xlarge/129200_HPK_A.jpg</t>
  </si>
  <si>
    <t>129200HPK-45D</t>
  </si>
  <si>
    <t>HPK</t>
  </si>
  <si>
    <t>129200HPK</t>
  </si>
  <si>
    <t>Hot Pink Textile/Trim</t>
  </si>
  <si>
    <t>https://image.skechers.com/img/productimages/xlarge/129200_MTMT_A.jpg</t>
  </si>
  <si>
    <t>129200MTMT-45D</t>
  </si>
  <si>
    <t>MTMT</t>
  </si>
  <si>
    <t>129200MTMT</t>
  </si>
  <si>
    <t>Mint Textile</t>
  </si>
  <si>
    <t>https://image.skechers.com/img/productimages/xlarge/129200_NAT_A.jpg</t>
  </si>
  <si>
    <t>129200NAT-45D</t>
  </si>
  <si>
    <t>129200NAT</t>
  </si>
  <si>
    <t>Natural Textle</t>
  </si>
  <si>
    <t>https://image.skechers.com/img/productimages/xlarge/129200_WHT_A.jpg</t>
  </si>
  <si>
    <t>129200WHT-45D</t>
  </si>
  <si>
    <t>129200WHT</t>
  </si>
  <si>
    <t>https://image.skechers.com/img/productimages/xlarge/129365_BBK_A.jpg</t>
  </si>
  <si>
    <t>129365BBK-45D</t>
  </si>
  <si>
    <t>129365BBK</t>
  </si>
  <si>
    <t>GO RUN NOW</t>
  </si>
  <si>
    <t>Engineered Mesh Lace Up</t>
  </si>
  <si>
    <t>Air Cooled Goga Mat Insole
Machine Washable
Soft Stride
Mstrike
Ultra Light Cushioning</t>
  </si>
  <si>
    <t>https://image.skechers.com/img/productimages/xlarge/129368_BKW_A.jpg</t>
  </si>
  <si>
    <t>129368BKW-45D</t>
  </si>
  <si>
    <t>129368BKW</t>
  </si>
  <si>
    <t>CALUMET</t>
  </si>
  <si>
    <t>Athletic Mesh Bungee Lace W/ Hotmelt Details</t>
  </si>
  <si>
    <t>Skechers Air-Cooled Goga Mat ™ breathable insole with high-rebound cushioning
Lightweight, responsive ULTRA LIGHT midsole cushioning
Ultra-lightweight Skechers® Soft Stride™ cushioning foam for added comfort
Skechers M-Strike ® technology promotes efficiency in each stride. This midsole configuration creates smooth transitions from landing to toe-off</t>
  </si>
  <si>
    <t>Athletic mesh upper with stretch laces
Flexible traction outsole
2-inch heel height
Skechers GO RUN® logo detail</t>
  </si>
  <si>
    <t>Air Cooled Goga Mat Insole
Machine Washable
No Tie Fit
Soft Stride
Mstrike
Vegan
Ultra Light Cushioning</t>
  </si>
  <si>
    <t>https://image.skechers.com/img/productimages/xlarge/129368_LTBL_A.jpg</t>
  </si>
  <si>
    <t>129368LTBL-45D</t>
  </si>
  <si>
    <t>129368LTBL</t>
  </si>
  <si>
    <t>Light Blue Textile/Blue Trim</t>
  </si>
  <si>
    <t>https://image.skechers.com/img/productimages/xlarge/129368_NAT_A.jpg</t>
  </si>
  <si>
    <t>129368NAT-45D</t>
  </si>
  <si>
    <t>129368NAT</t>
  </si>
  <si>
    <t>Natural Textile/Pink Trim</t>
  </si>
  <si>
    <t>https://image.skechers.com/img/productimages/xlarge/129368_NVW_A.jpg</t>
  </si>
  <si>
    <t>129368NVW-45D</t>
  </si>
  <si>
    <t>129368NVW</t>
  </si>
  <si>
    <t>Navy Textile/White Trim</t>
  </si>
  <si>
    <t>https://image.skechers.com/img/productimages/xlarge/129368_WBK_A.jpg</t>
  </si>
  <si>
    <t>129368WBK-45D</t>
  </si>
  <si>
    <t>129368WBK</t>
  </si>
  <si>
    <t>White Textile/ Black Trim</t>
  </si>
  <si>
    <t>https://image.skechers.com/img/productimages/xlarge/129369_BBK_A.jpg</t>
  </si>
  <si>
    <t>129369BBK-45D</t>
  </si>
  <si>
    <t>129369BBK</t>
  </si>
  <si>
    <t>REGENT</t>
  </si>
  <si>
    <t>Slip-Ins -  Engineered Mesh Lace Up</t>
  </si>
  <si>
    <t>Air Cooled Goga Mat Insole
Heel Pillow
Machine Washable
Soft Stride
Slip-Ins
Mstrike
Vegan
Ultra Light Cushioning</t>
  </si>
  <si>
    <t>https://image.skechers.com/img/productimages/xlarge/129369_BKW_A.jpg</t>
  </si>
  <si>
    <t>129369BKW-45D</t>
  </si>
  <si>
    <t>129369BKW</t>
  </si>
  <si>
    <t>https://image.skechers.com/img/productimages/xlarge/129369_GRY_A.jpg</t>
  </si>
  <si>
    <t>129369GRY-45D</t>
  </si>
  <si>
    <t>129369GRY</t>
  </si>
  <si>
    <t>Gray Textile/Trim</t>
  </si>
  <si>
    <t>https://image.skechers.com/img/productimages/xlarge/129369_LTBL_A.jpg</t>
  </si>
  <si>
    <t>129369LTBL-45D</t>
  </si>
  <si>
    <t>129369LTBL</t>
  </si>
  <si>
    <t>Light Blue Textile/Trim</t>
  </si>
  <si>
    <t>https://image.skechers.com/img/productimages/xlarge/129369_LTPK_A.jpg</t>
  </si>
  <si>
    <t>129369LTPK-45D</t>
  </si>
  <si>
    <t>LTPK</t>
  </si>
  <si>
    <t>129369LTPK</t>
  </si>
  <si>
    <t>Light Pink Textile/Trim</t>
  </si>
  <si>
    <t>https://image.skechers.com/img/productimages/xlarge/129403_BKW_A.jpg</t>
  </si>
  <si>
    <t>129403BKW-45D</t>
  </si>
  <si>
    <t>129403BKW</t>
  </si>
  <si>
    <t>MAX CUSHIONING GLIDE-STEP</t>
  </si>
  <si>
    <t>HARTFORD</t>
  </si>
  <si>
    <t>Slip-Ins - Engineered Knit Lace Up W/ Goodyear Rubber</t>
  </si>
  <si>
    <t>Skechers Hands Free Slip-ins® for an easy fit
Heel Pillow® holds your foot securely in place
Skechers Max Cushioning® design for exceptional comfort and support
Lightweight, responsive ULTRA GO® cushioning
Skechers Air-Cooled Goga Mat™ breathable insole with high-rebound cushioning
Glide-Step® geometric midsole designed to provide natural momentum with every step</t>
  </si>
  <si>
    <t>Ultra-lightweight Skechers® Soft Stride™ cushioning foam for added comfort
NRT - Natural Rocker Technology® for a smooth heel to toe transition
Goodyear® Performance Outsole delivers enhanced traction, stability, and durability
Crafted with 100% vegan materials
Anti-slip under wet and dry conditions
Engineered knit upper and lace-up front
2-inch heel height
Machine washable
Skechers® logo detail</t>
  </si>
  <si>
    <t>Air Cooled Goga Mat Insole
Anti-Slip Under Wet and Dry Conditions
Glide-Step
Goodyear Rubber
Heel Pillow
Machine Washable
Max Cushioning
Natural Rocker Technology
Soft Stride
Slip-Ins
Ultra Go</t>
  </si>
  <si>
    <t>https://image.skechers.com/img/productimages/xlarge/129403_NAT_A.jpg</t>
  </si>
  <si>
    <t>129403NAT-45D</t>
  </si>
  <si>
    <t>129403NAT</t>
  </si>
  <si>
    <t>Naturaltextile/Trim</t>
  </si>
  <si>
    <t>https://image.skechers.com/img/productimages/xlarge/129403_SAGE_A.jpg</t>
  </si>
  <si>
    <t>129403SAGE-45D</t>
  </si>
  <si>
    <t>129403SAGE</t>
  </si>
  <si>
    <t>Sage Textile/Trim</t>
  </si>
  <si>
    <t>https://image.skechers.com/img/productimages/xlarge/129403_WBK_A.jpg</t>
  </si>
  <si>
    <t>129403WBK-45D</t>
  </si>
  <si>
    <t>129403WBK</t>
  </si>
  <si>
    <t>White Textile/Black Trim</t>
  </si>
  <si>
    <t>https://image.skechers.com/img/productimages/xlarge/129409_NAT_A.jpg</t>
  </si>
  <si>
    <t>129409NAT-45D</t>
  </si>
  <si>
    <t>129409NAT</t>
  </si>
  <si>
    <t>Athletic Mesh Lace Up W/ Goodyear Rubber</t>
  </si>
  <si>
    <t>Air Cooled Goga Mat Insole
Anti-Slip Under Wet and Dry Conditions
Glide-Step
Goodyear Rubber
Machine Washable
Max Cushioning
Natural Rocker Technology
Soft Stride
Ultra Go
Vegan</t>
  </si>
  <si>
    <t>https://image.skechers.com/img/productimages/xlarge/129409_WGY_A.jpg</t>
  </si>
  <si>
    <t>129409WGY-45D</t>
  </si>
  <si>
    <t>129409WGY</t>
  </si>
  <si>
    <t>White Textile/Gray Trim</t>
  </si>
  <si>
    <t>https://image.skechers.com/img/productimages/xlarge/129470_BKPK_A.jpg</t>
  </si>
  <si>
    <t>129470BKPK-45D</t>
  </si>
  <si>
    <t>129470BKPK</t>
  </si>
  <si>
    <t>MAX CUSHIONING ENDEAVOUR</t>
  </si>
  <si>
    <t>Athletic Mesh Lace Up W/ Hotmelt Details</t>
  </si>
  <si>
    <t>Black Synthetic/Pink Trim</t>
  </si>
  <si>
    <t>Skechers Max Cushioning® design for exceptional comfort and support
Skechers Air-Cooled Goga Mat™ breathable insole with high-rebound cushioning
Ultra-lightweight Skechers Soft Stride™ cushioning foam for added comfort
Lightweight, responsive ULTRA LIGHT midsole cushioning
NRT - Natural Rocker Technology® for a smooth heel to toe transition
Crafted with 100% vegan materials</t>
  </si>
  <si>
    <t>Engineered mesh upper with synthetic overlays
Well-cushioned running shoe with lace-up front
Flexible traction outsole
2-inch heel height
Drop: 7mm
Weight: 8.92 oz in a women's size 7
Machine washable
Skechers® logo detail</t>
  </si>
  <si>
    <t>Air Cooled Goga Mat Insole
Machine Washable
Max Cushioning
Natural Rocker Technology
Soft Stride
Vegan
Ultra Light Cushioning</t>
  </si>
  <si>
    <t>https://image.skechers.com/img/productimages/xlarge/129470_BLOR_A.jpg</t>
  </si>
  <si>
    <t>129470BLOR-45D</t>
  </si>
  <si>
    <t>BLOR</t>
  </si>
  <si>
    <t>129470BLOR</t>
  </si>
  <si>
    <t>Blue Synthetic/Orange Trim</t>
  </si>
  <si>
    <t>https://image.skechers.com/img/productimages/xlarge/129470_LAV_A.jpg</t>
  </si>
  <si>
    <t>129470LAV-45D</t>
  </si>
  <si>
    <t>129470LAV</t>
  </si>
  <si>
    <t>Lavender Synthetic/Pink Trim</t>
  </si>
  <si>
    <t>https://image.skechers.com/img/productimages/xlarge/129470_LTGY_A.jpg</t>
  </si>
  <si>
    <t>129470LTGY-45D</t>
  </si>
  <si>
    <t>129470LTGY</t>
  </si>
  <si>
    <t>Light Gray Synthetic/Blue Trim</t>
  </si>
  <si>
    <t>https://image.skechers.com/img/productimages/xlarge/129470_NAT_A.jpg</t>
  </si>
  <si>
    <t>129470NAT-45D</t>
  </si>
  <si>
    <t>129470NAT</t>
  </si>
  <si>
    <t>Natural Synthetic/Trim</t>
  </si>
  <si>
    <t>https://image.skechers.com/img/productimages/xlarge/129470_NTMT_A.jpg</t>
  </si>
  <si>
    <t>129470NTMT-45D</t>
  </si>
  <si>
    <t>NTMT</t>
  </si>
  <si>
    <t>129470NTMT</t>
  </si>
  <si>
    <t>Natural Synthetic</t>
  </si>
  <si>
    <t>https://image.skechers.com/img/productimages/xlarge/129470_NVPK_A.jpg</t>
  </si>
  <si>
    <t>129470NVPK-45D</t>
  </si>
  <si>
    <t>NVPK</t>
  </si>
  <si>
    <t>129470NVPK</t>
  </si>
  <si>
    <t>Navy Synthetic/Pink Trim</t>
  </si>
  <si>
    <t>https://image.skechers.com/img/productimages/xlarge/129470W_BBK_A.jpg</t>
  </si>
  <si>
    <t>129470WBBK-45D</t>
  </si>
  <si>
    <t>129470W</t>
  </si>
  <si>
    <t>129470WBBK</t>
  </si>
  <si>
    <t>Black Synthetic/Black Trim</t>
  </si>
  <si>
    <t>https://image.skechers.com/img/productimages/xlarge/129470_WBK_A.jpg</t>
  </si>
  <si>
    <t>129470WBK-45D</t>
  </si>
  <si>
    <t>129470WBK</t>
  </si>
  <si>
    <t>White Synthetic/Black Trim</t>
  </si>
  <si>
    <t>https://image.skechers.com/img/productimages/xlarge/129470W_BKW_A.jpg</t>
  </si>
  <si>
    <t>129470WBKW-45D</t>
  </si>
  <si>
    <t>129470WBKW</t>
  </si>
  <si>
    <t>Black Synthetic/White Trim</t>
  </si>
  <si>
    <t>https://image.skechers.com/img/productimages/xlarge/129470_WMNT_A.jpg</t>
  </si>
  <si>
    <t>129470WMNT-45D</t>
  </si>
  <si>
    <t>WMNT</t>
  </si>
  <si>
    <t>129470WMNT</t>
  </si>
  <si>
    <t>White Synthetic/Mint Trim</t>
  </si>
  <si>
    <t>https://image.skechers.com/img/productimages/xlarge/129470W_PKCL_A.jpg</t>
  </si>
  <si>
    <t>129470WPKCL-45D</t>
  </si>
  <si>
    <t>PKCL</t>
  </si>
  <si>
    <t>129470WPKCL</t>
  </si>
  <si>
    <t>Pink Synthetic/Coral Trim</t>
  </si>
  <si>
    <t>https://image.skechers.com/img/productimages/xlarge/129472_BKSL_A.jpg</t>
  </si>
  <si>
    <t>129472BKSL-45D</t>
  </si>
  <si>
    <t>BKSL</t>
  </si>
  <si>
    <t>129472BKSL</t>
  </si>
  <si>
    <t>GALLOWAY</t>
  </si>
  <si>
    <t>Breathable Monomesh Lace Up W/ Hotmelt Details</t>
  </si>
  <si>
    <t>Black Textile/Silver Trim</t>
  </si>
  <si>
    <t>Breathable monomesh upper with synthetic overlays
Well-cushioned running shoe with lace-up front
Flexible traction outsole
2-inch heel height
Machine washable
Skechers® logo detail</t>
  </si>
  <si>
    <t>Air Cooled Goga Mat Insole
Machine Washable
Max Cushioning
Natural Rocker Technology
Soft Stride
Ultra Light Cushioning</t>
  </si>
  <si>
    <t>https://image.skechers.com/img/productimages/xlarge/129472_GYLV_A.jpg</t>
  </si>
  <si>
    <t>129472GYLV-45D</t>
  </si>
  <si>
    <t>GYLV</t>
  </si>
  <si>
    <t>129472GYLV</t>
  </si>
  <si>
    <t>Gray Textile/Lavender Trim</t>
  </si>
  <si>
    <t>https://image.skechers.com/img/productimages/xlarge/129472_WMNT_A.jpg</t>
  </si>
  <si>
    <t>129472WMNT-45D</t>
  </si>
  <si>
    <t>129472WMNT</t>
  </si>
  <si>
    <t>White Textile/Mint Trim</t>
  </si>
  <si>
    <t>https://image.skechers.com/img/productimages/xlarge/129478_BKW_A.jpg</t>
  </si>
  <si>
    <t>129478BKW-45D</t>
  </si>
  <si>
    <t>129478BKW</t>
  </si>
  <si>
    <t>MANDALAY</t>
  </si>
  <si>
    <t>Slip-Ins - Breathable Comfort Two Tone Knit Lace Up</t>
  </si>
  <si>
    <t>Skechers Hands Free Slip-ins® for an easy fit
Heel Pillow® holds your foot securely in place
Skechers Max Cushioning® design for exceptional comfort and support
Skechers Air-Cooled Goga Mat™ breathable insole with high-rebound cushioning
Skechers Breathable Comfort® lightweight uppers are 100% breathable for fresh and dry comfort all day long
Ultra-lightweight Skechers Soft Stride™ cushioning foam for added comfort</t>
  </si>
  <si>
    <t>Engineered two tone knit upper with adjustable laces
Crafted with 100% vegan materials
Lightweight, responsive ULTRA LIGHT midsole cushioning
NRT - Natural Rocker Technology® for a smooth heel to toe transition
Flexible traction outsole
2-inch heel height
Machine washable
Skechers® logo detail</t>
  </si>
  <si>
    <t>Air Cooled Goga Mat Insole
Breathable Comfort
Heel Pillow
Machine Washable
Max Cushioning
Natural Rocker Technology
Soft Stride
Slip-Ins
Vegan
Ultra Light Cushioning</t>
  </si>
  <si>
    <t>https://image.skechers.com/img/productimages/xlarge/129478_NAT_A.jpg</t>
  </si>
  <si>
    <t>129478NAT-45D</t>
  </si>
  <si>
    <t>129478NAT</t>
  </si>
  <si>
    <t>https://image.skechers.com/img/productimages/xlarge/129478_WBK_A.jpg</t>
  </si>
  <si>
    <t>129478WBK-45D</t>
  </si>
  <si>
    <t>129478WBK</t>
  </si>
  <si>
    <t>https://image.skechers.com/img/productimages/xlarge/129484_BKW_A.jpg</t>
  </si>
  <si>
    <t>129484BKW-45D</t>
  </si>
  <si>
    <t>129484BKW</t>
  </si>
  <si>
    <t>Slip-Ins - Two Tone Engineered Mesh Lace Up W/ 3D Print Details</t>
  </si>
  <si>
    <t>Air Cooled Goga Mat Insole
Heel Pillow
Machine Washable
Max Cushioning
Natural Rocker Technology
Soft Stride
Slip-Ins
Vegan
Ultra Light Cushioning</t>
  </si>
  <si>
    <t>https://image.skechers.com/img/productimages/xlarge/129484_LTBL_A.jpg</t>
  </si>
  <si>
    <t>129484LTBL-45D</t>
  </si>
  <si>
    <t>129484LTBL</t>
  </si>
  <si>
    <t>Light Blue Synthetic/Textile</t>
  </si>
  <si>
    <t>https://image.skechers.com/img/productimages/xlarge/129484_MNT_A.jpg</t>
  </si>
  <si>
    <t>129484MNT-45D</t>
  </si>
  <si>
    <t>129484MNT</t>
  </si>
  <si>
    <t>Mint Synthetic/Textile</t>
  </si>
  <si>
    <t>https://image.skechers.com/img/productimages/xlarge/129484_ROS_A.jpg</t>
  </si>
  <si>
    <t>129484ROS-45D</t>
  </si>
  <si>
    <t>ROS</t>
  </si>
  <si>
    <t>129484ROS</t>
  </si>
  <si>
    <t>Rose Synthetic/Textile</t>
  </si>
  <si>
    <t>https://image.skechers.com/img/productimages/xlarge/129484_WHT_A.jpg</t>
  </si>
  <si>
    <t>129484WHT-45D</t>
  </si>
  <si>
    <t>129484WHT</t>
  </si>
  <si>
    <t>https://image.skechers.com/img/productimages/xlarge/129720_BBK_A.jpg</t>
  </si>
  <si>
    <t>129720BBK-45D</t>
  </si>
  <si>
    <t>129720BBK</t>
  </si>
  <si>
    <t>MAX CUSHIONING ELITE 3</t>
  </si>
  <si>
    <t>Engineered Mesh Lace Up W/ HM Details</t>
  </si>
  <si>
    <t>Air Cooled Goga Mat Insole
Machine Washable
Max Cushioning
Natural Rocker Technology
Soft Stride
SKX Grip Rubber
Ultra Go
Vegan</t>
  </si>
  <si>
    <t>https://image.skechers.com/img/productimages/xlarge/129720_BKW_A.jpg</t>
  </si>
  <si>
    <t>129720BKW-45D</t>
  </si>
  <si>
    <t>129720BKW</t>
  </si>
  <si>
    <t>https://image.skechers.com/img/productimages/xlarge/129720_LBPK_A.jpg</t>
  </si>
  <si>
    <t>129720LBPK-45D</t>
  </si>
  <si>
    <t>LBPK</t>
  </si>
  <si>
    <t>129720LBPK</t>
  </si>
  <si>
    <t>Light Blue Textile/Pink Trim</t>
  </si>
  <si>
    <t>https://image.skechers.com/img/productimages/xlarge/129720_OFWT_A.jpg</t>
  </si>
  <si>
    <t>129720OFWT-45D</t>
  </si>
  <si>
    <t>129720OFWT</t>
  </si>
  <si>
    <t>Off White Textile/Trim</t>
  </si>
  <si>
    <t>https://image.skechers.com/img/productimages/xlarge/129720_ROS_A.jpg</t>
  </si>
  <si>
    <t>129720ROS-45D</t>
  </si>
  <si>
    <t>129720ROS</t>
  </si>
  <si>
    <t>Rose Textile/Trim</t>
  </si>
  <si>
    <t>https://image.skechers.com/img/productimages/xlarge/129720_WHT_A.jpg</t>
  </si>
  <si>
    <t>129720WHT-45D</t>
  </si>
  <si>
    <t>129720WHT</t>
  </si>
  <si>
    <t>https://image.skechers.com/img/productimages/xlarge/129721_LTPK_A.jpg</t>
  </si>
  <si>
    <t>129721LTPK-45D</t>
  </si>
  <si>
    <t>129721LTPK</t>
  </si>
  <si>
    <t>VALARES</t>
  </si>
  <si>
    <t>Athletic Mesh Lace Up W/ 3D Print</t>
  </si>
  <si>
    <t>Skechers Max Cushioning® design for exceptional comfort and support
SKX GRIP™ rubber outsole delivers enhanced traction and long-lasting durability
Lightweight, responsive ULTRA GO® cushioning
Skechers Air-Cooled Goga Mat™ breathable insole with high-rebound cushioning
NRT - Natural Rocker Technology® for a smooth heel to toe transition
Ultra-lightweight Skechers® Soft Stride™ cushioning foam for added comfort</t>
  </si>
  <si>
    <t>Athletic mesh lace-up with 3D haptic print
Crafted with 100% vegan materials
2-inch heel height
Offset: 7mm
Weight: 9.4oz/267gr
Machine washable
Skechers® and GO RUN® logo details</t>
  </si>
  <si>
    <t>https://image.skechers.com/img/productimages/xlarge/129721_NAT_A.jpg</t>
  </si>
  <si>
    <t>129721NAT-45D</t>
  </si>
  <si>
    <t>129721NAT</t>
  </si>
  <si>
    <t>https://image.skechers.com/img/productimages/xlarge/129721_WHT_A.jpg</t>
  </si>
  <si>
    <t>129721WHT-45D</t>
  </si>
  <si>
    <t>129721WHT</t>
  </si>
  <si>
    <t>https://image.skechers.com/img/productimages/xlarge/129724_BKPK_A.jpg</t>
  </si>
  <si>
    <t>129724BKPK-45D</t>
  </si>
  <si>
    <t>129724BKPK</t>
  </si>
  <si>
    <t>LENARA</t>
  </si>
  <si>
    <t>Slip-Ins - Athletic Mesh Bungee W/ 3D Printed Upper</t>
  </si>
  <si>
    <t>Air Cooled Goga Mat Insole
Heel Pillow
Machine Washable
Max Cushioning
Natural Rocker Technology
No Tie Fit
Soft Stride
SKX Grip Rubber
Slip-Ins
Ultra Go
Vegan</t>
  </si>
  <si>
    <t>https://image.skechers.com/img/productimages/xlarge/129724_LTBL_A.jpg</t>
  </si>
  <si>
    <t>129724LTBL-45D</t>
  </si>
  <si>
    <t>129724LTBL</t>
  </si>
  <si>
    <t>https://image.skechers.com/img/productimages/xlarge/129724_WMLT_A.jpg</t>
  </si>
  <si>
    <t>129724WMLT-45D</t>
  </si>
  <si>
    <t>WMLT</t>
  </si>
  <si>
    <t>129724WMLT</t>
  </si>
  <si>
    <t>White Textile/ Multi Trim</t>
  </si>
  <si>
    <t>https://image.skechers.com/img/productimages/xlarge/129735_BKW_A.jpg</t>
  </si>
  <si>
    <t>129735BKW-45D</t>
  </si>
  <si>
    <t>129735BKW</t>
  </si>
  <si>
    <t>Two Colored Engineered Mesh Bungee</t>
  </si>
  <si>
    <t>https://image.skechers.com/img/productimages/xlarge/129735_LTBL_A.jpg</t>
  </si>
  <si>
    <t>129735LTBL-45D</t>
  </si>
  <si>
    <t>129735LTBL</t>
  </si>
  <si>
    <t>Light Blue/Textile</t>
  </si>
  <si>
    <t>https://image.skechers.com/img/productimages/xlarge/129760_BBK_A.jpg</t>
  </si>
  <si>
    <t>129760BBK-45D</t>
  </si>
  <si>
    <t>129760BBK</t>
  </si>
  <si>
    <t>MAX FLEX</t>
  </si>
  <si>
    <t>Slip-Ins - Engineered Mesh Lace Up W/ Hotmelt Details</t>
  </si>
  <si>
    <t>Air Cooled Goga Mat Insole
Heel Pillow
Machine Washable
Max Cushioning
Soft Stride
Slip-Ins
Mstrike
Vegan
Ultra Light Cushioning</t>
  </si>
  <si>
    <t>https://image.skechers.com/img/productimages/xlarge/129760_BLK_A.jpg</t>
  </si>
  <si>
    <t>129760BLK-45D</t>
  </si>
  <si>
    <t>129760BLK</t>
  </si>
  <si>
    <t>https://image.skechers.com/img/productimages/xlarge/129760_GRY_A.jpg</t>
  </si>
  <si>
    <t>129760GRY-45D</t>
  </si>
  <si>
    <t>129760GRY</t>
  </si>
  <si>
    <t>https://image.skechers.com/img/productimages/xlarge/129760_LTBL_A.jpg</t>
  </si>
  <si>
    <t>129760LTBL-45D</t>
  </si>
  <si>
    <t>129760LTBL</t>
  </si>
  <si>
    <t>https://image.skechers.com/img/productimages/xlarge/129760_NAT_A.jpg</t>
  </si>
  <si>
    <t>129760NAT-45D</t>
  </si>
  <si>
    <t>129760NAT</t>
  </si>
  <si>
    <t>https://image.skechers.com/img/productimages/xlarge/129760_PCH_A.jpg</t>
  </si>
  <si>
    <t>129760PCH-45D</t>
  </si>
  <si>
    <t>PCH</t>
  </si>
  <si>
    <t>129760PCH</t>
  </si>
  <si>
    <t>Peach Textile/Trim</t>
  </si>
  <si>
    <t>https://image.skechers.com/img/productimages/xlarge/129760_WMLT_A.jpg</t>
  </si>
  <si>
    <t>129760WMLT-45D</t>
  </si>
  <si>
    <t>129760WMLT</t>
  </si>
  <si>
    <t>White Textile/Multi Trim</t>
  </si>
  <si>
    <t>https://image.skechers.com/img/productimages/xlarge/129761_BBK_A.jpg</t>
  </si>
  <si>
    <t>129761BBK-45D</t>
  </si>
  <si>
    <t>129761BBK</t>
  </si>
  <si>
    <t>MARYN</t>
  </si>
  <si>
    <t>Air Cooled Goga Mat Insole
Machine Washable
Max Cushioning
Soft Stride
Mstrike
Vegan
Ultra Light Cushioning</t>
  </si>
  <si>
    <t>https://image.skechers.com/img/productimages/xlarge/129761_BKW_A.jpg</t>
  </si>
  <si>
    <t>129761BKW-45D</t>
  </si>
  <si>
    <t>129761BKW</t>
  </si>
  <si>
    <t>https://image.skechers.com/img/productimages/xlarge/129761_LAV_A.jpg</t>
  </si>
  <si>
    <t>129761LAV-45D</t>
  </si>
  <si>
    <t>129761LAV</t>
  </si>
  <si>
    <t>Lavender Textile/Trim</t>
  </si>
  <si>
    <t>https://image.skechers.com/img/productimages/xlarge/129761_PCH_A.jpg</t>
  </si>
  <si>
    <t>129761PCH-45D</t>
  </si>
  <si>
    <t>129761PCH</t>
  </si>
  <si>
    <t>https://image.skechers.com/img/productimages/xlarge/129761_SAGE_A.jpg</t>
  </si>
  <si>
    <t>129761SAGE-45D</t>
  </si>
  <si>
    <t>129761SAGE</t>
  </si>
  <si>
    <t>https://image.skechers.com/img/productimages/xlarge/129761_WHT_A.jpg</t>
  </si>
  <si>
    <t>129761WHT-45D</t>
  </si>
  <si>
    <t>129761WHT</t>
  </si>
  <si>
    <t>https://image.skechers.com/img/productimages/xlarge/129780_BKW_A.jpg</t>
  </si>
  <si>
    <t>129780BKW-45D</t>
  </si>
  <si>
    <t>129780BKW</t>
  </si>
  <si>
    <t>GO RUN CONSISTENT PRO</t>
  </si>
  <si>
    <t>CORUS</t>
  </si>
  <si>
    <t>Engineered Mesh Lace Up W/ Screen Print Details</t>
  </si>
  <si>
    <t>Black Textile/White Synthetic</t>
  </si>
  <si>
    <t>Air Cooled Goga Mat Insole
Machine Washable
Soft Stride
SKX Grip Rubber
Mstrike
Ultra Pulse Cushioning
Vegan</t>
  </si>
  <si>
    <t>https://image.skechers.com/img/productimages/xlarge/129780_GRY_A.jpg</t>
  </si>
  <si>
    <t>129780GRY-45D</t>
  </si>
  <si>
    <t>129780GRY</t>
  </si>
  <si>
    <t>https://image.skechers.com/img/productimages/xlarge/129780_NVY_A.jpg</t>
  </si>
  <si>
    <t>129780NVY-45D</t>
  </si>
  <si>
    <t>129780NVY</t>
  </si>
  <si>
    <t>https://image.skechers.com/img/productimages/xlarge/129780_WPK_A.jpg</t>
  </si>
  <si>
    <t>129780WPK-45D</t>
  </si>
  <si>
    <t>WPK</t>
  </si>
  <si>
    <t>129780WPK</t>
  </si>
  <si>
    <t>White Textile/Pink Synthetic</t>
  </si>
  <si>
    <t>https://image.skechers.com/img/productimages/xlarge/129782_BBK_A.jpg</t>
  </si>
  <si>
    <t>129782BBK-45D</t>
  </si>
  <si>
    <t>129782BBK</t>
  </si>
  <si>
    <t>Slip-Ins - Engineered Monomesh Lace Up W/ TPU Clip</t>
  </si>
  <si>
    <t>Air Cooled Goga Mat Insole
Heel Pillow
Machine Washable
Soft Stride
SKX Grip Rubber
Slip-Ins
Mstrike
Ultra Pulse Cushioning
Vegan</t>
  </si>
  <si>
    <t>https://image.skechers.com/img/productimages/xlarge/129782_BLK_A.jpg</t>
  </si>
  <si>
    <t>129782BLK-45D</t>
  </si>
  <si>
    <t>129782BLK</t>
  </si>
  <si>
    <t>https://image.skechers.com/img/productimages/xlarge/129782_LIME_A.jpg</t>
  </si>
  <si>
    <t>129782LIME-45D</t>
  </si>
  <si>
    <t>LIME</t>
  </si>
  <si>
    <t>129782LIME</t>
  </si>
  <si>
    <t>Lime Synthetic/Textile</t>
  </si>
  <si>
    <t>https://image.skechers.com/img/productimages/xlarge/129782_LTBL_A.jpg</t>
  </si>
  <si>
    <t>129782LTBL-45D</t>
  </si>
  <si>
    <t>129782LTBL</t>
  </si>
  <si>
    <t>https://image.skechers.com/img/productimages/xlarge/129782_NVY_A.jpg</t>
  </si>
  <si>
    <t>129782NVY-45D</t>
  </si>
  <si>
    <t>129782NVY</t>
  </si>
  <si>
    <t>Navy Synthetic/Textile</t>
  </si>
  <si>
    <t>https://image.skechers.com/img/productimages/xlarge/129782_ROS_A.jpg</t>
  </si>
  <si>
    <t>129782ROS-45D</t>
  </si>
  <si>
    <t>129782ROS</t>
  </si>
  <si>
    <t>https://image.skechers.com/img/productimages/xlarge/129782_WGY_A.jpg</t>
  </si>
  <si>
    <t>129782WGY-45D</t>
  </si>
  <si>
    <t>129782WGY</t>
  </si>
  <si>
    <t>https://image.skechers.com/img/productimages/xlarge/129800_GRY_A.jpg</t>
  </si>
  <si>
    <t>129800GRY-45D</t>
  </si>
  <si>
    <t>129800GRY</t>
  </si>
  <si>
    <t>GO RUN GLIDE-STEP ARCH FIT</t>
  </si>
  <si>
    <t>Slip-Ins - Engineered Woven Knit Lace Up w/ Heel Clip</t>
  </si>
  <si>
    <t>Arch Fit
Glide-Step
Heel Pillow
Machine Washable
SKX Grip Rubber
Slip-Ins
Mstrike
Ultra Go
Vegan</t>
  </si>
  <si>
    <t>https://image.skechers.com/img/productimages/xlarge/129800_NAT_A.jpg</t>
  </si>
  <si>
    <t>129800NAT-45D</t>
  </si>
  <si>
    <t>129800NAT</t>
  </si>
  <si>
    <t>https://image.skechers.com/img/productimages/xlarge/129800_SLT_A.jpg</t>
  </si>
  <si>
    <t>129800SLT-45D</t>
  </si>
  <si>
    <t>129800SLT</t>
  </si>
  <si>
    <t>https://image.skechers.com/img/productimages/xlarge/129802_BKW_A.jpg</t>
  </si>
  <si>
    <t>129802BKW-45D</t>
  </si>
  <si>
    <t>129802BKW</t>
  </si>
  <si>
    <t>CASION</t>
  </si>
  <si>
    <t>Engineered Mesh Bungee W/ Hotmelt Details</t>
  </si>
  <si>
    <t>Patented Skechers Arch Fit® insole system with podiatrist-certified arch support developed with 20 years of data and 120,000 unweighted foot scans
Removable insole helps mold to your foot to reduce shock and increase weight dispersion
Glide-Step® geometric midsole designed to provide natural momentum with every step
SKX GRIP™ rubber outsole delivers enhanced traction and long-lasting durability
Skechers M-Strike® technology promotes efficiency in each stride. This midsole configuration creates smooth transitions from landing to toe-off
Lightweight, responsive ULTRA GO® cushioning</t>
  </si>
  <si>
    <t>Engineered mesh and hotmelt overlay upper with tied-off stretch laces
Crafted with 100% vegan materials
No Tie Fit® - laces never come untied
Flexible traction outsole
1 1/2-inch heel height
Offset: 7.5mm
Weight: 9.5oz in a women's size 6
Machine washable
Skechers® logo detail</t>
  </si>
  <si>
    <t>Arch Fit
Glide-Step
Machine Washable
No Tie Fit
SKX Grip Rubber
Mstrike
Ultra Go
Vegan</t>
  </si>
  <si>
    <t>https://image.skechers.com/img/productimages/xlarge/129802_LTBL_A.jpg</t>
  </si>
  <si>
    <t>129802LTBL-45D</t>
  </si>
  <si>
    <t>129802LTBL</t>
  </si>
  <si>
    <t>https://image.skechers.com/img/productimages/xlarge/129802_LTGY_A.jpg</t>
  </si>
  <si>
    <t>129802LTGY-45D</t>
  </si>
  <si>
    <t>129802LTGY</t>
  </si>
  <si>
    <t>Light Gray Textile/ Trim</t>
  </si>
  <si>
    <t>https://image.skechers.com/img/productimages/xlarge/129802_NTBL_A.jpg</t>
  </si>
  <si>
    <t>129802NTBL-45D</t>
  </si>
  <si>
    <t>NTBL</t>
  </si>
  <si>
    <t>129802NTBL</t>
  </si>
  <si>
    <t>https://image.skechers.com/img/productimages/xlarge/129802_WHT_A.jpg</t>
  </si>
  <si>
    <t>129802WHT-45D</t>
  </si>
  <si>
    <t>129802WHT</t>
  </si>
  <si>
    <t>https://image.skechers.com/img/productimages/xlarge/129825_CHAR_A.jpg</t>
  </si>
  <si>
    <t>129825CHAR-45D</t>
  </si>
  <si>
    <t>CHAR</t>
  </si>
  <si>
    <t>129825CHAR</t>
  </si>
  <si>
    <t>GLIDE-STEP VORTEX</t>
  </si>
  <si>
    <t>Slip Ins - Engineered Mesh Lace Up</t>
  </si>
  <si>
    <t>Charcoal Textile</t>
  </si>
  <si>
    <t>Skechers Hands Free Slip-ins® for an easy fit
Heel Pillow® holds your foot securely in place
Glide-Step® geometric midsole designed to provide natural momentum with every step
Lightweight, responsive ULTRA LIGHT midsole cushioning
Skechers M-Strike® technology promotes efficiency in each stride. This midsole configuration creates smooth transitions from landing to toe-off
Ultra-lightweight Skechers® Soft Stride™ cushioning foam for added comfort</t>
  </si>
  <si>
    <t>Engineered mesh upper with adjustable laces
Crafted with 100% vegan materials
Flexible traction outsole
1 1/2-inch heel height
Machine washable
Skechers® logo detail</t>
  </si>
  <si>
    <t>Glide-Step
Heel Pillow
Machine Washable
Soft Stride
Slip-Ins
Mstrike
Vegan
Ultra Light Cushioning</t>
  </si>
  <si>
    <t>https://image.skechers.com/img/productimages/xlarge/129825_GRY_A.jpg</t>
  </si>
  <si>
    <t>129825GRY-45D</t>
  </si>
  <si>
    <t>129825GRY</t>
  </si>
  <si>
    <t>Gray Textile</t>
  </si>
  <si>
    <t>https://image.skechers.com/img/productimages/xlarge/129825_LAV_A.jpg</t>
  </si>
  <si>
    <t>129825LAV-45D</t>
  </si>
  <si>
    <t>129825LAV</t>
  </si>
  <si>
    <t>Lavender Textile</t>
  </si>
  <si>
    <t>https://image.skechers.com/img/productimages/xlarge/129825_NAT_A.jpg</t>
  </si>
  <si>
    <t>129825NAT-45D</t>
  </si>
  <si>
    <t>129825NAT</t>
  </si>
  <si>
    <t>Natural Textile</t>
  </si>
  <si>
    <t>https://image.skechers.com/img/productimages/xlarge/129825_SAGE_A.jpg</t>
  </si>
  <si>
    <t>129825SAGE-45D</t>
  </si>
  <si>
    <t>129825SAGE</t>
  </si>
  <si>
    <t>Sage Textile</t>
  </si>
  <si>
    <t>https://image.skechers.com/img/productimages/xlarge/129825_WMLT_A.jpg</t>
  </si>
  <si>
    <t>129825WMLT-45D</t>
  </si>
  <si>
    <t>129825WMLT</t>
  </si>
  <si>
    <t>White Textile</t>
  </si>
  <si>
    <t>https://image.skechers.com/img/productimages/xlarge/129826_BBK_A.jpg</t>
  </si>
  <si>
    <t>129826BBK-45D</t>
  </si>
  <si>
    <t>129826BBK</t>
  </si>
  <si>
    <t>AVALIN</t>
  </si>
  <si>
    <t>Athletic Mesh Bungee W/ Hotmelt Details</t>
  </si>
  <si>
    <t>Glide-Step® geometric midsole designed to provide natural momentum with every step
Lightweight, responsive ULTRA LIGHT midsole cushioning
Skechers M-Strike® technology promotes efficiency in each stride. This midsole configuration creates smooth transitions from landing to toe-off
Ultra-lightweight Skechers® Soft Stride™ cushioning foam for added comfort
No Tie Fit™ - laces never come untied
Crafted with 100% vegan materials</t>
  </si>
  <si>
    <t>Athletic mesh and hotmelt overlay upper with fixed stretch laces
Flexible traction outsole
1 1/2-inch heel height
Offset: 8 mm
Weight: 8.8oz/250g in a women's size 6
Machine washable
Skechers® logo detail</t>
  </si>
  <si>
    <t>Glide-Step
Machine Washable
No Tie Fit
Soft Stride
Mstrike
Vegan
Ultra Light Cushioning</t>
  </si>
  <si>
    <t>https://image.skechers.com/img/productimages/xlarge/129826_LTBL_A.jpg</t>
  </si>
  <si>
    <t>129826LTBL-45D</t>
  </si>
  <si>
    <t>129826LTBL</t>
  </si>
  <si>
    <t>Blue Textile</t>
  </si>
  <si>
    <t>https://image.skechers.com/img/productimages/xlarge/129826_LTPK_A.jpg</t>
  </si>
  <si>
    <t>129826LTPK-45D</t>
  </si>
  <si>
    <t>129826LTPK</t>
  </si>
  <si>
    <t>Pink Textile</t>
  </si>
  <si>
    <t>https://image.skechers.com/img/productimages/xlarge/129826_NAT_A.jpg</t>
  </si>
  <si>
    <t>129826NAT-45D</t>
  </si>
  <si>
    <t>129826NAT</t>
  </si>
  <si>
    <t>https://image.skechers.com/img/productimages/xlarge/129826W_BKW_A.jpg</t>
  </si>
  <si>
    <t>129826WBKW-45D</t>
  </si>
  <si>
    <t>129826W</t>
  </si>
  <si>
    <t>129826WBKW</t>
  </si>
  <si>
    <t>https://image.skechers.com/img/productimages/xlarge/129826_WGY_A.jpg</t>
  </si>
  <si>
    <t>129826WGY-45D</t>
  </si>
  <si>
    <t>129826WGY</t>
  </si>
  <si>
    <t>https://image.skechers.com/img/productimages/xlarge/129826W_LTGY_A.jpg</t>
  </si>
  <si>
    <t>129826WLTGY-45D</t>
  </si>
  <si>
    <t>129826WLTGY</t>
  </si>
  <si>
    <t>https://image.skechers.com/img/productimages/xlarge/149529_BBK_A.jpg</t>
  </si>
  <si>
    <t>149529BBK-45P</t>
  </si>
  <si>
    <t>149529BBK</t>
  </si>
  <si>
    <t>SUMMITS</t>
  </si>
  <si>
    <t>SWIFT STEP</t>
  </si>
  <si>
    <t>Mesh Open Back W/ Memory Faom</t>
  </si>
  <si>
    <t>Black Mesh / Trim</t>
  </si>
  <si>
    <t>Athletic mesh upper with stretch laces
Shock-absorbing midsole
Flexible traction outsole
Machine washable
1 1/4-inch heel
Skechers® logo detail</t>
  </si>
  <si>
    <t>R - SPORT WOMENS</t>
  </si>
  <si>
    <t>SPORT CORE MEMORY FOAM</t>
  </si>
  <si>
    <t>https://image.skechers.com/img/productimages/xlarge/149529_BKAQ_A.jpg</t>
  </si>
  <si>
    <t>149529BKAQ-45P</t>
  </si>
  <si>
    <t>BKAQ</t>
  </si>
  <si>
    <t>149529BKAQ</t>
  </si>
  <si>
    <t>Black Mesh / Aqua Trim</t>
  </si>
  <si>
    <t>https://image.skechers.com/img/productimages/xlarge/149529_CCLV_A.jpg</t>
  </si>
  <si>
    <t>149529CCLV-45P</t>
  </si>
  <si>
    <t>CCLV</t>
  </si>
  <si>
    <t>149529CCLV</t>
  </si>
  <si>
    <t>https://image.skechers.com/img/productimages/xlarge/149529_NVHP_A.jpg</t>
  </si>
  <si>
    <t>149529NVHP-45P</t>
  </si>
  <si>
    <t>NVHP</t>
  </si>
  <si>
    <t>149529NVHP</t>
  </si>
  <si>
    <t>Navy Mesh / Hot Pink Trim</t>
  </si>
  <si>
    <t>https://image.skechers.com/img/productimages/xlarge/149529_WSL_A.jpg</t>
  </si>
  <si>
    <t>149529WSL-45P</t>
  </si>
  <si>
    <t>149529WSL</t>
  </si>
  <si>
    <t>White Mesh / Silver Trim</t>
  </si>
  <si>
    <t>https://image.skechers.com/img/productimages/xlarge/150051_BKW_A.jpg</t>
  </si>
  <si>
    <t>150051BKW-45P</t>
  </si>
  <si>
    <t>150051BKW</t>
  </si>
  <si>
    <t>ARCH FIT 2.0</t>
  </si>
  <si>
    <t>BIG LEAGUE</t>
  </si>
  <si>
    <t>Arch Fit Engineered Mesh Lace-Up W/ Air-Cooled</t>
  </si>
  <si>
    <t>Black Mesh/White Trim</t>
  </si>
  <si>
    <t>Patented Skechers Arch Fit® insole system with podiatrist-certified arch support
Podiatrist-designed shape developed with 20 years of data and 120,000 unweighted foot scans
Removable insole helps mold to your foot to reduce shock and increase weight dispersion
Crafted with 100% vegan materials</t>
  </si>
  <si>
    <t>Engineered mesh upper with lace-up front
Flexible traction outsole
Machine washable
1 3/4-inch heel
Skechers® and Arch Fit® logo details</t>
  </si>
  <si>
    <t>Air-Cooled
Arch Fit
Engineered Mesh
Machine Washable
Vegan</t>
  </si>
  <si>
    <t>https://image.skechers.com/img/productimages/xlarge/150051_LGMT_A.jpg</t>
  </si>
  <si>
    <t>150051LGMT-45P</t>
  </si>
  <si>
    <t>LGMT</t>
  </si>
  <si>
    <t>150051LGMT</t>
  </si>
  <si>
    <t>Light Grey Mesh/ Periwinkle &amp; Coral Trim</t>
  </si>
  <si>
    <t>https://image.skechers.com/img/productimages/xlarge/150051W_BBK_A.jpg</t>
  </si>
  <si>
    <t>150051WBBK-45P</t>
  </si>
  <si>
    <t>150051W</t>
  </si>
  <si>
    <t>150051WBBK</t>
  </si>
  <si>
    <t>Black Mesh/Gunmetal Trim</t>
  </si>
  <si>
    <t>https://image.skechers.com/img/productimages/xlarge/150051W_NTMT_A.jpg</t>
  </si>
  <si>
    <t>150051WNTMT-45P</t>
  </si>
  <si>
    <t>150051WNTMT</t>
  </si>
  <si>
    <t>Natural Mesh/Mauve &amp; Lavender Trim</t>
  </si>
  <si>
    <t>Air-Cooled
Arch Fit
Engineered Mesh
Wide Fit
Machine Washable
Vegan</t>
  </si>
  <si>
    <t>https://image.skechers.com/img/productimages/xlarge/150051W_WHT_A.jpg</t>
  </si>
  <si>
    <t>150051WWHT-45P</t>
  </si>
  <si>
    <t>150051WWHT</t>
  </si>
  <si>
    <t>White Mesh/Trim</t>
  </si>
  <si>
    <t>https://image.skechers.com/img/productimages/xlarge/150218_BBK_A.jpg</t>
  </si>
  <si>
    <t>150218BBK-45P</t>
  </si>
  <si>
    <t>150218BBK</t>
  </si>
  <si>
    <t>FLEX APPEAL 5.0</t>
  </si>
  <si>
    <t>EASY BREEZY</t>
  </si>
  <si>
    <t>Mesh Knotted Bungee Slip-Ins W/Air Cooled Mf</t>
  </si>
  <si>
    <t>Black Mesh/Tpu/Trim</t>
  </si>
  <si>
    <t>Skechers Hands Free Slip-ins® for an easy fit
Heel Pillow® holds your foot securely in place
Skechers Air-Cooled Memory Foam® cushioned comfort insole
No Tie Fit™ - laces never come untied
Crafted with 100% vegan materials</t>
  </si>
  <si>
    <t>Mesh upper with tied-off stretch laces
Flex Lite shock-absorbing midsole
Super flexible traction outsole
1 1/4-inch heel height
Machine washable
Skechers® logo detail</t>
  </si>
  <si>
    <t>Air-Cooled MF
Machine Washable
No Tie Fit
Slip-Ins
Vegan</t>
  </si>
  <si>
    <t>https://image.skechers.com/img/productimages/xlarge/150218_BKW_A.jpg</t>
  </si>
  <si>
    <t>150218BKW-45P</t>
  </si>
  <si>
    <t>150218BKW</t>
  </si>
  <si>
    <t>Black Mesh/Tpu/White Trim</t>
  </si>
  <si>
    <t>https://image.skechers.com/img/productimages/xlarge/150218_LTMV_A.jpg</t>
  </si>
  <si>
    <t>150218LTMV-45P</t>
  </si>
  <si>
    <t>150218LTMV</t>
  </si>
  <si>
    <t>Light Mauve Mesh/Tpu/Dark Mauve Trim</t>
  </si>
  <si>
    <t>https://image.skechers.com/img/productimages/xlarge/150218_WMLT_A.jpg</t>
  </si>
  <si>
    <t>150218WMLT-45P</t>
  </si>
  <si>
    <t>150218WMLT</t>
  </si>
  <si>
    <t>White Mesh/Tpu/Multi Trim</t>
  </si>
  <si>
    <t>https://image.skechers.com/img/productimages/xlarge/150219_BKMT_A.jpg</t>
  </si>
  <si>
    <t>150219BKMT-45P</t>
  </si>
  <si>
    <t>BKMT</t>
  </si>
  <si>
    <t>150219BKMT</t>
  </si>
  <si>
    <t>RETRO RUSH</t>
  </si>
  <si>
    <t>Duraleather Overlay Mesh Lace Up W/Air Cooled Mf</t>
  </si>
  <si>
    <t>Black Duraleather/Mesh/Multi Trim</t>
  </si>
  <si>
    <t>Skechers Air-Cooled Memory Foam® cushioned comfort insole</t>
  </si>
  <si>
    <t>Mesh and duraleather overlay upper with lace-up front
Flex-Lite shock-absorbing midsole
Super flexible traction outsole
1-inch heel height
Skechers® logo detail</t>
  </si>
  <si>
    <t>Air-Cooled MF</t>
  </si>
  <si>
    <t>https://image.skechers.com/img/productimages/xlarge/150219_CCMT_A.jpg</t>
  </si>
  <si>
    <t>150219CCMT-45P</t>
  </si>
  <si>
    <t>CCMT</t>
  </si>
  <si>
    <t>150219CCMT</t>
  </si>
  <si>
    <t>Charcoal Duraleather/Mesh/Multi Trim</t>
  </si>
  <si>
    <t>https://image.skechers.com/img/productimages/xlarge/150219_DKRS_A.jpg</t>
  </si>
  <si>
    <t>150219DKRS-45P</t>
  </si>
  <si>
    <t>DKRS</t>
  </si>
  <si>
    <t>150219DKRS</t>
  </si>
  <si>
    <t>Dark Rose Duraleather/Mesh/Natural Trim</t>
  </si>
  <si>
    <t>https://image.skechers.com/img/productimages/xlarge/150284_BKMV_A.jpg</t>
  </si>
  <si>
    <t>150284BKMV-45P</t>
  </si>
  <si>
    <t>BKMV</t>
  </si>
  <si>
    <t>150284BKMV</t>
  </si>
  <si>
    <t>DREAM CHASER</t>
  </si>
  <si>
    <t>Engineered Mesh Bungee Slip-Ins W/Air-Cooled Mf</t>
  </si>
  <si>
    <t>Black Mesh/Mauve Trim</t>
  </si>
  <si>
    <t>Engineered mesh upper with fixed stretch laces
Lightweight shock-absorbing midsole
Flexible traction outsole
Machine washable
1-inch heel height
Skechers® logo detail</t>
  </si>
  <si>
    <t>https://image.skechers.com/img/productimages/xlarge/150284_GYMN_A.jpg</t>
  </si>
  <si>
    <t>150284GYMN-45P</t>
  </si>
  <si>
    <t>GYMN</t>
  </si>
  <si>
    <t>150284GYMN</t>
  </si>
  <si>
    <t>Gray Mesh/Mint Trim</t>
  </si>
  <si>
    <t>https://image.skechers.com/img/productimages/xlarge/150284_SLT_A.jpg</t>
  </si>
  <si>
    <t>150284SLT-45P</t>
  </si>
  <si>
    <t>150284SLT</t>
  </si>
  <si>
    <t>Slate Mesh/Navy Trim</t>
  </si>
  <si>
    <t>https://image.skechers.com/img/productimages/xlarge/150332_PNK_A.jpg</t>
  </si>
  <si>
    <t>150332PNK-45P</t>
  </si>
  <si>
    <t>150332PNK</t>
  </si>
  <si>
    <t>VINTAGE LUXE</t>
  </si>
  <si>
    <t>Arch Fit Overlay Mesh Lace-Up W/ Air Cooled</t>
  </si>
  <si>
    <t>Pink Leather/Mesh/Gray Trim</t>
  </si>
  <si>
    <t>This design has been granted the Seal of Acceptance by the American Podiatric Medical Association (APMA)
Patented Skechers Arch Fit® insole system with podiatrist-certified arch support
Podiatrist-designed shape developed with 20 years of data and 120,000 unweighted foot scans
Removable insole helps mold to your foot to reduce shock and increase weight dispersion</t>
  </si>
  <si>
    <t>Mesh and leather overlay upper with lace-up front
Flexible traction outsole
1 3/4-inch heel
Skechers[registered and Arch Fit[registered logo details</t>
  </si>
  <si>
    <t>Air-Cooled
APMA Seal of Acceptance
Arch Fit</t>
  </si>
  <si>
    <t>https://image.skechers.com/img/productimages/xlarge/150332_WHT_A.jpg</t>
  </si>
  <si>
    <t>150332WHT-45P</t>
  </si>
  <si>
    <t>150332WHT</t>
  </si>
  <si>
    <t>White Leather/Mesh/Gray Trim</t>
  </si>
  <si>
    <t>https://image.skechers.com/img/productimages/xlarge/150338_BKRG_A.jpg</t>
  </si>
  <si>
    <t>150338BKRG-45P</t>
  </si>
  <si>
    <t>BKRG</t>
  </si>
  <si>
    <t>150338BKRG</t>
  </si>
  <si>
    <t>BOLD MOTION</t>
  </si>
  <si>
    <t>Arch Fit Engineered Mesh Lace-Up Slip-Ins W/Air-Cooled</t>
  </si>
  <si>
    <t>Black Mesh/Rose Gold Trim</t>
  </si>
  <si>
    <t>Air-Cooled
APMA Seal of Acceptance
Arch Fit
Engineered Mesh
Machine Washable
Slip-Ins
Vegan</t>
  </si>
  <si>
    <t>https://image.skechers.com/img/productimages/xlarge/150338_LTMV_A.jpg</t>
  </si>
  <si>
    <t>150338LTMV-45P</t>
  </si>
  <si>
    <t>150338LTMV</t>
  </si>
  <si>
    <t>Light Mauve Mesh/Dark Mauve Trim</t>
  </si>
  <si>
    <t>https://image.skechers.com/img/productimages/xlarge/150338_MNT_A.jpg</t>
  </si>
  <si>
    <t>150338MNT-45P</t>
  </si>
  <si>
    <t>150338MNT</t>
  </si>
  <si>
    <t>Mint Mesh/Dark Green Trim</t>
  </si>
  <si>
    <t>https://image.skechers.com/img/productimages/xlarge/150338_SLT_A.jpg</t>
  </si>
  <si>
    <t>150338SLT-45P</t>
  </si>
  <si>
    <t>150338SLT</t>
  </si>
  <si>
    <t>Light Blue Mesh/Slate Trim</t>
  </si>
  <si>
    <t>https://image.skechers.com/img/productimages/xlarge/150338_WHT_A.jpg</t>
  </si>
  <si>
    <t>150338WHT-45P</t>
  </si>
  <si>
    <t>150338WHT</t>
  </si>
  <si>
    <t>White Mesh/Gray Trim</t>
  </si>
  <si>
    <t>https://image.skechers.com/img/productimages/xlarge/150384_BKRG_A.jpg</t>
  </si>
  <si>
    <t>150384BKRG-45P</t>
  </si>
  <si>
    <t>150384BKRG</t>
  </si>
  <si>
    <t>FASHION FIT 2.0</t>
  </si>
  <si>
    <t>MOONLIGHT GLOW</t>
  </si>
  <si>
    <t>Metallic Engineered Knit Lace-Up W/Memory Foam</t>
  </si>
  <si>
    <t>Engineered Knit
Machine Washable
Memory Foam</t>
  </si>
  <si>
    <t>https://image.skechers.com/img/productimages/xlarge/150384_TPGD_A.jpg</t>
  </si>
  <si>
    <t>150384TPGD-45P</t>
  </si>
  <si>
    <t>TPGD</t>
  </si>
  <si>
    <t>150384TPGD</t>
  </si>
  <si>
    <t>Taupe Mesh/Gold Trim</t>
  </si>
  <si>
    <t>https://image.skechers.com/img/productimages/xlarge/150384_WSL_A.jpg</t>
  </si>
  <si>
    <t>150384WSL-45P</t>
  </si>
  <si>
    <t>150384WSL</t>
  </si>
  <si>
    <t>White Mesh/Silver Trim</t>
  </si>
  <si>
    <t>https://image.skechers.com/img/productimages/xlarge/150404_BKW_A.jpg</t>
  </si>
  <si>
    <t>150404BKW-45P</t>
  </si>
  <si>
    <t>150404BKW</t>
  </si>
  <si>
    <t>CONTOUR FOAM</t>
  </si>
  <si>
    <t>Cozy Fit Knotted Bungee Slip-In  W/ Air-Cooled Mf</t>
  </si>
  <si>
    <t>Black Mesh/Duraleather/Leather/White Trim</t>
  </si>
  <si>
    <t>Skechers Hands Free Slip-ins® for an easy fit
Heel Pillow® holds your foot securely in place
Cozy Fit™ premium soft quilted materials wrap your feet in luxury, providing a cozy, natural fit for ultimate comfort
Our Contour Foam™ super lightweight midsole adapts to your foot's unique shape, softening every step you take
Skechers Air-Cooled Memory Foam® cushioned comfort insole
No Tie Fit™ - laces never come untied</t>
  </si>
  <si>
    <t>Air-quilted fabric and synthetic overlay upper with tied-off stretch laces
Flexible traction outsole
1 1/3-inch heel height
Machine washable
Skechers® logo detail</t>
  </si>
  <si>
    <t>Air-Cooled MF
Contour Foam
Cozy Fit
Machine Washable
No Tie Fit
Slip-Ins</t>
  </si>
  <si>
    <t>https://image.skechers.com/img/productimages/xlarge/150404_BLK_A.jpg</t>
  </si>
  <si>
    <t>150404BLK-45P</t>
  </si>
  <si>
    <t>150404BLK</t>
  </si>
  <si>
    <t>Black Mesh/Duraleather/Leather/Charcoal Trim</t>
  </si>
  <si>
    <t>https://image.skechers.com/img/productimages/xlarge/150404_NTTP_A.jpg</t>
  </si>
  <si>
    <t>150404NTTP-45P</t>
  </si>
  <si>
    <t>NTTP</t>
  </si>
  <si>
    <t>150404NTTP</t>
  </si>
  <si>
    <t>Natural Mesh/Taupe Duraleather/Leather/Trim</t>
  </si>
  <si>
    <t>https://image.skechers.com/img/productimages/xlarge/150404W_BBK_A.jpg</t>
  </si>
  <si>
    <t>150404WBBK-45P</t>
  </si>
  <si>
    <t>150404W</t>
  </si>
  <si>
    <t>150404WBBK</t>
  </si>
  <si>
    <t>Black Mesh/Duraleather/Leather/Trim</t>
  </si>
  <si>
    <t>https://image.skechers.com/img/productimages/xlarge/150404_WBK_A.jpg</t>
  </si>
  <si>
    <t>150404WBK-45P</t>
  </si>
  <si>
    <t>150404WBK</t>
  </si>
  <si>
    <t>White Mesh/Black Duraleather/Leather/Gray Trim</t>
  </si>
  <si>
    <t>https://image.skechers.com/img/productimages/xlarge/150404_WHPK_A.jpg</t>
  </si>
  <si>
    <t>150404WHPK-45P</t>
  </si>
  <si>
    <t>WHPK</t>
  </si>
  <si>
    <t>150404WHPK</t>
  </si>
  <si>
    <t>White Mesh/Hot Pink Duraleather/Leather/Trim</t>
  </si>
  <si>
    <t>https://image.skechers.com/img/productimages/xlarge/150404_WHT_A.jpg</t>
  </si>
  <si>
    <t>150404WHT-45P</t>
  </si>
  <si>
    <t>150404WHT</t>
  </si>
  <si>
    <t>White Mesh/Duraleather/Leather/Red Trim</t>
  </si>
  <si>
    <t>https://image.skechers.com/img/productimages/xlarge/150404_WLB_A.jpg</t>
  </si>
  <si>
    <t>150404WLB-45P</t>
  </si>
  <si>
    <t>WLB</t>
  </si>
  <si>
    <t>150404WLB</t>
  </si>
  <si>
    <t>White Mesh/Lt.blue Duraleather/Trim</t>
  </si>
  <si>
    <t>https://image.skechers.com/img/productimages/xlarge/150404_WLV_A.jpg</t>
  </si>
  <si>
    <t>150404WLV-45P</t>
  </si>
  <si>
    <t>150404WLV</t>
  </si>
  <si>
    <t>White Mesh/Lavender Duraleather/Leather/Light Gray Trim</t>
  </si>
  <si>
    <t>https://image.skechers.com/img/productimages/xlarge/150404W_WNV_A.jpg</t>
  </si>
  <si>
    <t>150404WWNV-45P</t>
  </si>
  <si>
    <t>WNV</t>
  </si>
  <si>
    <t>150404WWNV</t>
  </si>
  <si>
    <t>White Mesh/Navy Duraleather/Leather/Trim</t>
  </si>
  <si>
    <t>https://image.skechers.com/img/productimages/xlarge/150409_BBK_A.jpg</t>
  </si>
  <si>
    <t>150409BBK-45P</t>
  </si>
  <si>
    <t>150409BBK</t>
  </si>
  <si>
    <t>SWEET EMBRACE</t>
  </si>
  <si>
    <t>Cozy Fit Open Back W/ Air-Cooled Mf</t>
  </si>
  <si>
    <t>Black Duraleather/Mesh/Trim</t>
  </si>
  <si>
    <t>Our Contour Foam™ super lightweight midsole adapts to your foot's unique shape, softening every step you take
Cozy Fit® premium soft quilted materials wrap your feet in luxury, providing a cozy, natural fit for ultimate comfort
Skechers Air-Cooled Memory Foam® cushioned comfort footbed
No Tie Fit™ - laces never come untied</t>
  </si>
  <si>
    <t>Duraleather and air-quilted mesh upper
Casual open-back mule sneaker with tied-off stretch laces
Flexible traction outsole
Machine washable
1 1/3-inch heel height
Skechers® logo detail</t>
  </si>
  <si>
    <t>Air-Cooled MF
Contour Foam
Cozy Fit
Machine Washable
No Tie Fit
Vegan</t>
  </si>
  <si>
    <t>https://image.skechers.com/img/productimages/xlarge/150409_LAV_A.jpg</t>
  </si>
  <si>
    <t>150409LAV-45P</t>
  </si>
  <si>
    <t>150409LAV</t>
  </si>
  <si>
    <t>Lavender Duraleather/White Mesh/Trim</t>
  </si>
  <si>
    <t>https://image.skechers.com/img/productimages/xlarge/150409_WLB_A.jpg</t>
  </si>
  <si>
    <t>150409WLB-45P</t>
  </si>
  <si>
    <t>150409WLB</t>
  </si>
  <si>
    <t>Light Blue Duraleather/White Mesh/Trim</t>
  </si>
  <si>
    <t>https://image.skechers.com/img/productimages/xlarge/150409_WNV_A.jpg</t>
  </si>
  <si>
    <t>150409WNV-45P</t>
  </si>
  <si>
    <t>150409WNV</t>
  </si>
  <si>
    <t>Navy Duraleather/White Mesh/Trim</t>
  </si>
  <si>
    <t>https://image.skechers.com/img/productimages/xlarge/150413_BKRG_A.jpg</t>
  </si>
  <si>
    <t>150413BKRG-45P</t>
  </si>
  <si>
    <t>150413BKRG</t>
  </si>
  <si>
    <t>GOLDEN HOUR</t>
  </si>
  <si>
    <t>Cozy Fit Knotted Bungee Slip-Ins W/ Air-Cooled Mf</t>
  </si>
  <si>
    <t>Black Mesh/Duraleather/Leather/Rose Gold Trim</t>
  </si>
  <si>
    <t>Skechers Hands Free Slip-ins® for an easy fit
Heel Pillow® holds your foot securely in place
Cozy Fit® premium soft quilted materials wrap your feet in luxury, providing a cozy, natural fit for ultimate comfort
Our Contour Foam™ super lightweight midsole adapts to your foot's unique shape, softening every step you take
Skechers Air-Cooled Memory Foam® cushioned comfort insole
No Tie Fit™ - laces never come untied</t>
  </si>
  <si>
    <t>Air-quilted fabric and duraleather upper with tied-off stretch laces
Flexible traction outsole
1 1/3-inch heel height
Machine washable, air dry
Skechers® logo detail</t>
  </si>
  <si>
    <t>https://image.skechers.com/img/productimages/xlarge/150413_WTRG_A.jpg</t>
  </si>
  <si>
    <t>150413WTRG-45P</t>
  </si>
  <si>
    <t>WTRG</t>
  </si>
  <si>
    <t>150413WTRG</t>
  </si>
  <si>
    <t>White Mesh/Duraleather/Leather/Rose Gold Trim</t>
  </si>
  <si>
    <t>https://image.skechers.com/img/productimages/xlarge/150420_BBK_A.jpg</t>
  </si>
  <si>
    <t>150420BBK-45P</t>
  </si>
  <si>
    <t>150420BBK</t>
  </si>
  <si>
    <t>GLIDE-STEP PRO</t>
  </si>
  <si>
    <t>Hotmelt Overlay Mesh Bungee Slip-Ins W/ Air-Cooled Mf</t>
  </si>
  <si>
    <t>Black Mesh/Black Trim</t>
  </si>
  <si>
    <t>Skechers Hands Free Slip-ins® for an easy fit
Heel Pillow® holds your foot securely in place
Glide-Step® geometric midsole designed to provide natural momentum with every step
Skechers Air-Cooled Memory Foam® cushioned comfort insole
Crafted with 100% vegan materials</t>
  </si>
  <si>
    <t>Mesh upper with stretch laces
Super flexible traction outsole
Machine washable
1 3/4-inch heel height
Skechers® logo detail</t>
  </si>
  <si>
    <t>2nd Lace
Air-Cooled MF
Glide-Step
Heel Pillow
Machine Washable
No Tie Fit
Slip-Ins
Vegan</t>
  </si>
  <si>
    <t>https://image.skechers.com/img/productimages/xlarge/150420_DKNV_A.jpg</t>
  </si>
  <si>
    <t>150420DKNV-45P</t>
  </si>
  <si>
    <t>150420DKNV</t>
  </si>
  <si>
    <t>Dark Navy Mesh/Trim</t>
  </si>
  <si>
    <t>https://image.skechers.com/img/productimages/xlarge/150420_LAV_A.jpg</t>
  </si>
  <si>
    <t>150420LAV-45P</t>
  </si>
  <si>
    <t>150420LAV</t>
  </si>
  <si>
    <t>Lavender Mesh/Purple Trim</t>
  </si>
  <si>
    <t>https://image.skechers.com/img/productimages/xlarge/150420_NTMT_A.jpg</t>
  </si>
  <si>
    <t>150420NTMT-45P</t>
  </si>
  <si>
    <t>150420NTMT</t>
  </si>
  <si>
    <t>Natural Mesh/Multi Trim</t>
  </si>
  <si>
    <t>https://image.skechers.com/img/productimages/xlarge/150420_TAN_A.jpg</t>
  </si>
  <si>
    <t>150420TAN-45P</t>
  </si>
  <si>
    <t>TAN</t>
  </si>
  <si>
    <t>150420TAN</t>
  </si>
  <si>
    <t>Tan Mesh/Trim</t>
  </si>
  <si>
    <t>https://image.skechers.com/img/productimages/xlarge/150420_TPMT_A.jpg</t>
  </si>
  <si>
    <t>150420TPMT-45P</t>
  </si>
  <si>
    <t>150420TPMT</t>
  </si>
  <si>
    <t>Taupe Mesh/Multi Trim</t>
  </si>
  <si>
    <t>https://image.skechers.com/img/productimages/xlarge/150420W_BBK_A.jpg</t>
  </si>
  <si>
    <t>150420WBBK-45P</t>
  </si>
  <si>
    <t>150420W</t>
  </si>
  <si>
    <t>150420WBBK</t>
  </si>
  <si>
    <t>Air-Cooled MF
Wide Fit
Glide-Step
Heel Pillow
Machine Washable
No Tie Fit
Slip-Ins
Vegan</t>
  </si>
  <si>
    <t>https://image.skechers.com/img/productimages/xlarge/150420_WHT_A.jpg</t>
  </si>
  <si>
    <t>150420WHT-45P</t>
  </si>
  <si>
    <t>150420WHT</t>
  </si>
  <si>
    <t>https://image.skechers.com/img/productimages/xlarge/150420W_WHT_A.jpg</t>
  </si>
  <si>
    <t>150420WWHT-45P</t>
  </si>
  <si>
    <t>150420WWHT</t>
  </si>
  <si>
    <t>https://image.skechers.com/img/productimages/xlarge/150428_BLK_A.jpg</t>
  </si>
  <si>
    <t>150428BLK-45P</t>
  </si>
  <si>
    <t>150428BLK</t>
  </si>
  <si>
    <t>PURE MOTION</t>
  </si>
  <si>
    <t>Two Tone Engineered Mesh Knotted Flat Bungee Slip-Ins W/ Air-Cooled Mf</t>
  </si>
  <si>
    <t>Black &amp; Gray Mesh/Orange Trim</t>
  </si>
  <si>
    <t>Skechers Hands Free Slip-ins® for an easy fit
Heel Pillow® holds your foot securely in place
Glide-Step® geometric midsole designed to provide natural momentum with every step
Skechers Air-Cooled Memory Foam® cushioned comfort insole
No Tie Fit® - laces never come untied
Crafted with 100% vegan materials</t>
  </si>
  <si>
    <t>Engineered mesh upper with knotted stretch laces
Super flexible traction outsole
Machine washable
1 3/4-inch heel height
Skechers® logo detail</t>
  </si>
  <si>
    <t>Air-Cooled MF
Engineered Mesh
Glide-Step
Machine Washable
No Tie Fit
Slip-Ins
Vegan</t>
  </si>
  <si>
    <t>https://image.skechers.com/img/productimages/xlarge/150428_LTPR_A.jpg</t>
  </si>
  <si>
    <t>150428LTPR-45P</t>
  </si>
  <si>
    <t>LTPR</t>
  </si>
  <si>
    <t>150428LTPR</t>
  </si>
  <si>
    <t>https://image.skechers.com/img/productimages/xlarge/150428_NTBR_A.jpg</t>
  </si>
  <si>
    <t>150428NTBR-45P</t>
  </si>
  <si>
    <t>NTBR</t>
  </si>
  <si>
    <t>150428NTBR</t>
  </si>
  <si>
    <t>Natural Mesh/Brown Trim</t>
  </si>
  <si>
    <t>https://image.skechers.com/img/productimages/xlarge/150428_ROS_A.jpg</t>
  </si>
  <si>
    <t>150428ROS-45P</t>
  </si>
  <si>
    <t>150428ROS</t>
  </si>
  <si>
    <t>Rose Mesh/Pink Trim</t>
  </si>
  <si>
    <t>https://image.skechers.com/img/productimages/xlarge/150437_BKW_A.jpg</t>
  </si>
  <si>
    <t>150437BKW-45P</t>
  </si>
  <si>
    <t>150437BKW</t>
  </si>
  <si>
    <t>SOFT MIRAGE</t>
  </si>
  <si>
    <t>Engineered Jacquard Mesh Knotted Bungee W/Air-Cooled Mf</t>
  </si>
  <si>
    <t>Glide-Step® geometric midsole designed to provide natural momentum with every step
Skechers Air-Cooled Memory Foam® cushioned comfort insole
No Tie Fit™ - laces never come untied
Crafted with 100% vegan materials</t>
  </si>
  <si>
    <t>Engineered jacquard mesh upper with tied-off stretch laces
Flexible traction outsole
1 1/2-inch heel height
Machine washable
Skechers® logo detail</t>
  </si>
  <si>
    <t>Air-Cooled MF
Glide-Step
Machine Washable
No Tie Fit
Vegan</t>
  </si>
  <si>
    <t>https://image.skechers.com/img/productimages/xlarge/150437_LVMT_A.jpg</t>
  </si>
  <si>
    <t>150437LVMT-45P</t>
  </si>
  <si>
    <t>LVMT</t>
  </si>
  <si>
    <t>150437LVMT</t>
  </si>
  <si>
    <t>Lavender Mesh/Burgundy Trim</t>
  </si>
  <si>
    <t>https://image.skechers.com/img/productimages/xlarge/150437_TPE_A.jpg</t>
  </si>
  <si>
    <t>150437TPE-45P</t>
  </si>
  <si>
    <t>150437TPE</t>
  </si>
  <si>
    <t>Taupe Mesh/Brown Trim</t>
  </si>
  <si>
    <t>https://image.skechers.com/img/productimages/xlarge/150437_WBK_A.jpg</t>
  </si>
  <si>
    <t>150437WBK-45P</t>
  </si>
  <si>
    <t>150437WBK</t>
  </si>
  <si>
    <t>White &amp; Black Mesh/Trim</t>
  </si>
  <si>
    <t>https://image.skechers.com/img/productimages/xlarge/150510_BBK_A.jpg</t>
  </si>
  <si>
    <t>150510BBK-45P</t>
  </si>
  <si>
    <t>150510BBK</t>
  </si>
  <si>
    <t>GLIDE-STEP ALTUS</t>
  </si>
  <si>
    <t>Swan S Engineered Mesh W/ Hotmelt Overlay Lace-Up Slip-Ins W/ Air-Cooled Mf</t>
  </si>
  <si>
    <t>Black Synthetic/Mesh/Gunmetal Trim</t>
  </si>
  <si>
    <t>Engineered mesh and hotmelt overlay upper with adjustable laces
Super flexible traction outsole
Machine washable
1 3/4-inch heel height
Skechers® logo detail</t>
  </si>
  <si>
    <t>Air-Cooled MF
Engineered Mesh
Glide-Step
Heel Pillow
Machine Washable
Slip-Ins</t>
  </si>
  <si>
    <t>https://image.skechers.com/img/productimages/xlarge/150510_DKTP_A.jpg</t>
  </si>
  <si>
    <t>150510DKTP-45P</t>
  </si>
  <si>
    <t>150510DKTP</t>
  </si>
  <si>
    <t>Dark Taupe Synthetic/Mesh/Trim</t>
  </si>
  <si>
    <t>https://image.skechers.com/img/productimages/xlarge/150510_LTPK_A.jpg</t>
  </si>
  <si>
    <t>150510LTPK-45P</t>
  </si>
  <si>
    <t>150510LTPK</t>
  </si>
  <si>
    <t>Light Pink Synthetic/Mesh/Pink Trim</t>
  </si>
  <si>
    <t>https://image.skechers.com/img/productimages/xlarge/150510_NTGY_A.jpg</t>
  </si>
  <si>
    <t>150510NTGY-45P</t>
  </si>
  <si>
    <t>150510NTGY</t>
  </si>
  <si>
    <t>Natural Synthetic/Mesh/Gray Trim</t>
  </si>
  <si>
    <t>https://image.skechers.com/img/productimages/xlarge/150510_NVBL_A.jpg</t>
  </si>
  <si>
    <t>150510NVBL-45P</t>
  </si>
  <si>
    <t>NVBL</t>
  </si>
  <si>
    <t>150510NVBL</t>
  </si>
  <si>
    <t>Navy Synthetic/Mesh/Blue Trim</t>
  </si>
  <si>
    <t>https://image.skechers.com/img/productimages/xlarge/150510_WHT_A.jpg</t>
  </si>
  <si>
    <t>150510WHT-45P</t>
  </si>
  <si>
    <t>150510WHT</t>
  </si>
  <si>
    <t>White Synthetic/Mesh/Trim</t>
  </si>
  <si>
    <t>https://image.skechers.com/img/productimages/xlarge/150572_BBK_A.jpg</t>
  </si>
  <si>
    <t>150572BBK-45P</t>
  </si>
  <si>
    <t>150572BBK</t>
  </si>
  <si>
    <t>SKECHERS PLUSH FOAM</t>
  </si>
  <si>
    <t>Engineered Mesh Lace-Up W/Air-Cooled Mf</t>
  </si>
  <si>
    <t>Black Mesh/Trim</t>
  </si>
  <si>
    <t>Skechers Plush Foam® cushioned comfort EVA midsole
Skechers Air-Cooled Memory Foam® cushioned comfort insole
Crafted with 100% vegan materials</t>
  </si>
  <si>
    <t>Engineered mesh upper with lace-up front
Flexible traction outsole
1 1/2-inch heel height
Machine washable
Skechers® logo detail</t>
  </si>
  <si>
    <t>Air-Cooled MF
Engineered Mesh
Machine Washable
Vegan</t>
  </si>
  <si>
    <t>https://image.skechers.com/img/productimages/xlarge/150572_BKW_A.jpg</t>
  </si>
  <si>
    <t>150572BKW-45P</t>
  </si>
  <si>
    <t>150572BKW</t>
  </si>
  <si>
    <t>https://image.skechers.com/img/productimages/xlarge/150572_WGY_A.jpg</t>
  </si>
  <si>
    <t>150572WGY-45P</t>
  </si>
  <si>
    <t>150572WGY</t>
  </si>
  <si>
    <t>Off White Mesh/Dark Gray Trim</t>
  </si>
  <si>
    <t>https://image.skechers.com/img/productimages/xlarge/150572_WSL_A.jpg</t>
  </si>
  <si>
    <t>150572WSL-45P</t>
  </si>
  <si>
    <t>150572WSL</t>
  </si>
  <si>
    <t>https://image.skechers.com/img/productimages/xlarge/150627_BBK_A.jpg</t>
  </si>
  <si>
    <t>150627BBK-45P</t>
  </si>
  <si>
    <t>150627BBK</t>
  </si>
  <si>
    <t>SKECH-LITE PRO 2.0</t>
  </si>
  <si>
    <t>GENTLE MOTION</t>
  </si>
  <si>
    <t>Breathable Monomesh Lace-Up W/Air-Cooled Mf</t>
  </si>
  <si>
    <t>Air-Cooled MF
Breathable Comfort
Machine Washable
Vegan</t>
  </si>
  <si>
    <t>https://image.skechers.com/img/productimages/xlarge/150627_BKW_A.jpg</t>
  </si>
  <si>
    <t>150627BKW-45P</t>
  </si>
  <si>
    <t>150627BKW</t>
  </si>
  <si>
    <t>https://image.skechers.com/img/productimages/xlarge/150627_LAV_A.jpg</t>
  </si>
  <si>
    <t>150627LAV-45P</t>
  </si>
  <si>
    <t>150627LAV</t>
  </si>
  <si>
    <t>Lavender Mesh/Trim</t>
  </si>
  <si>
    <t>https://image.skechers.com/img/productimages/xlarge/150627_LTBL_A.jpg</t>
  </si>
  <si>
    <t>150627LTBL-45P</t>
  </si>
  <si>
    <t>150627LTBL</t>
  </si>
  <si>
    <t>Light Blue Mesh/Trim</t>
  </si>
  <si>
    <t>https://image.skechers.com/img/productimages/xlarge/150627_NAT_A.jpg</t>
  </si>
  <si>
    <t>150627NAT-45P</t>
  </si>
  <si>
    <t>150627NAT</t>
  </si>
  <si>
    <t>Natural Mesh/Trim</t>
  </si>
  <si>
    <t>https://image.skechers.com/img/productimages/xlarge/150627_WHT_A.jpg</t>
  </si>
  <si>
    <t>150627WHT-45P</t>
  </si>
  <si>
    <t>150627WHT</t>
  </si>
  <si>
    <t>White Mesh/Coral Trim</t>
  </si>
  <si>
    <t>https://image.skechers.com/img/productimages/xlarge/150629_BKRG_A.jpg</t>
  </si>
  <si>
    <t>150629BKRG-45P</t>
  </si>
  <si>
    <t>150629BKRG</t>
  </si>
  <si>
    <t>BRILLIANT SHIMMER</t>
  </si>
  <si>
    <t>Air-Cooled MF
Machine Washable
Vegan</t>
  </si>
  <si>
    <t>https://image.skechers.com/img/productimages/xlarge/150629_NTGD_A.jpg</t>
  </si>
  <si>
    <t>150629NTGD-45P</t>
  </si>
  <si>
    <t>NTGD</t>
  </si>
  <si>
    <t>150629NTGD</t>
  </si>
  <si>
    <t>Natural Mesh/Gold Trim</t>
  </si>
  <si>
    <t>https://image.skechers.com/img/productimages/xlarge/150629_WSL_A.jpg</t>
  </si>
  <si>
    <t>150629WSL-45P</t>
  </si>
  <si>
    <t>150629WSL</t>
  </si>
  <si>
    <t>https://image.skechers.com/img/productimages/xlarge/150662_BBK_A.jpg</t>
  </si>
  <si>
    <t>150662BBK-45P</t>
  </si>
  <si>
    <t>150662BBK</t>
  </si>
  <si>
    <t>SUMMITS PLUS</t>
  </si>
  <si>
    <t>CLEAR MOTION</t>
  </si>
  <si>
    <t>Engineered Mesh Slip-Ins Lace-Up W/Air-Cooled Mf</t>
  </si>
  <si>
    <t>Engineered Mesh
Machine Washable
Slip-Ins
Vegan</t>
  </si>
  <si>
    <t>https://image.skechers.com/img/productimages/xlarge/150662_BKW_A.jpg</t>
  </si>
  <si>
    <t>150662BKW-45P</t>
  </si>
  <si>
    <t>150662BKW</t>
  </si>
  <si>
    <t>https://image.skechers.com/img/productimages/xlarge/150662_WHT_A.jpg</t>
  </si>
  <si>
    <t>150662WHT-45P</t>
  </si>
  <si>
    <t>150662WHT</t>
  </si>
  <si>
    <t>https://image.skechers.com/img/productimages/xlarge/150668_BBK_A.jpg</t>
  </si>
  <si>
    <t>150668BBK-45P</t>
  </si>
  <si>
    <t>150668BBK</t>
  </si>
  <si>
    <t>SUMMER HAZE</t>
  </si>
  <si>
    <t>Mesh Double Bungee Slip-On W/Memory Foam</t>
  </si>
  <si>
    <t>Machine Washable
Memory Foam
No Tie Fit
Vegan</t>
  </si>
  <si>
    <t>https://image.skechers.com/img/productimages/xlarge/150668_LTMV_A.jpg</t>
  </si>
  <si>
    <t>150668LTMV-45P</t>
  </si>
  <si>
    <t>150668LTMV</t>
  </si>
  <si>
    <t>Light Mauve Mesh/Mauve Trim</t>
  </si>
  <si>
    <t>https://image.skechers.com/img/productimages/xlarge/150668_NVY_A.jpg</t>
  </si>
  <si>
    <t>150668NVY-45P</t>
  </si>
  <si>
    <t>150668NVY</t>
  </si>
  <si>
    <t>Navy Mesh/Trim</t>
  </si>
  <si>
    <t>https://image.skechers.com/img/productimages/xlarge/150669_BKRG_A.jpg</t>
  </si>
  <si>
    <t>150669BKRG-45P</t>
  </si>
  <si>
    <t>150669BKRG</t>
  </si>
  <si>
    <t>GOLDEN DRIFT</t>
  </si>
  <si>
    <t>Metallic Mesh Double Bungee Slip-On W/Memory Foam</t>
  </si>
  <si>
    <t>https://image.skechers.com/img/productimages/xlarge/150669_WSL_A.jpg</t>
  </si>
  <si>
    <t>150669WSL-45P</t>
  </si>
  <si>
    <t>150669WSL</t>
  </si>
  <si>
    <t>https://image.skechers.com/img/productimages/xlarge/150703_NTPR_A.jpg</t>
  </si>
  <si>
    <t>150703NTPR-45P</t>
  </si>
  <si>
    <t>NTPR</t>
  </si>
  <si>
    <t>150703NTPR</t>
  </si>
  <si>
    <t>D'LITES 6.0</t>
  </si>
  <si>
    <t>Duraleather Overlay Mesh Lace Up Slip-Ins W/ Air-Cooled Mf</t>
  </si>
  <si>
    <t>Purple Duraleather/Natural Mesh/Trim</t>
  </si>
  <si>
    <t>Air-Cooled MF
Slip-Ins</t>
  </si>
  <si>
    <t>https://image.skechers.com/img/productimages/xlarge/150724_NTSL_A.jpg</t>
  </si>
  <si>
    <t>150724NTSL-45P</t>
  </si>
  <si>
    <t>NTSL</t>
  </si>
  <si>
    <t>150724NTSL</t>
  </si>
  <si>
    <t>D'LITES</t>
  </si>
  <si>
    <t>STELLAR SHIMMER</t>
  </si>
  <si>
    <t>Glitter Layered Qtr Webbing Eyelet Lace-Up W/Air-Cooled Mf</t>
  </si>
  <si>
    <t>Natural Leather/Duraleather/Silver Mesh/Black Trim</t>
  </si>
  <si>
    <t>https://image.skechers.com/img/productimages/xlarge/150724_WSL_A.jpg</t>
  </si>
  <si>
    <t>150724WSL-45P</t>
  </si>
  <si>
    <t>150724WSL</t>
  </si>
  <si>
    <t>White Leather/Duraleather/Silver Mesh/White Trim</t>
  </si>
  <si>
    <t>https://image.skechers.com/img/productimages/xlarge/150730_BKCL_A.jpg</t>
  </si>
  <si>
    <t>150730BKCL-45P</t>
  </si>
  <si>
    <t>BKCL</t>
  </si>
  <si>
    <t>150730BKCL</t>
  </si>
  <si>
    <t>ARCH FIT GLIDE-STEP PRO</t>
  </si>
  <si>
    <t>Arch Fit Engineered Jacquard Mesh Knotted Bungee Slip-Ins W/Air-Cooled</t>
  </si>
  <si>
    <t>Black Mesh/Peach Trim</t>
  </si>
  <si>
    <t>Skechers Hands Free Slip-ins® for an easy fit
Heel Pillow® holds your foot securely in place
Patented Skechers Arch Fit® insole system with podiatrist-certified arch support, developed with 20 years of data and 120,000 unweighted foot scans
Removable insole helps mold to your foot to reduce shock and increase weight dispersion
Glide-Step® geometric midsole designed to provide natural momentum with every step
Skechers Air-Cooled Memory Foam® cushioned comfort insole</t>
  </si>
  <si>
    <t>Engineered jacquard knit upper with tied-off stretch laces
Crafted with 100% vegan materials
No Tie Fit™ - laces never come untied
Super flexible traction outsole
1 3/4-inch heel height
Machine washable
Skechers® logo detail</t>
  </si>
  <si>
    <t>Air-Cooled
APMA Seal of Acceptance
Arch Fit
Glide-Step
Machine Washable
No Tie Fit
Slip-Ins
Vegan</t>
  </si>
  <si>
    <t>https://image.skechers.com/img/productimages/xlarge/150730_LGMT_A.jpg</t>
  </si>
  <si>
    <t>150730LGMT-45P</t>
  </si>
  <si>
    <t>150730LGMT</t>
  </si>
  <si>
    <t>Light Gray Mesh/Multi Trim</t>
  </si>
  <si>
    <t>https://image.skechers.com/img/productimages/xlarge/150730_NAT_A.jpg</t>
  </si>
  <si>
    <t>150730NAT-45P</t>
  </si>
  <si>
    <t>150730NAT</t>
  </si>
  <si>
    <t>https://image.skechers.com/img/productimages/xlarge/150730_NTMT_A.jpg</t>
  </si>
  <si>
    <t>150730NTMT-45P</t>
  </si>
  <si>
    <t>150730NTMT</t>
  </si>
  <si>
    <t>Natural Mesh/Lime &amp; Light Blue Trim</t>
  </si>
  <si>
    <t>https://image.skechers.com/img/productimages/xlarge/150730_SLT_A.jpg</t>
  </si>
  <si>
    <t>150730SLT-45P</t>
  </si>
  <si>
    <t>150730SLT</t>
  </si>
  <si>
    <t>Slate Mesh</t>
  </si>
  <si>
    <t>https://image.skechers.com/img/productimages/xlarge/150754W_BBK_A.jpg</t>
  </si>
  <si>
    <t>150754WBBK-45P</t>
  </si>
  <si>
    <t>150754W</t>
  </si>
  <si>
    <t>150754WBBK</t>
  </si>
  <si>
    <t>ARCH FIT SUMMITS</t>
  </si>
  <si>
    <t>DAILY FLOW</t>
  </si>
  <si>
    <t>Arch Fit Engineered Mesh Lace-Up W/Air-Cooled</t>
  </si>
  <si>
    <t>Black Mesh/Synthetic/Trim</t>
  </si>
  <si>
    <t>Air-Cooled
APMA Seal of Acceptance
Arch Fit
Engineered Mesh
Machine Washable
Vegan</t>
  </si>
  <si>
    <t>https://image.skechers.com/img/productimages/xlarge/150754W_BKLB_A.jpg</t>
  </si>
  <si>
    <t>150754WBKLB-45P</t>
  </si>
  <si>
    <t>BKLB</t>
  </si>
  <si>
    <t>150754WBKLB</t>
  </si>
  <si>
    <t>Black Mesh/Synthetic/Light Blue Trim</t>
  </si>
  <si>
    <t>https://image.skechers.com/img/productimages/xlarge/150754W_NTTP_A.jpg</t>
  </si>
  <si>
    <t>150754WNTTP-45P</t>
  </si>
  <si>
    <t>150754WNTTP</t>
  </si>
  <si>
    <t>Natural Mesh/Synthetic/Taupe Trim</t>
  </si>
  <si>
    <t>https://image.skechers.com/img/productimages/xlarge/150754W_NVLB_A.jpg</t>
  </si>
  <si>
    <t>150754WNVLB-45P</t>
  </si>
  <si>
    <t>NVLB</t>
  </si>
  <si>
    <t>150754WNVLB</t>
  </si>
  <si>
    <t>Navy Mesh/Synthetic/Light Blue Trim</t>
  </si>
  <si>
    <t>https://image.skechers.com/img/productimages/xlarge/150754W_WLV_A.jpg</t>
  </si>
  <si>
    <t>150754WWLV-45P</t>
  </si>
  <si>
    <t>150754WWLV</t>
  </si>
  <si>
    <t>White Mesh/Synthetic/Lavender Trim</t>
  </si>
  <si>
    <t>https://image.skechers.com/img/productimages/xlarge/150755_BBK_A.jpg</t>
  </si>
  <si>
    <t>150755BBK-45P</t>
  </si>
  <si>
    <t>150755BBK</t>
  </si>
  <si>
    <t>SOFT FOCUS</t>
  </si>
  <si>
    <t>Arch Fit Mesh Bungee Slip-Ins W/ Air-Cooled</t>
  </si>
  <si>
    <t>Air-Cooled
APMA Seal of Acceptance
Arch Fit
Machine Washable
No Tie Fit
Slip-Ins
Vegan</t>
  </si>
  <si>
    <t>https://image.skechers.com/img/productimages/xlarge/150755_BLK_A.jpg</t>
  </si>
  <si>
    <t>150755BLK-45P</t>
  </si>
  <si>
    <t>150755BLK</t>
  </si>
  <si>
    <t>Black Mesh/Synthetic/Blue Trim</t>
  </si>
  <si>
    <t>https://image.skechers.com/img/productimages/xlarge/150755_LTPK_A.jpg</t>
  </si>
  <si>
    <t>150755LTPK-45P</t>
  </si>
  <si>
    <t>150755LTPK</t>
  </si>
  <si>
    <t>Light Pink Mesh/Synthetic/Purple Trim</t>
  </si>
  <si>
    <t>https://image.skechers.com/img/productimages/xlarge/150755_NVY_A.jpg</t>
  </si>
  <si>
    <t>150755NVY-45P</t>
  </si>
  <si>
    <t>150755NVY</t>
  </si>
  <si>
    <t>Navy Mesh/Synthetic/Pink Trim</t>
  </si>
  <si>
    <t>https://image.skechers.com/img/productimages/xlarge/150755_WHT_A.jpg</t>
  </si>
  <si>
    <t>150755WHT-45P</t>
  </si>
  <si>
    <t>150755WHT</t>
  </si>
  <si>
    <t>https://image.skechers.com/img/productimages/xlarge/150773_BBK_A.jpg</t>
  </si>
  <si>
    <t>150773BBK-45P</t>
  </si>
  <si>
    <t>150773BBK</t>
  </si>
  <si>
    <t>SKECH-AIR SUMMITS</t>
  </si>
  <si>
    <t>PURE EASE</t>
  </si>
  <si>
    <t>Mesh Bungee Slip-Ins W/Air-Cooled Mf</t>
  </si>
  <si>
    <t>Air-Cooled MF
No Tie Fit
Skech-Air
Slip-Ins
Vegan</t>
  </si>
  <si>
    <t>https://image.skechers.com/img/productimages/xlarge/150773_WHT_A.jpg</t>
  </si>
  <si>
    <t>150773WHT-45P</t>
  </si>
  <si>
    <t>150773WHT</t>
  </si>
  <si>
    <t>https://image.skechers.com/img/productimages/xlarge/150791_BKMT_A.jpg</t>
  </si>
  <si>
    <t>150791BKMT-45P</t>
  </si>
  <si>
    <t>150791BKMT</t>
  </si>
  <si>
    <t>ARCH FIT SKECH-AIR</t>
  </si>
  <si>
    <t>MOVING UP</t>
  </si>
  <si>
    <t>Arch Fit Engineered Mesh Lace Up Slip-Ins W/Air-Cooled</t>
  </si>
  <si>
    <t>Black Mesh/Multi Trim</t>
  </si>
  <si>
    <t>Air-Cooled
Arch Fit
Engineered Mesh
Skech-Air
Slip-Ins
Vegan</t>
  </si>
  <si>
    <t>https://image.skechers.com/img/productimages/xlarge/150791_SLT_A.jpg</t>
  </si>
  <si>
    <t>150791SLT-45P</t>
  </si>
  <si>
    <t>150791SLT</t>
  </si>
  <si>
    <t>Slate Mesh/Light Pink Trim</t>
  </si>
  <si>
    <t>https://image.skechers.com/img/productimages/xlarge/150791_WLPK_A.jpg</t>
  </si>
  <si>
    <t>150791WLPK-45P</t>
  </si>
  <si>
    <t>WLPK</t>
  </si>
  <si>
    <t>150791WLPK</t>
  </si>
  <si>
    <t>White Mesh/Light Pink Trim</t>
  </si>
  <si>
    <t>https://image.skechers.com/img/productimages/xlarge/150802_BBK_A.jpg</t>
  </si>
  <si>
    <t>150802BBK-45P</t>
  </si>
  <si>
    <t>150802BBK</t>
  </si>
  <si>
    <t>ULTRA FLEX 4.0</t>
  </si>
  <si>
    <t>PURE DREAM</t>
  </si>
  <si>
    <t>Engineered Ultra Stretch Knit Slip-Ins W/Air-Cooled Mf</t>
  </si>
  <si>
    <t>Black Knit/Trim</t>
  </si>
  <si>
    <t>Skechers Hands Free Slip-ins® for an easy fit
Heel Pillow® holds your foot securely in place
Skechers Air-Cooled Memory Foam® cushioned comfort insole
No Tie Fit® - laces never come untied
Stretch Fit® design for sock-like comfort
Crafted with 100% vegan materials</t>
  </si>
  <si>
    <t>Engineered knit upper with rhinestone embellishments and deco laces
Flexible traction outsole
1 1/4-inch heel height
Skechers® logo detail</t>
  </si>
  <si>
    <t>Air-Cooled MF
Engineered Knit
Machine Washable
Slip-Ins
Ultra Stretch Fit
Vegan</t>
  </si>
  <si>
    <t>https://image.skechers.com/img/productimages/xlarge/150802_BLK_A.jpg</t>
  </si>
  <si>
    <t>150802BLK-45P</t>
  </si>
  <si>
    <t>150802BLK</t>
  </si>
  <si>
    <t>Black Knit/Lime Trim</t>
  </si>
  <si>
    <t>https://image.skechers.com/img/productimages/xlarge/150802_NAT_A.jpg</t>
  </si>
  <si>
    <t>150802NAT-45P</t>
  </si>
  <si>
    <t>150802NAT</t>
  </si>
  <si>
    <t>Natural Knit/Peach Trim</t>
  </si>
  <si>
    <t>https://image.skechers.com/img/productimages/xlarge/150802_NVY_A.jpg</t>
  </si>
  <si>
    <t>150802NVY-45P</t>
  </si>
  <si>
    <t>150802NVY</t>
  </si>
  <si>
    <t>Navy Knit/Pink Trim</t>
  </si>
  <si>
    <t>https://image.skechers.com/img/productimages/xlarge/150802_WHT_A.jpg</t>
  </si>
  <si>
    <t>150802WHT-45P</t>
  </si>
  <si>
    <t>150802WHT</t>
  </si>
  <si>
    <t>White Knit/Purple Trim</t>
  </si>
  <si>
    <t>https://image.skechers.com/img/productimages/xlarge/150820_NTGD_A.jpg</t>
  </si>
  <si>
    <t>150820NTGD-45P</t>
  </si>
  <si>
    <t>150820NTGD</t>
  </si>
  <si>
    <t>SKECH-GEL</t>
  </si>
  <si>
    <t>RETRO PULSE</t>
  </si>
  <si>
    <t>Metallic Overlay Lace-Up Slip-Ins W/Air-Cooled Mf</t>
  </si>
  <si>
    <t>Natural Synthetic/Mesh/Gold Trim</t>
  </si>
  <si>
    <t>https://image.skechers.com/img/productimages/xlarge/150820_WBKS_A.jpg</t>
  </si>
  <si>
    <t>150820WBKS-45P</t>
  </si>
  <si>
    <t>WBKS</t>
  </si>
  <si>
    <t>150820WBKS</t>
  </si>
  <si>
    <t>White Synthetic/Mesh/Black And Silver Trim</t>
  </si>
  <si>
    <t>https://image.skechers.com/img/productimages/xlarge/150820_WSGD_A.jpg</t>
  </si>
  <si>
    <t>150820WSGD-45P</t>
  </si>
  <si>
    <t>WSGD</t>
  </si>
  <si>
    <t>150820WSGD</t>
  </si>
  <si>
    <t>Silver And Gold Synthetic/White Mesh/Mauve Trim</t>
  </si>
  <si>
    <t>https://image.skechers.com/img/productimages/xlarge/150881_BKMT_A.jpg</t>
  </si>
  <si>
    <t>150881BKMT-45P</t>
  </si>
  <si>
    <t>150881BKMT</t>
  </si>
  <si>
    <t>ARCH FIT 3.0</t>
  </si>
  <si>
    <t>Arch Fit Engineered Jacquard Mesh Lace-Up Slip-Ins W/Air-Cooled</t>
  </si>
  <si>
    <t>Air-Cooled
Arch Fit
Engineered Mesh
Machine Washable
Slip-Ins
Vegan</t>
  </si>
  <si>
    <t>https://image.skechers.com/img/productimages/xlarge/150881_WMLT_A.jpg</t>
  </si>
  <si>
    <t>150881WMLT-45P</t>
  </si>
  <si>
    <t>150881WMLT</t>
  </si>
  <si>
    <t>White Mesh/Multi Trim</t>
  </si>
  <si>
    <t>https://image.skechers.com/img/productimages/xlarge/150892_BKW_A.jpg</t>
  </si>
  <si>
    <t>150892BKW-45P</t>
  </si>
  <si>
    <t>150892BKW</t>
  </si>
  <si>
    <t>RELAXED FIT FLEX</t>
  </si>
  <si>
    <t>Rf Mesh Fixed Lace Slip-Ins W/Air-Cooled Mf</t>
  </si>
  <si>
    <t>Black Mesh/Synthetic/White Trim</t>
  </si>
  <si>
    <t>Air-Cooled MF
Machine Washable
No Tie Fit
Relaxed Fit
Soft Stride
Slip-Ins
Vegan</t>
  </si>
  <si>
    <t>https://image.skechers.com/img/productimages/xlarge/150892_NVY_A.jpg</t>
  </si>
  <si>
    <t>150892NVY-45P</t>
  </si>
  <si>
    <t>150892NVY</t>
  </si>
  <si>
    <t>Navy Mesh/Synthetic/Trim</t>
  </si>
  <si>
    <t>https://image.skechers.com/img/productimages/xlarge/150892_WHT_A.jpg</t>
  </si>
  <si>
    <t>150892WHT-45P</t>
  </si>
  <si>
    <t>150892WHT</t>
  </si>
  <si>
    <t>White Mesh/Synthetic/Trim</t>
  </si>
  <si>
    <t>https://image.skechers.com/img/productimages/xlarge/155196_BBK_A.jpg</t>
  </si>
  <si>
    <t>155196BBK-45E</t>
  </si>
  <si>
    <t>155196BBK</t>
  </si>
  <si>
    <t>UNO</t>
  </si>
  <si>
    <t>SHIMMER AWAY</t>
  </si>
  <si>
    <t>Durabuck Metallic Trimmed Gore Lace Slip-On Fashion Sneaker</t>
  </si>
  <si>
    <t>Black Durabuck, Rose Gold Duraleather/Mesh Trim</t>
  </si>
  <si>
    <t>Skechers Air-Cooled Memory Foam® cushioned comfort insole
Skech-Air® visible airbag midsole
No Tie Fit™ - laces never come untied
Wedge fit with 1-inch height</t>
  </si>
  <si>
    <t>Synthetic durabuck upper with metallic trim and stretch laces
Flexible traction outsole
1 1/2-inch heel height
Skechers® logo detail</t>
  </si>
  <si>
    <t>SST - STREET WOMENS</t>
  </si>
  <si>
    <t>Air-Cooled MF
No Tie Fit
Skech-Air
Wedge Fit</t>
  </si>
  <si>
    <t>SST- AIR-COOLED HOLOGRAM BOX</t>
  </si>
  <si>
    <t>https://image.skechers.com/img/productimages/xlarge/155196_NAT_A.jpg</t>
  </si>
  <si>
    <t>155196NAT-45E</t>
  </si>
  <si>
    <t>155196NAT</t>
  </si>
  <si>
    <t>Natural Durabuck, Rose Gold Duraleather/Mesh Trim</t>
  </si>
  <si>
    <t>https://image.skechers.com/img/productimages/xlarge/155196_WHT_A.jpg</t>
  </si>
  <si>
    <t>155196WHT-45E</t>
  </si>
  <si>
    <t>155196WHT</t>
  </si>
  <si>
    <t>White Durabuck, Rose Gold Duraleather/Mesh Trim</t>
  </si>
  <si>
    <t>https://image.skechers.com/img/productimages/xlarge/155196_WSL_A.jpg</t>
  </si>
  <si>
    <t>155196WSL-45E</t>
  </si>
  <si>
    <t>155196WSL</t>
  </si>
  <si>
    <t>White Durabuck, Silver Duraleather/ Mesh Trim</t>
  </si>
  <si>
    <t>https://image.skechers.com/img/productimages/xlarge/172220_BKYB_A.jpg</t>
  </si>
  <si>
    <t>172220BKYB-45D</t>
  </si>
  <si>
    <t>BKYB</t>
  </si>
  <si>
    <t>172220BKYB</t>
  </si>
  <si>
    <t>SKX AERO PULSE SI</t>
  </si>
  <si>
    <t>Slip-Ins: Lightweight Engineered Mesh Low-Top Daily Runner</t>
  </si>
  <si>
    <t>Black Textile/Yellow/Blue Trim</t>
  </si>
  <si>
    <t>This design has been granted the Seal of Acceptance by the American Podiatric Medical Association (APMA)
Runner-optimized Skechers Hands Free Slip-ins® technology: lightweight construction for effortless entry and reduced friction
Premium high-performing heel counter with Heel Pillow® for enhanced stability and a secure locked-in feel
Lightweight, resilient ECO FLIGHT™ cushioning made with at least 10% recycled materials
Patented Skechers Arch Fit® insole system with podiatrist-certified arch support developed with 20 years of data and 120,000 unweighted foot scans
Removable insole helps mold to your foot to reduce shock and increase weight dispersion</t>
  </si>
  <si>
    <t>Breathable engineered mesh upper with adjustable laces
Road-running performance slip-on
Skechers HYPER ARC® adapts to your running stride to promote a smoother transition from landing to toe off
Goodyear® Performance Outsole delivers enhanced traction, stability, and durability
Stack height: 35mm - 29mm
Offset: 6mm
Weight: 8.2oz/232g in a women's size 7
Crafted with 100% vegan materials
Skechers Performance™ logo detail</t>
  </si>
  <si>
    <t>GRW - TECH RUNNING WOMENS</t>
  </si>
  <si>
    <t>APMA Seal of Acceptance
Arch Fit
Eco Flight
Goodyear Rubber
Machine Washable
Slip-Ins
Hyper Arc</t>
  </si>
  <si>
    <t>https://image.skechers.com/img/productimages/xlarge/172220_GYAQ_A.jpg</t>
  </si>
  <si>
    <t>172220GYAQ-45D</t>
  </si>
  <si>
    <t>GYAQ</t>
  </si>
  <si>
    <t>172220GYAQ</t>
  </si>
  <si>
    <t>Gray Textile/Aqua Trim</t>
  </si>
  <si>
    <t>https://image.skechers.com/img/productimages/xlarge/172220_NVAQ_A.jpg</t>
  </si>
  <si>
    <t>172220NVAQ-45D</t>
  </si>
  <si>
    <t>NVAQ</t>
  </si>
  <si>
    <t>172220NVAQ</t>
  </si>
  <si>
    <t>Navy Textile/Aqua Trim</t>
  </si>
  <si>
    <t>https://image.skechers.com/img/productimages/xlarge/177093_BBK_A.jpg</t>
  </si>
  <si>
    <t>177093BBK-45E</t>
  </si>
  <si>
    <t>177093BBK</t>
  </si>
  <si>
    <t>JUNGLE NITE</t>
  </si>
  <si>
    <t>Leopard Mustache Durabuck Lace Up Fashion Sneaker</t>
  </si>
  <si>
    <t>Black Durabuck/ Leopard Printed Suede/ Mesh Trim</t>
  </si>
  <si>
    <t>Skechers Air-Cooled Memory Foam® cushioned comfort insole
Skech-Air® visible air-cushioned midsole</t>
  </si>
  <si>
    <t>Lace-up synthetic upper with leopard print heel mustache
Second set of laces
Flexible rubber traction outsole
1 1/2-inch heel height
Skechers® logo detail</t>
  </si>
  <si>
    <t>2nd Lace
Air-Cooled MF
Skech-Air</t>
  </si>
  <si>
    <t>https://image.skechers.com/img/productimages/xlarge/177093_BKLD_A.jpg</t>
  </si>
  <si>
    <t>177093BKLD-45E</t>
  </si>
  <si>
    <t>BKLD</t>
  </si>
  <si>
    <t>177093BKLD</t>
  </si>
  <si>
    <t>Black Durabuck/Leopard Printed Suede/ Mesh Trim</t>
  </si>
  <si>
    <t>https://image.skechers.com/img/productimages/xlarge/177093_WHLD_A.jpg</t>
  </si>
  <si>
    <t>177093WHLD-45E</t>
  </si>
  <si>
    <t>WHLD</t>
  </si>
  <si>
    <t>177093WHLD</t>
  </si>
  <si>
    <t>White Durabuck/Leopard Printed Suede/Mesh Trim</t>
  </si>
  <si>
    <t>https://image.skechers.com/img/productimages/xlarge/177094_BLK_A.jpg</t>
  </si>
  <si>
    <t>177094BLK-45E</t>
  </si>
  <si>
    <t>177094BLK</t>
  </si>
  <si>
    <t>GOLDEN AIR</t>
  </si>
  <si>
    <t>Duraleather with Metallic Heel Lace Up Fashion Sneaker</t>
  </si>
  <si>
    <t>Black Durabuck/Mesh Trim</t>
  </si>
  <si>
    <t>Skech-Air® visible airbag midsole
Skechers Air-Cooled Memory Foam® cushioned comfort insole</t>
  </si>
  <si>
    <t>Wedge fit with 1-inch height
Lace-up synthetic durabuck upper with gold accents
Flexible traction outsole
Skechers® logo detail</t>
  </si>
  <si>
    <t>Air-Cooled MF
Skech-Air
Wedge Fit</t>
  </si>
  <si>
    <t>https://image.skechers.com/img/productimages/xlarge/177094_BLSH_A.jpg</t>
  </si>
  <si>
    <t>177094BLSH-45E</t>
  </si>
  <si>
    <t>177094BLSH</t>
  </si>
  <si>
    <t>Blush Durabuck/ Mesh Trim</t>
  </si>
  <si>
    <t>https://image.skechers.com/img/productimages/xlarge/177094_NAT_A.jpg</t>
  </si>
  <si>
    <t>177094NAT-45E</t>
  </si>
  <si>
    <t>177094NAT</t>
  </si>
  <si>
    <t>Natural Durabuck/ Mesh Trim</t>
  </si>
  <si>
    <t>https://image.skechers.com/img/productimages/xlarge/177094_TPE_A.jpg</t>
  </si>
  <si>
    <t>177094TPE-45E</t>
  </si>
  <si>
    <t>177094TPE</t>
  </si>
  <si>
    <t>Taupe Durabuck/Silver Trim</t>
  </si>
  <si>
    <t>https://image.skechers.com/img/productimages/xlarge/177094_WHT_A.jpg</t>
  </si>
  <si>
    <t>177094WHT-45E</t>
  </si>
  <si>
    <t>177094WHT</t>
  </si>
  <si>
    <t>White Durabuck/Mesh Trim</t>
  </si>
  <si>
    <t>https://image.skechers.com/img/productimages/xlarge/177094_WSL_A.jpg</t>
  </si>
  <si>
    <t>177094WSL-45E</t>
  </si>
  <si>
    <t>177094WSL</t>
  </si>
  <si>
    <t>White Durabuck/Silver Trim</t>
  </si>
  <si>
    <t>https://image.skechers.com/img/productimages/xlarge/177181_BBK_A.jpg</t>
  </si>
  <si>
    <t>177181BBK-45E</t>
  </si>
  <si>
    <t>177181BBK</t>
  </si>
  <si>
    <t>STACRE SHINE</t>
  </si>
  <si>
    <t>Suede and Duraleather Mid Top Lace Up Fashion Sneaker</t>
  </si>
  <si>
    <t>Black Suede/ Duraleather/ Mesh</t>
  </si>
  <si>
    <t>Skechers Air-Cooled Memory Foam® cushioned comfort insole
Skech-Air® visible airbag midsole</t>
  </si>
  <si>
    <t>Suede and duraleather upper with sparkle mesh collar
Mid-top fashion sneaker with lace-up front
Flexible rubber traction outsole
1 1/2-inch heel height
Skechers® logo detail</t>
  </si>
  <si>
    <t>Air-Cooled MF
Skech-Air</t>
  </si>
  <si>
    <t>https://image.skechers.com/img/productimages/xlarge/177181_OFWT_A.jpg</t>
  </si>
  <si>
    <t>177181OFWT-45E</t>
  </si>
  <si>
    <t>177181OFWT</t>
  </si>
  <si>
    <t>Off White Suede/ Duraleather/ Mesh</t>
  </si>
  <si>
    <t>https://image.skechers.com/img/productimages/xlarge/177181_OLV_A.jpg</t>
  </si>
  <si>
    <t>177181OLV-45E</t>
  </si>
  <si>
    <t>177181OLV</t>
  </si>
  <si>
    <t>Olive Suede/ Duraleather/ Mesh</t>
  </si>
  <si>
    <t>https://image.skechers.com/img/productimages/xlarge/177220_BKYB_A.jpg</t>
  </si>
  <si>
    <t>177220BKYB-45D</t>
  </si>
  <si>
    <t>177220BKYB</t>
  </si>
  <si>
    <t>https://image.skechers.com/img/productimages/xlarge/177291_BLK_A.jpg</t>
  </si>
  <si>
    <t>177291BLK-45E</t>
  </si>
  <si>
    <t>177291BLK</t>
  </si>
  <si>
    <t>UNO LITE</t>
  </si>
  <si>
    <t>SHIMMER ALONG</t>
  </si>
  <si>
    <t>Embossed Durabuck Gore Laced Slip-On with Metallic Trim</t>
  </si>
  <si>
    <t>Black Durabuck/ Rose Gold Trim</t>
  </si>
  <si>
    <t>https://image.skechers.com/img/productimages/xlarge/177291_WHT_A.jpg</t>
  </si>
  <si>
    <t>177291WHT-45E</t>
  </si>
  <si>
    <t>177291WHT</t>
  </si>
  <si>
    <t>White Durabuck/ Rose Gold Trim</t>
  </si>
  <si>
    <t>https://image.skechers.com/img/productimages/xlarge/177520_BLK_A.jpg</t>
  </si>
  <si>
    <t>177520BLK-45E</t>
  </si>
  <si>
    <t>177520BLK</t>
  </si>
  <si>
    <t>UNO WEDGE</t>
  </si>
  <si>
    <t>HI STEPS</t>
  </si>
  <si>
    <t>Durabuck Metallic Trim Lace Up Fashion Wedge</t>
  </si>
  <si>
    <t>Skechers Air-Cooled Memory Foam® comfort insole
Skech-Air® visible air-cushioned midsole</t>
  </si>
  <si>
    <t>Durabuck upper with metallic duraleather
Flexible traction outsole
2-inch heel height
Skechers® logo detail</t>
  </si>
  <si>
    <t>Air-Cooled MF
Fashion Fit
Skech-Air</t>
  </si>
  <si>
    <t>https://image.skechers.com/img/productimages/xlarge/177520_TAN_A.jpg</t>
  </si>
  <si>
    <t>177520TAN-45E</t>
  </si>
  <si>
    <t>177520TAN</t>
  </si>
  <si>
    <t>Tan Durabuck/ Rose Gold Trim</t>
  </si>
  <si>
    <t>https://image.skechers.com/img/productimages/xlarge/177520_WHT_A.jpg</t>
  </si>
  <si>
    <t>177520WHT-45E</t>
  </si>
  <si>
    <t>177520WHT</t>
  </si>
  <si>
    <t>https://image.skechers.com/img/productimages/xlarge/177606_BBK_A.jpg</t>
  </si>
  <si>
    <t>177606BBK-45E</t>
  </si>
  <si>
    <t>177606BBK</t>
  </si>
  <si>
    <t>UNO RYZE</t>
  </si>
  <si>
    <t>SCALE UP</t>
  </si>
  <si>
    <t>Mesh with Duraleather Overlay Lace Up Fashion Sneaker</t>
  </si>
  <si>
    <t>Black Duraleather/ Mesh</t>
  </si>
  <si>
    <t>Skechers Air-Cooled Memory Foam® cushioned comfort insole
Skech-Air® 180-degree visible airbag midsole</t>
  </si>
  <si>
    <t>Mesh upper with duraleather overlay
Fashion sneaker with lace-up front
Flexible traction outsole
1 1/2-inch heel height
Skechers® logo detail</t>
  </si>
  <si>
    <t>https://image.skechers.com/img/productimages/xlarge/177606_LTGY_A.jpg</t>
  </si>
  <si>
    <t>177606LTGY-45E</t>
  </si>
  <si>
    <t>177606LTGY</t>
  </si>
  <si>
    <t>Light Gray Duraleather/ Mesh</t>
  </si>
  <si>
    <t>https://image.skechers.com/img/productimages/xlarge/177606_NTBR_A.jpg</t>
  </si>
  <si>
    <t>177606NTBR-45E</t>
  </si>
  <si>
    <t>177606NTBR</t>
  </si>
  <si>
    <t>Natural Brown Duraleather/ Mesh</t>
  </si>
  <si>
    <t>https://image.skechers.com/img/productimages/xlarge/177857_BLK_A.jpg</t>
  </si>
  <si>
    <t>177857BLK-45E</t>
  </si>
  <si>
    <t>177857BLK</t>
  </si>
  <si>
    <t>VINTAGE DAYZ</t>
  </si>
  <si>
    <t>Retro Suede and Mesh Lace Up Fashion Sneaker</t>
  </si>
  <si>
    <t>Pirate Black Retro Suede/ Mesh</t>
  </si>
  <si>
    <t>Suede and mesh upper with lace-up front
Flexible rubber traction outsole
1 1/2-inch heel height
Skechers® logo detail</t>
  </si>
  <si>
    <t>https://image.skechers.com/img/productimages/xlarge/177857_MUST_A.jpg</t>
  </si>
  <si>
    <t>177857MUST-45E</t>
  </si>
  <si>
    <t>MUST</t>
  </si>
  <si>
    <t>177857MUST</t>
  </si>
  <si>
    <t>Curry Retro Suede/ Mesh</t>
  </si>
  <si>
    <t>https://image.skechers.com/img/productimages/xlarge/177857_WHT_A.jpg</t>
  </si>
  <si>
    <t>177857WHT-45E</t>
  </si>
  <si>
    <t>177857WHT</t>
  </si>
  <si>
    <t>Brilliant White Retro Suede/ Mesh</t>
  </si>
  <si>
    <t>https://image.skechers.com/img/productimages/xlarge/177859_BLK_A.jpg</t>
  </si>
  <si>
    <t>177859BLK-45E</t>
  </si>
  <si>
    <t>177859BLK</t>
  </si>
  <si>
    <t>SHININ' BRIGHT</t>
  </si>
  <si>
    <t>Duraleather Glitter Lace Up Fashion Sneaker</t>
  </si>
  <si>
    <t>Black Duraleather</t>
  </si>
  <si>
    <t>https://image.skechers.com/img/productimages/xlarge/177859_CHMP_A.jpg</t>
  </si>
  <si>
    <t>177859CHMP-45E</t>
  </si>
  <si>
    <t>CHMP</t>
  </si>
  <si>
    <t>177859CHMP</t>
  </si>
  <si>
    <t>Champagne Duraleather</t>
  </si>
  <si>
    <t>https://image.skechers.com/img/productimages/xlarge/177859_SIL_A.jpg</t>
  </si>
  <si>
    <t>177859SIL-45E</t>
  </si>
  <si>
    <t>177859SIL</t>
  </si>
  <si>
    <t>Silver Duraleather</t>
  </si>
  <si>
    <t>https://image.skechers.com/img/productimages/xlarge/177927_WMLT_A.jpg</t>
  </si>
  <si>
    <t>177927WMLT-45E</t>
  </si>
  <si>
    <t>177927WMLT</t>
  </si>
  <si>
    <t>FULL OF LOVE</t>
  </si>
  <si>
    <t>Goldcrown Collab Rainbow Heart Lace Up Fashion Sneaker</t>
  </si>
  <si>
    <t>White Multi Heart Durabuck/ Mesh</t>
  </si>
  <si>
    <t>From the Skechers x JGoldcrown collab featuring the muralist's iconic #Lovewall design
Skechers Air-Cooled Memory Foam® comfort insole
Skech-Air® visible airbag midsole</t>
  </si>
  <si>
    <t>Lace-up synthetic durabuck upper with perforated trim
Flexible traction outsole
1 1/4-inch heel height
Skechers® logo detail</t>
  </si>
  <si>
    <t>Air-Cooled MF
Collab
Goldcrown
Skech-Air</t>
  </si>
  <si>
    <t>https://image.skechers.com/img/productimages/xlarge/180134_OFWT_A.jpg</t>
  </si>
  <si>
    <t>180134OFWT-45P</t>
  </si>
  <si>
    <t>180134OFWT</t>
  </si>
  <si>
    <t>D'LITES HIKER</t>
  </si>
  <si>
    <t>ECHO LAKE</t>
  </si>
  <si>
    <t>Leather Overlay Lace-Up W/ACMF</t>
  </si>
  <si>
    <t>Off White Leather/Synthetic/Trim</t>
  </si>
  <si>
    <t>Skechers Air-Cooled Memory Foam® cushioned comfort insole
Goodyear® Rubber Outsole delivers enhanced traction, stability and durability
Iconic Skechers D'Lites® design</t>
  </si>
  <si>
    <t>Lace-up mesh upper with leather overlays
Casual outdoor trail design
Lightweight shock-absorbing midsole
1 1/4-inch heel height
Skechers® logo detail</t>
  </si>
  <si>
    <t>ODW - OUTDOOR WOMENS</t>
  </si>
  <si>
    <t>Air-Cooled MF
Goodyear Rubber</t>
  </si>
  <si>
    <t>https://image.skechers.com/img/productimages/xlarge/180134_PKMT_A.jpg</t>
  </si>
  <si>
    <t>180134PKMT-45P</t>
  </si>
  <si>
    <t>PKMT</t>
  </si>
  <si>
    <t>180134PKMT</t>
  </si>
  <si>
    <t>Pink Leather/Synthetic/Multi Trim</t>
  </si>
  <si>
    <t>https://image.skechers.com/img/productimages/xlarge/180134_TPMT_A.jpg</t>
  </si>
  <si>
    <t>180134TPMT-45P</t>
  </si>
  <si>
    <t>180134TPMT</t>
  </si>
  <si>
    <t>Taupe Leather/Synthetic/Trim</t>
  </si>
  <si>
    <t>https://image.skechers.com/img/productimages/xlarge/180272_BKNT_A.jpg</t>
  </si>
  <si>
    <t>180272BKNT-45P</t>
  </si>
  <si>
    <t>180272BKNT</t>
  </si>
  <si>
    <t>GLIDE-STEP SOLE</t>
  </si>
  <si>
    <t>Athletic Mesh Swan S Slip-In W/Air-Cooled Mf</t>
  </si>
  <si>
    <t>Black Textile/Synthetic/Natural Trim</t>
  </si>
  <si>
    <t>Skechers Hands Free Slip-ins® for an easy fit
Heel Pillow® holds your foot securely in place
Skechers Air-Cooled Memory Foam® cushioned comfort insole
Glide-Step® geometric midsole designed to provide natural momentum with every step
No Tie Fit™ - laces never come untied
Crafted with 100% vegan materials</t>
  </si>
  <si>
    <t>Breathable mesh upper
Super flexible traction outsole
1 1/4-inch heel height
Skechers® logo detail</t>
  </si>
  <si>
    <t>Air-Cooled MF
Glide-Step
Heel Pillow
No Tie Fit
Slip-Ins</t>
  </si>
  <si>
    <t>https://image.skechers.com/img/productimages/xlarge/180272_CHMP_A.jpg</t>
  </si>
  <si>
    <t>180272CHMP-45P</t>
  </si>
  <si>
    <t>180272CHMP</t>
  </si>
  <si>
    <t>Champagne Textile/Synthetic/Trim</t>
  </si>
  <si>
    <t>https://image.skechers.com/img/productimages/xlarge/180272_LTGY_A.jpg</t>
  </si>
  <si>
    <t>180272LTGY-45P</t>
  </si>
  <si>
    <t>180272LTGY</t>
  </si>
  <si>
    <t>Light Gray Textile/Synthetic/Trim</t>
  </si>
  <si>
    <t>https://image.skechers.com/img/productimages/xlarge/180272_SAGE_A.jpg</t>
  </si>
  <si>
    <t>180272SAGE-45P</t>
  </si>
  <si>
    <t>180272SAGE</t>
  </si>
  <si>
    <t>Textile/Synthetic/Trim</t>
  </si>
  <si>
    <t>https://image.skechers.com/img/productimages/xlarge/180401_BKNT_A.jpg</t>
  </si>
  <si>
    <t>180401BKNT-45P</t>
  </si>
  <si>
    <t>180401BKNT</t>
  </si>
  <si>
    <t>DANDELION</t>
  </si>
  <si>
    <t>3D Mesh Upper Bungee Lace W/Memory Foam</t>
  </si>
  <si>
    <t>Glide-Step
Memory Foam
No Tie Fit</t>
  </si>
  <si>
    <t>https://image.skechers.com/img/productimages/xlarge/180401_OFWT_A.jpg</t>
  </si>
  <si>
    <t>180401OFWT-45P</t>
  </si>
  <si>
    <t>180401OFWT</t>
  </si>
  <si>
    <t>Off White Textile/Synthetic/Trim</t>
  </si>
  <si>
    <t>https://image.skechers.com/img/productimages/xlarge/183004_B_A.jpg</t>
  </si>
  <si>
    <t>183004B-43R</t>
  </si>
  <si>
    <t>B</t>
  </si>
  <si>
    <t>183004B</t>
  </si>
  <si>
    <t>SUITED ON AIR</t>
  </si>
  <si>
    <t>Deboss Durabuck with Pop Suede Heel Lace Up Fashion Sneaker</t>
  </si>
  <si>
    <t>Black Durabuck/ Suede/ Mesh Trim</t>
  </si>
  <si>
    <t>Skechers Air-Cooled Memory Foam® comfort insole
Skech-Air® visible airbag midsole</t>
  </si>
  <si>
    <t>Debossed durabuck upper with suede heel trim
Classic jogger style lace-up fashion sneaker design
Flexible traction outsole
1 1/2-inch heel height
Skechers® logo detail</t>
  </si>
  <si>
    <t>MST - STREET MENS</t>
  </si>
  <si>
    <t>SST- AIR COOLED MF</t>
  </si>
  <si>
    <t>https://image.skechers.com/img/productimages/xlarge/183004_BBK_A.jpg</t>
  </si>
  <si>
    <t>183004BBK-43R</t>
  </si>
  <si>
    <t>183004BBK</t>
  </si>
  <si>
    <t>Black Durabuck / Chestnut Suede / Mesh Trim</t>
  </si>
  <si>
    <t>https://image.skechers.com/img/productimages/xlarge/183004_BLK_A.jpg</t>
  </si>
  <si>
    <t>183004BLK-43R</t>
  </si>
  <si>
    <t>183004BLK</t>
  </si>
  <si>
    <t>https://image.skechers.com/img/productimages/xlarge/183004_NAT_A.jpg</t>
  </si>
  <si>
    <t>183004NAT-43R</t>
  </si>
  <si>
    <t>183004NAT</t>
  </si>
  <si>
    <t>Pumice Stone Natural Durabuck / Chestnut Suede / Mesh Trim</t>
  </si>
  <si>
    <t>https://image.skechers.com/img/productimages/xlarge/183004_NVY_A.jpg</t>
  </si>
  <si>
    <t>183004NVY-43R</t>
  </si>
  <si>
    <t>183004NVY</t>
  </si>
  <si>
    <t>Navy Durabuck / Chestnut Suede / Mesh Trim</t>
  </si>
  <si>
    <t>https://image.skechers.com/img/productimages/xlarge/183004_TPBG_A.jpg</t>
  </si>
  <si>
    <t>183004TPBG-43R</t>
  </si>
  <si>
    <t>TPBG</t>
  </si>
  <si>
    <t>183004TPBG</t>
  </si>
  <si>
    <t>Taupe Durabuck/ Burgundy Suede/ Mesh</t>
  </si>
  <si>
    <t>https://image.skechers.com/img/productimages/xlarge/183004_TPE_A.jpg</t>
  </si>
  <si>
    <t>183004TPE-43R</t>
  </si>
  <si>
    <t>183004TPE</t>
  </si>
  <si>
    <t>Taupe Durabuck / Quail Mauve Suede / Mesh</t>
  </si>
  <si>
    <t>https://image.skechers.com/img/productimages/xlarge/183004_WGRN_A.jpg</t>
  </si>
  <si>
    <t>183004WGRN-43R</t>
  </si>
  <si>
    <t>WGRN</t>
  </si>
  <si>
    <t>183004WGRN</t>
  </si>
  <si>
    <t>White, Green Durabuck/ Suede/ Green Mesh Trim</t>
  </si>
  <si>
    <t>https://image.skechers.com/img/productimages/xlarge/183004_WHT_A.jpg</t>
  </si>
  <si>
    <t>183004WHT-43R</t>
  </si>
  <si>
    <t>183004WHT</t>
  </si>
  <si>
    <t>White Durabuck / Chestnut Suede / Mesh</t>
  </si>
  <si>
    <t>https://image.skechers.com/img/productimages/xlarge/183004_WNVR_A.jpg</t>
  </si>
  <si>
    <t>183004WNVR-43R</t>
  </si>
  <si>
    <t>WNVR</t>
  </si>
  <si>
    <t>183004WNVR</t>
  </si>
  <si>
    <t>White Durabuck/ Navy Suede/ Red Mesh Trim</t>
  </si>
  <si>
    <t>https://image.skechers.com/img/productimages/xlarge/183007_BKW_A.jpg</t>
  </si>
  <si>
    <t>183007BKW-43R</t>
  </si>
  <si>
    <t>183007BKW</t>
  </si>
  <si>
    <t>TAILORED AIR</t>
  </si>
  <si>
    <t>Duraleather Bungee Lace Fashion Sneaker</t>
  </si>
  <si>
    <t>Black Duraleather / Black Soleplate</t>
  </si>
  <si>
    <t>Skechers Air-Cooled Memory Foam® cushioned comfort insole
Skech-Air® visible airbag midsole
No Tie Fit™ - laces never come untied</t>
  </si>
  <si>
    <t>Duraleather upper with debossed details
Easy-wearing fashion sneaker with fixed stretch laces
Flexible traction outsole
1 1/2-inch heel height
Skechers® logo detail</t>
  </si>
  <si>
    <t>Air-Cooled MF
No Tie Fit
Skech-Air</t>
  </si>
  <si>
    <t>https://image.skechers.com/img/productimages/xlarge/183007_BLK_A.jpg</t>
  </si>
  <si>
    <t>183007BLK-43R</t>
  </si>
  <si>
    <t>183007BLK</t>
  </si>
  <si>
    <t>https://image.skechers.com/img/productimages/xlarge/183007_CHAR_A.jpg</t>
  </si>
  <si>
    <t>183007CHAR-43R</t>
  </si>
  <si>
    <t>183007CHAR</t>
  </si>
  <si>
    <t>Charcoal Duraleather</t>
  </si>
  <si>
    <t>https://image.skechers.com/img/productimages/xlarge/183007_NTBL_A.jpg</t>
  </si>
  <si>
    <t>183007NTBL-43R</t>
  </si>
  <si>
    <t>183007NTBL</t>
  </si>
  <si>
    <t>Natural Duraleather / Blue Suede</t>
  </si>
  <si>
    <t>https://image.skechers.com/img/productimages/xlarge/183007_OLV_A.jpg</t>
  </si>
  <si>
    <t>183007OLV-43R</t>
  </si>
  <si>
    <t>183007OLV</t>
  </si>
  <si>
    <t>Olive Duraleather / Olive Suede</t>
  </si>
  <si>
    <t>https://image.skechers.com/img/productimages/xlarge/183007_WHT_A.jpg</t>
  </si>
  <si>
    <t>183007WHT-43R</t>
  </si>
  <si>
    <t>183007WHT</t>
  </si>
  <si>
    <t>White Duraleather</t>
  </si>
  <si>
    <t>https://image.skechers.com/img/productimages/xlarge/183053_BLK_A.jpg</t>
  </si>
  <si>
    <t>183053BLK-43R</t>
  </si>
  <si>
    <t>183053BLK</t>
  </si>
  <si>
    <t>Vintage Suede Lace Up Fashion Sneaker</t>
  </si>
  <si>
    <t>https://image.skechers.com/img/productimages/xlarge/183053_NVY_A.jpg</t>
  </si>
  <si>
    <t>183053NVY-43R</t>
  </si>
  <si>
    <t>183053NVY</t>
  </si>
  <si>
    <t>Navy Retro Suede / Mesh</t>
  </si>
  <si>
    <t>Vintage suede and mesh upper with lace-up front
Flexible traction outsole
1 1/2-inch heel height
Skechers® logo detail</t>
  </si>
  <si>
    <t>https://image.skechers.com/img/productimages/xlarge/183053_WHT_A.jpg</t>
  </si>
  <si>
    <t>183053WHT-43R</t>
  </si>
  <si>
    <t>183053WHT</t>
  </si>
  <si>
    <t>Nimbus Cloud Retro Suede / Brilliant White Mesh</t>
  </si>
  <si>
    <t>https://image.skechers.com/img/productimages/xlarge/183090_BBK_A.jpg</t>
  </si>
  <si>
    <t>183090BBK-43R</t>
  </si>
  <si>
    <t>183090BBK</t>
  </si>
  <si>
    <t>TRES-AIR UNO</t>
  </si>
  <si>
    <t>CASAIRAL</t>
  </si>
  <si>
    <t>Deboss Duraleather Lace Up Fashion Sneaker</t>
  </si>
  <si>
    <t>Skechers Air-Cooled Memory Foam® cushioned comfort insole
Triple window Skech-Air® visible airbag midsole</t>
  </si>
  <si>
    <t>Duraleather upper
Lace-up fashion sneaker
Flexible traction outsole
1 3/4-inch heel height
Skechers® logo detail</t>
  </si>
  <si>
    <t>https://image.skechers.com/img/productimages/xlarge/183090_BLK_A.jpg</t>
  </si>
  <si>
    <t>183090BLK-43R</t>
  </si>
  <si>
    <t>183090BLK</t>
  </si>
  <si>
    <t>Black And Charcoal Duraleather/ Mesh</t>
  </si>
  <si>
    <t>https://image.skechers.com/img/productimages/xlarge/183090_WHT_A.jpg</t>
  </si>
  <si>
    <t>183090WHT-43R</t>
  </si>
  <si>
    <t>183090WHT</t>
  </si>
  <si>
    <t>White Duraleather / Mesh</t>
  </si>
  <si>
    <t>https://image.skechers.com/img/productimages/xlarge/183240_BLK_A.jpg</t>
  </si>
  <si>
    <t>183240BLK-43R</t>
  </si>
  <si>
    <t>183240BLK</t>
  </si>
  <si>
    <t>KOOPA</t>
  </si>
  <si>
    <t>VOLLEY LOW VARSITY</t>
  </si>
  <si>
    <t>Duraleather Overlay Fashion Lace Up</t>
  </si>
  <si>
    <t>Black Duraleather / Leather / Mesh / Grey Trim</t>
  </si>
  <si>
    <t>Skechers Air-Cooled Memory Foam® cushioned comfort insole
This shoe is intended for unisex wear. Sizes shown are men's sizes. For women's sizes, order 1.5 sizes down. For example, a women's size 10 should order a men's 8.5.</t>
  </si>
  <si>
    <t>Leather upper with synthetic duraleather overlays and lace-up front
Classic court-style midsole
1 1/4-inch heel height
Flexible traction outsole
Skechers® logo detail</t>
  </si>
  <si>
    <t>https://image.skechers.com/img/productimages/xlarge/183240_WHT_A.jpg</t>
  </si>
  <si>
    <t>183240WHT-43R</t>
  </si>
  <si>
    <t>183240WHT</t>
  </si>
  <si>
    <t>White Duraleather / Leather / Mesh</t>
  </si>
  <si>
    <t>https://image.skechers.com/img/productimages/xlarge/183241_WHT_A.jpg</t>
  </si>
  <si>
    <t>183241WHT-43R</t>
  </si>
  <si>
    <t>183241WHT</t>
  </si>
  <si>
    <t>VOLLEY LOW LIFESTYLE</t>
  </si>
  <si>
    <t>Duraleather And Suede Overlay Fashion Lace Up</t>
  </si>
  <si>
    <t>White Leather And Suede / Duraleather / Mesh</t>
  </si>
  <si>
    <t>Skechers Air-Cooled Memory Foam® cushioned comfort insole
This shoe is intended for unisex wear. Sizes shown are men's sizes. For woman's sizes, order 1.5 sizes down. For example a women's size 10 should order a men's size 8.5.</t>
  </si>
  <si>
    <t>Smooth duraleather upper with genuine suede overlays and lace-up front
Classic court-style midsole
1 1/4-inch heel height
Flexible traction outsole
Skechers® logo detail</t>
  </si>
  <si>
    <t>https://image.skechers.com/img/productimages/xlarge/183365_BLK_A.jpg</t>
  </si>
  <si>
    <t>183365BLK-43R</t>
  </si>
  <si>
    <t>183365BLK</t>
  </si>
  <si>
    <t>VINTAGE AIR</t>
  </si>
  <si>
    <t>Vintage Suede and Mesh Lace Up Fashion Sneaker</t>
  </si>
  <si>
    <t>Black Suede/ Mesh</t>
  </si>
  <si>
    <t>https://image.skechers.com/img/productimages/xlarge/183365_GRY_A.jpg</t>
  </si>
  <si>
    <t>183365GRY-43R</t>
  </si>
  <si>
    <t>183365GRY</t>
  </si>
  <si>
    <t>Gray Suede/ Mesh</t>
  </si>
  <si>
    <t>https://image.skechers.com/img/productimages/xlarge/183365_NVY_A.jpg</t>
  </si>
  <si>
    <t>183365NVY-43R</t>
  </si>
  <si>
    <t>183365NVY</t>
  </si>
  <si>
    <t>Navy Suede/ Mesh</t>
  </si>
  <si>
    <t>https://image.skechers.com/img/productimages/xlarge/183365_TPE_A.jpg</t>
  </si>
  <si>
    <t>183365TPE-43R</t>
  </si>
  <si>
    <t>183365TPE</t>
  </si>
  <si>
    <t>Taupe Suede/ Mesh</t>
  </si>
  <si>
    <t>https://image.skechers.com/img/productimages/xlarge/183921_BKGY_A.jpg</t>
  </si>
  <si>
    <t>183921BKGY-43R</t>
  </si>
  <si>
    <t>183921BKGY</t>
  </si>
  <si>
    <t>HARRY KANE COURT</t>
  </si>
  <si>
    <t>Harry Kane Collab Leather Fashion Sneaker</t>
  </si>
  <si>
    <t>Black Leather, Suede / Mesh / Gray Trim</t>
  </si>
  <si>
    <t>From the Skechers Street™ x Harry Kane - Off Pitch Collection
Skechers Air-Cooled Memory Foam® cushioned comfort insole</t>
  </si>
  <si>
    <t>Premium leather upper with padded canvas collar and lace-up front
Classic court-style midsole
Flexible traction outsole
1 1/4-inch heel height
Skechers Street™ and Harry Kane logo details</t>
  </si>
  <si>
    <t>Air-Cooled MF
Collab
Harry Kane</t>
  </si>
  <si>
    <t>https://image.skechers.com/img/productimages/xlarge/183921_STN_A.jpg</t>
  </si>
  <si>
    <t>183921STN-43R</t>
  </si>
  <si>
    <t>STN</t>
  </si>
  <si>
    <t>183921STN</t>
  </si>
  <si>
    <t>Stone Leather, Suede / Mesh / Trim</t>
  </si>
  <si>
    <t>https://image.skechers.com/img/productimages/xlarge/183921_WHT_A.jpg</t>
  </si>
  <si>
    <t>183921WHT-43R</t>
  </si>
  <si>
    <t>183921WHT</t>
  </si>
  <si>
    <t>White Leather, Suede / Mesh / Trim</t>
  </si>
  <si>
    <t>https://image.skechers.com/img/productimages/xlarge/183921_WNV_A.jpg</t>
  </si>
  <si>
    <t>183921WNV-43R</t>
  </si>
  <si>
    <t>183921WNV</t>
  </si>
  <si>
    <t>White Leather, Suede / Navy Trim</t>
  </si>
  <si>
    <t>https://image.skechers.com/img/productimages/xlarge/185166_TPBR_A.jpg</t>
  </si>
  <si>
    <t>185166TPBR-45E</t>
  </si>
  <si>
    <t>TPBR</t>
  </si>
  <si>
    <t>185166TPBR</t>
  </si>
  <si>
    <t>SPORT COURT 2.0</t>
  </si>
  <si>
    <t>DAILY JOURNEY</t>
  </si>
  <si>
    <t>Cozy Fit Duraleather Overlay Lace-Up Slip-Ins W/Air-Cooled Mf</t>
  </si>
  <si>
    <t>Taupe Mesh/Brown Duraleather Trim</t>
  </si>
  <si>
    <t>Skechers Hands Free Slip-ins® for an easy fit
Heel Pillow® holds your foot securely in place
Skechers Air-Cooled Memory Foam® cushioned comfort insole</t>
  </si>
  <si>
    <t>Air-quilted duraleather upper with lace-up front
Flexible traction outsole
Machine washable
1 1/4-inch heel height
Skechers® logo detail</t>
  </si>
  <si>
    <t>CCW - COURT CLASSICS WOMENS</t>
  </si>
  <si>
    <t>Air-Cooled MF
Cozy Fit
Machine Washable
Slip-Ins</t>
  </si>
  <si>
    <t>https://image.skechers.com/img/productimages/xlarge/185166_WBK_A.jpg</t>
  </si>
  <si>
    <t>185166WBK-45E</t>
  </si>
  <si>
    <t>185166WBK</t>
  </si>
  <si>
    <t>White Mesh/Black Duraleather Trim</t>
  </si>
  <si>
    <t>https://image.skechers.com/img/productimages/xlarge/185232_BKW_A.jpg</t>
  </si>
  <si>
    <t>185232BKW-45E</t>
  </si>
  <si>
    <t>185232BKW</t>
  </si>
  <si>
    <t>HOTSHOT</t>
  </si>
  <si>
    <t>KICKOFF</t>
  </si>
  <si>
    <t>Duraleather &amp; Suede Overlay Lace-Up W/Air-Cooled Mf</t>
  </si>
  <si>
    <t>Black Duraleather/White Leather^/Trim</t>
  </si>
  <si>
    <t>Duraleather upper with pigskin suede overlays
Contrast 'S' quarter logo detail
Flexible traction rubber outsole
3/4-inch heel height
Skechers® logo detail</t>
  </si>
  <si>
    <t>https://image.skechers.com/img/productimages/xlarge/185232_NTLB_A.jpg</t>
  </si>
  <si>
    <t>185232NTLB-45E</t>
  </si>
  <si>
    <t>NTLB</t>
  </si>
  <si>
    <t>185232NTLB</t>
  </si>
  <si>
    <t>Natural Duraleather/Leather^/Light Blue Trim</t>
  </si>
  <si>
    <t>https://image.skechers.com/img/productimages/xlarge/185232_NTPK_A.jpg</t>
  </si>
  <si>
    <t>185232NTPK-45E</t>
  </si>
  <si>
    <t>NTPK</t>
  </si>
  <si>
    <t>185232NTPK</t>
  </si>
  <si>
    <t>Natural Duraleather/Leather^/Pink Trim</t>
  </si>
  <si>
    <t>https://image.skechers.com/img/productimages/xlarge/185232_OFNV_A.jpg</t>
  </si>
  <si>
    <t>185232OFNV-45E</t>
  </si>
  <si>
    <t>OFNV</t>
  </si>
  <si>
    <t>185232OFNV</t>
  </si>
  <si>
    <t>Off White Duraleather/Leather^/Navy Trim</t>
  </si>
  <si>
    <t>https://image.skechers.com/img/productimages/xlarge/185232_WBK_A.jpg</t>
  </si>
  <si>
    <t>185232WBK-45E</t>
  </si>
  <si>
    <t>185232WBK</t>
  </si>
  <si>
    <t>White Duraleather/Leather^/Black Trim</t>
  </si>
  <si>
    <t>https://image.skechers.com/img/productimages/xlarge/185232_WNT_A.jpg</t>
  </si>
  <si>
    <t>185232WNT-45E</t>
  </si>
  <si>
    <t>WNT</t>
  </si>
  <si>
    <t>185232WNT</t>
  </si>
  <si>
    <t>White Duraleather/Leather^/Natural Trim</t>
  </si>
  <si>
    <t>https://image.skechers.com/img/productimages/xlarge/185232_WYL_A.jpg</t>
  </si>
  <si>
    <t>185232WYL-45E</t>
  </si>
  <si>
    <t>WYL</t>
  </si>
  <si>
    <t>185232WYL</t>
  </si>
  <si>
    <t>White Duraleather/Leather^/Yellow Trim</t>
  </si>
  <si>
    <t>https://image.skechers.com/img/productimages/xlarge/185233_SAGE_A.jpg</t>
  </si>
  <si>
    <t>185233SAGE-45E</t>
  </si>
  <si>
    <t>185233SAGE</t>
  </si>
  <si>
    <t>VARSITY CREW</t>
  </si>
  <si>
    <t>Suede Overlay Lace-Up W/Air-Cooled Mf</t>
  </si>
  <si>
    <t>Sage Leather^/Trim</t>
  </si>
  <si>
    <t>Lace-up pigskin suede upper
Contrast 'S' quarter logo detail
Flexible traction rubber outsole
3/4-inch heel height
Skechers® logo detail</t>
  </si>
  <si>
    <t>https://image.skechers.com/img/productimages/xlarge/185233_TPE_A.jpg</t>
  </si>
  <si>
    <t>185233TPE-45E</t>
  </si>
  <si>
    <t>185233TPE</t>
  </si>
  <si>
    <t>Taupe Leather^/Trim</t>
  </si>
  <si>
    <t>https://image.skechers.com/img/productimages/xlarge/185234_BKNT_A.jpg</t>
  </si>
  <si>
    <t>185234BKNT-45E</t>
  </si>
  <si>
    <t>185234BKNT</t>
  </si>
  <si>
    <t>https://image.skechers.com/img/productimages/xlarge/185293_BKGD_A.jpg</t>
  </si>
  <si>
    <t>185293BKGD-45E</t>
  </si>
  <si>
    <t>185293BKGD</t>
  </si>
  <si>
    <t>PALOMA</t>
  </si>
  <si>
    <t>BRIGHTEST STAR</t>
  </si>
  <si>
    <t>Duraleather &amp; Suede Overlay W/ Glitter Platform Lace-Up</t>
  </si>
  <si>
    <t>Black Duraleather/Leather/Gold Trim</t>
  </si>
  <si>
    <t>Lace-up duraleather and suede overlay upper
Glittery heel collar and star detail
Platform court-style midsole
Flexible traction outsole
2 1/4-inch heel height
Skechers® logo detail</t>
  </si>
  <si>
    <t>https://image.skechers.com/img/productimages/xlarge/185293_WSL_A.jpg</t>
  </si>
  <si>
    <t>185293WSL-45E</t>
  </si>
  <si>
    <t>185293WSL</t>
  </si>
  <si>
    <t>White Duraleather/Leather/Silver Trim</t>
  </si>
  <si>
    <t>https://image.skechers.com/img/productimages/xlarge/185324_BLK_A.jpg</t>
  </si>
  <si>
    <t>185324BLK-45E</t>
  </si>
  <si>
    <t>185324BLK</t>
  </si>
  <si>
    <t>TRUE IRIDESCENCE</t>
  </si>
  <si>
    <t>Metallic Duraleather Lace-Up W/ Air-Cooled Mf</t>
  </si>
  <si>
    <t>Black Duraleather/Trim</t>
  </si>
  <si>
    <t>Lace-up synthetic metallic upper with an iridescent finish
S' quarter logo detail
Flexible traction outsole
3/4-inch heel height
Skechers® logo detail</t>
  </si>
  <si>
    <t>https://image.skechers.com/img/productimages/xlarge/185324_SIL_A.jpg</t>
  </si>
  <si>
    <t>185324SIL-45E</t>
  </si>
  <si>
    <t>185324SIL</t>
  </si>
  <si>
    <t>Silver Duraleather/Trim</t>
  </si>
  <si>
    <t>https://image.skechers.com/img/productimages/xlarge/185329_NTBK_A.jpg</t>
  </si>
  <si>
    <t>185329NTBK-45E</t>
  </si>
  <si>
    <t>NTBK</t>
  </si>
  <si>
    <t>185329NTBK</t>
  </si>
  <si>
    <t>Cozy Fit Suede Overlay Bungee Lace Slip-Ins W/Air-Cooled Mf</t>
  </si>
  <si>
    <t>Natural Mesh/Leather^/Black Trim</t>
  </si>
  <si>
    <t>Air-Cooled MF
Cozy Fit
Heel Pillow
Slip-Ins</t>
  </si>
  <si>
    <t>https://image.skechers.com/img/productimages/xlarge/185329_RED_A.jpg</t>
  </si>
  <si>
    <t>185329RED-45E</t>
  </si>
  <si>
    <t>RED</t>
  </si>
  <si>
    <t>185329RED</t>
  </si>
  <si>
    <t>Red Mesh/Leather^/Off White Trim</t>
  </si>
  <si>
    <t>https://image.skechers.com/img/productimages/xlarge/185329_SAGE_A.jpg</t>
  </si>
  <si>
    <t>185329SAGE-45E</t>
  </si>
  <si>
    <t>185329SAGE</t>
  </si>
  <si>
    <t>Sage Mesh/Leather^/Off White Trim</t>
  </si>
  <si>
    <t>https://image.skechers.com/img/productimages/xlarge/185354_BKW_A.jpg</t>
  </si>
  <si>
    <t>185354BKW-45E</t>
  </si>
  <si>
    <t>185354BKW</t>
  </si>
  <si>
    <t>MESHING WELL</t>
  </si>
  <si>
    <t>Netted Mesh &amp; Glitter Underlay Lace-Up W/Air-Cooled Mf</t>
  </si>
  <si>
    <t>Black Mesh/Leather^/White Trim</t>
  </si>
  <si>
    <t>Netted mesh and glitter underlay upper with pigskin leather overlays
Lace-up court-style sneaker
Contrast 'S' quarter logo detail
Flexible traction rubber outsole
3/4-inch heel height
Skechers® logo detail</t>
  </si>
  <si>
    <t>https://image.skechers.com/img/productimages/xlarge/185354_NAT_A.jpg</t>
  </si>
  <si>
    <t>185354NAT-45E</t>
  </si>
  <si>
    <t>185354NAT</t>
  </si>
  <si>
    <t>Natural Mesh/Leather^/Trim</t>
  </si>
  <si>
    <t>https://image.skechers.com/img/productimages/xlarge/185354_WBK_A.jpg</t>
  </si>
  <si>
    <t>185354WBK-45E</t>
  </si>
  <si>
    <t>185354WBK</t>
  </si>
  <si>
    <t>White Mesh/Leather^/Black Trim</t>
  </si>
  <si>
    <t>https://image.skechers.com/img/productimages/xlarge/185356_LPD_A.jpg</t>
  </si>
  <si>
    <t>185356LPD-45E</t>
  </si>
  <si>
    <t>LPD</t>
  </si>
  <si>
    <t>185356LPD</t>
  </si>
  <si>
    <t>ON THE PROWL</t>
  </si>
  <si>
    <t>Animal Print Suede Lace-Up W/Air-Cooled Mf</t>
  </si>
  <si>
    <t>Leopard Leather/Trim</t>
  </si>
  <si>
    <t>Animal print suede and synthetic upper with lace-up front
'S' quarter logo detail
Flexible traction outsole
3/4-inch heel height
Skechers® logo detail</t>
  </si>
  <si>
    <t>https://image.skechers.com/img/productimages/xlarge/185405_BRPK_A.jpg</t>
  </si>
  <si>
    <t>185405BRPK-45E</t>
  </si>
  <si>
    <t>BRPK</t>
  </si>
  <si>
    <t>185405BRPK</t>
  </si>
  <si>
    <t>LIVING LUXE</t>
  </si>
  <si>
    <t>Duraleather &amp; Suede Overlay Metallic Welt Lace-Up W/Air-Cooled Mf</t>
  </si>
  <si>
    <t>Brown Duraleather/Leather^/Pink Trim</t>
  </si>
  <si>
    <t>Duraleather and suede overlay upper with lace-up front
Contrast 'S' quarter logo and heel mustache
Metallic midsole detail
Flexible traction outsole
3/4-inch heel height
Skechers® logo detail</t>
  </si>
  <si>
    <t>https://image.skechers.com/img/productimages/xlarge/185405_NTBR_A.jpg</t>
  </si>
  <si>
    <t>185405NTBR-45E</t>
  </si>
  <si>
    <t>185405NTBR</t>
  </si>
  <si>
    <t>Natural Duraleather/Leather^/Brown Trim</t>
  </si>
  <si>
    <t>https://image.skechers.com/img/productimages/xlarge/185405_WBK_A.jpg</t>
  </si>
  <si>
    <t>185405WBK-45E</t>
  </si>
  <si>
    <t>185405WBK</t>
  </si>
  <si>
    <t>https://image.skechers.com/img/productimages/xlarge/185405_WNVR_A.jpg</t>
  </si>
  <si>
    <t>185405WNVR-45E</t>
  </si>
  <si>
    <t>185405WNVR</t>
  </si>
  <si>
    <t>White Duraleather/Leather^/Navy/Red Trim</t>
  </si>
  <si>
    <t>https://image.skechers.com/img/productimages/xlarge/185435_BKW_A.jpg</t>
  </si>
  <si>
    <t>185435BKW-45E</t>
  </si>
  <si>
    <t>185435BKW</t>
  </si>
  <si>
    <t>ACADEMY HI</t>
  </si>
  <si>
    <t>STACKED HEARTS</t>
  </si>
  <si>
    <t>Duraleather &amp; Suede Overlay Embroidered Heart Lace-Up W/Air-Cooled Mf</t>
  </si>
  <si>
    <t>Black Duraleather/White Trim</t>
  </si>
  <si>
    <t>Duraleather and suede overlay upper with lace-up front
Embroidered S-heart quarter detail
Platform gum midsole
Flexible traction outsole
2-inch heel height
Skechers® logo detail</t>
  </si>
  <si>
    <t>https://image.skechers.com/img/productimages/xlarge/185435_NTGR_A.jpg</t>
  </si>
  <si>
    <t>185435NTGR-45E</t>
  </si>
  <si>
    <t>NTGR</t>
  </si>
  <si>
    <t>185435NTGR</t>
  </si>
  <si>
    <t>Natural Duraleather/Green Trim</t>
  </si>
  <si>
    <t>https://image.skechers.com/img/productimages/xlarge/185435_WBK_A.jpg</t>
  </si>
  <si>
    <t>185435WBK-45E</t>
  </si>
  <si>
    <t>185435WBK</t>
  </si>
  <si>
    <t>White Duraleather/Black Trim</t>
  </si>
  <si>
    <t>https://image.skechers.com/img/productimages/xlarge/185450_BKSL_A.jpg</t>
  </si>
  <si>
    <t>185450BKSL-45E</t>
  </si>
  <si>
    <t>185450BKSL</t>
  </si>
  <si>
    <t>SKX 92</t>
  </si>
  <si>
    <t>PERFECTLY SHIMMERED</t>
  </si>
  <si>
    <t>Suede &amp; Metallic Textile Embroidered Star Lace-Up W/Air-Cooled Mf</t>
  </si>
  <si>
    <t>Black Suede/Silver Trim</t>
  </si>
  <si>
    <t>https://image.skechers.com/img/productimages/xlarge/185450_OFNV_A.jpg</t>
  </si>
  <si>
    <t>185450OFNV-45E</t>
  </si>
  <si>
    <t>185450OFNV</t>
  </si>
  <si>
    <t>Off White Suede/Navy Trim</t>
  </si>
  <si>
    <t>https://image.skechers.com/img/productimages/xlarge/185450_SAGE_A.jpg</t>
  </si>
  <si>
    <t>185450SAGE-45E</t>
  </si>
  <si>
    <t>185450SAGE</t>
  </si>
  <si>
    <t>Sage Suede/Trim</t>
  </si>
  <si>
    <t>https://image.skechers.com/img/productimages/xlarge/185460_BKW_A.jpg</t>
  </si>
  <si>
    <t>185460BKW-45E</t>
  </si>
  <si>
    <t>185460BKW</t>
  </si>
  <si>
    <t>HOTSHOT HI</t>
  </si>
  <si>
    <t>LIFTED LUXE</t>
  </si>
  <si>
    <t>Duraleather &amp; Suede Overlay Lace-Up Slip-Ins W/ Air-Cooled Mf</t>
  </si>
  <si>
    <t>Black Duraleather/Leather^/White Trim</t>
  </si>
  <si>
    <t>Lace-up duraleather and pigskin suede leather upper
Contrast 'S' quarter logo detail
Flatform gum midsole
Flexible traction rubber outsole
1 1/4-inch heel height
Skechers® logo detail</t>
  </si>
  <si>
    <t>Air-Cooled MF
Heel Pillow
Slip-Ins</t>
  </si>
  <si>
    <t>https://image.skechers.com/img/productimages/xlarge/185460_BRN_A.jpg</t>
  </si>
  <si>
    <t>185460BRN-45E</t>
  </si>
  <si>
    <t>BRN</t>
  </si>
  <si>
    <t>185460BRN</t>
  </si>
  <si>
    <t>Brown Duraleather/Leather^/Trim</t>
  </si>
  <si>
    <t>https://image.skechers.com/img/productimages/xlarge/185460_OFNV_A.jpg</t>
  </si>
  <si>
    <t>185460OFNV-45E</t>
  </si>
  <si>
    <t>185460OFNV</t>
  </si>
  <si>
    <t>Off White Duraleather/Leather^/Trim</t>
  </si>
  <si>
    <t>https://image.skechers.com/img/productimages/xlarge/185460_OFWT_A.jpg</t>
  </si>
  <si>
    <t>185460OFWT-45E</t>
  </si>
  <si>
    <t>185460OFWT</t>
  </si>
  <si>
    <t>https://image.skechers.com/img/productimages/xlarge/190113_BBK_A.jpg</t>
  </si>
  <si>
    <t>190113BBK-45E</t>
  </si>
  <si>
    <t>190113BBK</t>
  </si>
  <si>
    <t>UNO GLIDE-STEP</t>
  </si>
  <si>
    <t>GLIDE ON AIR</t>
  </si>
  <si>
    <t>Slip-Ins Glide-Step Durabuck and Metallic Trim Slip-On Fashion Sneaker</t>
  </si>
  <si>
    <t>Skechers Hands Free Slip-ins® for an easy fit
Heel Pillow® holds your foot securely in place
Glide-Step® geometric midsole designed to provide natural momentum with every step
Skechers Air-Cooled Memory Foam® cushioned comfort insole
Skech-Air® visible airbag midsole
No Tie Fit® - laces never come untied</t>
  </si>
  <si>
    <t>Duraleather upper with metallic heel mustache and perforated detail
Slip-on with fixed stretch laces
Flexible traction outsole
1 1/2-inch heel height
Skechers® logo detail</t>
  </si>
  <si>
    <t>Air-Cooled MF
Glide-Step
No Tie Fit
Skech-Air
Slip-Ins</t>
  </si>
  <si>
    <t>https://image.skechers.com/img/productimages/xlarge/190113_BLK_A.jpg</t>
  </si>
  <si>
    <t>190113BLK-45E</t>
  </si>
  <si>
    <t>190113BLK</t>
  </si>
  <si>
    <t>https://image.skechers.com/img/productimages/xlarge/190113_BLSH_A.jpg</t>
  </si>
  <si>
    <t>190113BLSH-45E</t>
  </si>
  <si>
    <t>190113BLSH</t>
  </si>
  <si>
    <t>Blush Durabuck/ Rose Gold Trim</t>
  </si>
  <si>
    <t>https://image.skechers.com/img/productimages/xlarge/190113_NAT_A.jpg</t>
  </si>
  <si>
    <t>190113NAT-45E</t>
  </si>
  <si>
    <t>190113NAT</t>
  </si>
  <si>
    <t>Natural Durabuck/ Champagne Trim</t>
  </si>
  <si>
    <t>https://image.skechers.com/img/productimages/xlarge/190113_WHT_A.jpg</t>
  </si>
  <si>
    <t>190113WHT-45E</t>
  </si>
  <si>
    <t>190113WHT</t>
  </si>
  <si>
    <t>https://image.skechers.com/img/productimages/xlarge/190115_BBK_A.jpg</t>
  </si>
  <si>
    <t>190115BBK-45E</t>
  </si>
  <si>
    <t>190115BBK</t>
  </si>
  <si>
    <t>AIR GLIDERS</t>
  </si>
  <si>
    <t>Slip-Ins Glide-Step Mesh Fashion Sneaker</t>
  </si>
  <si>
    <t>Skechers Hands Free Slip-ins® for an easy fit
Heel Pillow® holds your foot securely in place
Glide-Step® geometric midsole designed to provide natural momentum with every step
Skech-Air® visible airbag midsole
Skechers Air-Cooled Memory Foam® cushioned comfort insole
No Tie Fit® - laces never come untied</t>
  </si>
  <si>
    <t>Mesh upper with tied-off stretch laces
Flexible traction outsole
1 1/2-inch heel height
Skechers ® logo detail</t>
  </si>
  <si>
    <t>2nd Lace
Air-Cooled MF
Glide-Step
No Tie Fit
Skech-Air
Slip-Ins</t>
  </si>
  <si>
    <t>https://image.skechers.com/img/productimages/xlarge/190115_BLK_A.jpg</t>
  </si>
  <si>
    <t>190115BLK-45E</t>
  </si>
  <si>
    <t>190115BLK</t>
  </si>
  <si>
    <t>https://image.skechers.com/img/productimages/xlarge/190115_GRY_A.jpg</t>
  </si>
  <si>
    <t>190115GRY-45E</t>
  </si>
  <si>
    <t>190115GRY</t>
  </si>
  <si>
    <t>Gray Mesh</t>
  </si>
  <si>
    <t>https://image.skechers.com/img/productimages/xlarge/190115_LIL_A.jpg</t>
  </si>
  <si>
    <t>190115LIL-45E</t>
  </si>
  <si>
    <t>190115LIL</t>
  </si>
  <si>
    <t>Lilac Mesh</t>
  </si>
  <si>
    <t>https://image.skechers.com/img/productimages/xlarge/190115_LTBL_A.jpg</t>
  </si>
  <si>
    <t>190115LTBL-45E</t>
  </si>
  <si>
    <t>190115LTBL</t>
  </si>
  <si>
    <t>Light Blue Mesh</t>
  </si>
  <si>
    <t>https://image.skechers.com/img/productimages/xlarge/190115_OFWT_A.jpg</t>
  </si>
  <si>
    <t>190115OFWT-45E</t>
  </si>
  <si>
    <t>190115OFWT</t>
  </si>
  <si>
    <t>Off White Mesh</t>
  </si>
  <si>
    <t>https://image.skechers.com/img/productimages/xlarge/190115_PNK_A.jpg</t>
  </si>
  <si>
    <t>190115PNK-45E</t>
  </si>
  <si>
    <t>190115PNK</t>
  </si>
  <si>
    <t>Pink Mesh</t>
  </si>
  <si>
    <t>https://image.skechers.com/img/productimages/xlarge/200278_BLK_A.jpg</t>
  </si>
  <si>
    <t>200278BLK-43R</t>
  </si>
  <si>
    <t>200278BLK</t>
  </si>
  <si>
    <t>STREET TREADER</t>
  </si>
  <si>
    <t>SCORRON</t>
  </si>
  <si>
    <t>Lace Up High Top Athletic W/ Slip Resistant Goodyear Rubber Outsole</t>
  </si>
  <si>
    <t>Black Leather/Textile/Synthetic</t>
  </si>
  <si>
    <t>Electrical Hazard (EH) safe design tested ASTM-F2892
Slip-resistant (SRO) rated outsole for traction on wet, dry, oily, and greasy surfaces
Skechers Air-Cooled Memory Foam® cushioned insole
Goodyear® Rubber Outsole delivers enhanced traction, stability and durability</t>
  </si>
  <si>
    <t>Lace-up leather, synthetic and mesh upper
1 1/4-inch heel height
Skechers® logo detail</t>
  </si>
  <si>
    <t>2 - WORK MENS</t>
  </si>
  <si>
    <t>Air-Cooled MF
Electrical Hazard
Goodyear Rubber
Slip Resistant</t>
  </si>
  <si>
    <t>https://image.skechers.com/img/productimages/xlarge/200343_BLK_A.jpg</t>
  </si>
  <si>
    <t>200343BLK-43R</t>
  </si>
  <si>
    <t>200343BLK</t>
  </si>
  <si>
    <t>CORART</t>
  </si>
  <si>
    <t>Double Gore Slip On With Slip Resistant Bottom</t>
  </si>
  <si>
    <t>Black Synthetic /Textile</t>
  </si>
  <si>
    <t>Skechers Memory Foam™ cushioned comfort insole
Slip-resistant (SRO) rated outsole for traction on wet, dry, oily, and greasy surfaces
Electrical Hazard (EH) safe design tested ASTM-F2892</t>
  </si>
  <si>
    <t>Textured faux leather upper with twin gore panels in a laceless fit
Well-cushioned midsole
1 1/4 - inch heel height
Skechers® logo detail</t>
  </si>
  <si>
    <t>Electrical Hazard
Memory Foam
Slip Resistant</t>
  </si>
  <si>
    <t>https://image.skechers.com/img/productimages/xlarge/200388_BLK_A.jpg</t>
  </si>
  <si>
    <t>200388BLK-43R</t>
  </si>
  <si>
    <t>200388BLK</t>
  </si>
  <si>
    <t>FALAN</t>
  </si>
  <si>
    <t>Slip-Ins KPU caged Athletic w/ Slip Resistant Outsole</t>
  </si>
  <si>
    <t>Black Synthetic</t>
  </si>
  <si>
    <t>Electrical Hazard
Memory Foam
Slip Resistant
Slip-Ins</t>
  </si>
  <si>
    <t>https://image.skechers.com/img/productimages/xlarge/204699_BLK_A.jpg</t>
  </si>
  <si>
    <t>204699BLK-43R</t>
  </si>
  <si>
    <t>204699BLK</t>
  </si>
  <si>
    <t>ZELLER</t>
  </si>
  <si>
    <t>BAZEMORE</t>
  </si>
  <si>
    <t>Low Mid Lace Up Boot</t>
  </si>
  <si>
    <t>Skechers Air-Cooled Memory Foam® cushioned comfort insole
Relaxed Fit® design for a roomier comfortable fit
Goodyear® Rubber Outsole delivers enhanced traction, stability and durability</t>
  </si>
  <si>
    <t>Leather and mesh upper with lace-up front
Shock-absorbing midsole
1 1/4-inch heel
Skechers® logo detail</t>
  </si>
  <si>
    <t>C - USA MENS</t>
  </si>
  <si>
    <t>Air-Cooled MF
Goodyear Rubber
Relaxed Fit</t>
  </si>
  <si>
    <t>RELAXED FIT</t>
  </si>
  <si>
    <t>https://image.skechers.com/img/productimages/xlarge/204699_CDB_A.jpg</t>
  </si>
  <si>
    <t>204699CDB-43R</t>
  </si>
  <si>
    <t>CDB</t>
  </si>
  <si>
    <t>204699CDB</t>
  </si>
  <si>
    <t>Dark Brown Leather</t>
  </si>
  <si>
    <t>https://image.skechers.com/img/productimages/xlarge/204699_CHAR_A.jpg</t>
  </si>
  <si>
    <t>204699CHAR-43R</t>
  </si>
  <si>
    <t>204699CHAR</t>
  </si>
  <si>
    <t>Charcoal Leather</t>
  </si>
  <si>
    <t>https://image.skechers.com/img/productimages/xlarge/205227_BBK_A.jpg</t>
  </si>
  <si>
    <t>205227BBK-43R</t>
  </si>
  <si>
    <t>205227BBK</t>
  </si>
  <si>
    <t>AUGUSTINO</t>
  </si>
  <si>
    <t>PAULO</t>
  </si>
  <si>
    <t>Round Toe Leather Chelsea</t>
  </si>
  <si>
    <t>Skechers Air-Cooled Memory Foam® cushioned comfort insole
Charcoal infused insole neutralizes odor
Skechers Goga Mat Arch™ cushioning for added support
Skechers Classic Fit™</t>
  </si>
  <si>
    <t>Leather upper with gore panels and a round toe
Flexible traction outsole
1/4-inch heel height
Skechers® logo detail</t>
  </si>
  <si>
    <t>Air-Cooled MF
Charcoal MF
Classic Fit
Goga Mat Arch</t>
  </si>
  <si>
    <t>CLASSIC FIT AIR-COOLED</t>
  </si>
  <si>
    <t>https://image.skechers.com/img/productimages/xlarge/205227_CHOC_A.jpg</t>
  </si>
  <si>
    <t>205227CHOC-43R</t>
  </si>
  <si>
    <t>CHOC</t>
  </si>
  <si>
    <t>205227CHOC</t>
  </si>
  <si>
    <t>Chocolate Leather</t>
  </si>
  <si>
    <t>https://image.skechers.com/img/productimages/xlarge/205333_BBK_A.jpg</t>
  </si>
  <si>
    <t>205333BBK-43R</t>
  </si>
  <si>
    <t>205333BBK</t>
  </si>
  <si>
    <t>POLLARD</t>
  </si>
  <si>
    <t>WAYLON</t>
  </si>
  <si>
    <t>Smooth Toe Leather Lace Up Slip-Ins Boot</t>
  </si>
  <si>
    <t>Black Leather / Synthetic</t>
  </si>
  <si>
    <t>Skechers Hands Free Slip-ins® for an easy fit
Heel Pillow® holds your foot securely in place
Skechers Air-Cooled Memory Foam® cushioned comfort insole
Charcoal infused insole helps neutralize potential odor
Relaxed Fit® for a roomy comfort fit at toe and forefoot
Anti-slip under wet and dry conditions</t>
  </si>
  <si>
    <t>Goodyear® Rubber Outsole delivers enhanced traction, stability, and durability
Leather and synthetic upper with laced slip-on style
Mid-top outdoor boot
1 1/2-inch heel height
2 1/2-inch shaft height
Skechers® logo detail</t>
  </si>
  <si>
    <t>Air-Cooled MF
Anti-Slip Under Wet and Dry Conditions
Charcoal MF
Die Cut
Goodyear Rubber
Relaxed Fit
Slip-Ins</t>
  </si>
  <si>
    <t>ALL-SLIP-INS-U-130831</t>
  </si>
  <si>
    <t>https://image.skechers.com/img/productimages/xlarge/205333_COC_A.jpg</t>
  </si>
  <si>
    <t>205333COC-43R</t>
  </si>
  <si>
    <t>COC</t>
  </si>
  <si>
    <t>205333COC</t>
  </si>
  <si>
    <t>Cocoa Leather / Synthetic</t>
  </si>
  <si>
    <t>https://image.skechers.com/img/productimages/xlarge/205587_BLK_A.jpg</t>
  </si>
  <si>
    <t>205587BLK-43R</t>
  </si>
  <si>
    <t>205587BLK</t>
  </si>
  <si>
    <t>SANTORO</t>
  </si>
  <si>
    <t>HOPKINS</t>
  </si>
  <si>
    <t>Mid Top Leather Lace Up boot W/ Mesh On Collar</t>
  </si>
  <si>
    <t>Black Leather / Synthetic / Mesh</t>
  </si>
  <si>
    <t>Relaxed Fit® for a roomy comfort fit at toe and forefoot
Skechers Air-Cooled Memory Foam® cushioned comfort insole
Charcoal-infused insole helps neutralize potential odor
Goodyear® Rubber Outsole delivers enhanced traction, stability and durability
Anti-slip under wet and dry conditions</t>
  </si>
  <si>
    <t>Leather and synthetic upper with mesh collar
Mid-top boot with lace-up front
1 1/2-inch heel height
Skechers® logo detail</t>
  </si>
  <si>
    <t>Air-Cooled MF
Anti-Slip Under Wet and Dry Conditions
Charcoal MF
Die Cut
Goodyear Rubber
Relaxed Fit</t>
  </si>
  <si>
    <t>https://image.skechers.com/img/productimages/xlarge/205587_COC_A.jpg</t>
  </si>
  <si>
    <t>205587COC-43R</t>
  </si>
  <si>
    <t>205587COC</t>
  </si>
  <si>
    <t>Cocoa Leather / Synthetic / Mesh</t>
  </si>
  <si>
    <t>https://image.skechers.com/img/productimages/xlarge/205656_BBK_A.jpg</t>
  </si>
  <si>
    <t>205656BBK-43R</t>
  </si>
  <si>
    <t>205656BBK</t>
  </si>
  <si>
    <t>ARCH FIT CROSSER</t>
  </si>
  <si>
    <t>FELIX</t>
  </si>
  <si>
    <t>Leather Bungee Lace Slip-Ins W/ Heel Pull Tab</t>
  </si>
  <si>
    <t>Air-Cooled
Arch Fit
Charcoal MF
Memory Arch
No Tie Fit
Relaxed Fit
Slip-Ins</t>
  </si>
  <si>
    <t>ALL-SLIP-INS ARCH FIT-U-134181</t>
  </si>
  <si>
    <t>https://image.skechers.com/img/productimages/xlarge/205656_CDB_A.jpg</t>
  </si>
  <si>
    <t>205656CDB-43R</t>
  </si>
  <si>
    <t>205656CDB</t>
  </si>
  <si>
    <t>Dark Brown Leather / Synthetic / Mesh</t>
  </si>
  <si>
    <t>https://image.skechers.com/img/productimages/xlarge/205732_BBK_A.jpg</t>
  </si>
  <si>
    <t>205732BBK-43R</t>
  </si>
  <si>
    <t>205732BBK</t>
  </si>
  <si>
    <t>HASTING</t>
  </si>
  <si>
    <t>GRAHAM</t>
  </si>
  <si>
    <t>Leather Dual Gore Slip-Ins Loafer</t>
  </si>
  <si>
    <t>Air-Cooled MF
Charcoal MF
Die Cut
Relaxed Fit
Slip-Ins</t>
  </si>
  <si>
    <t>https://image.skechers.com/img/productimages/xlarge/210808_BBK_A.jpg</t>
  </si>
  <si>
    <t>210808BBK-43R</t>
  </si>
  <si>
    <t>210808BBK</t>
  </si>
  <si>
    <t>SLADE</t>
  </si>
  <si>
    <t>LUCAN</t>
  </si>
  <si>
    <t>Dual Gore Mesh Slip On W/ Synthetic Toe &amp; Heel</t>
  </si>
  <si>
    <t>Black Mesh / Synthetic</t>
  </si>
  <si>
    <t>Skechers Air-Cooled Memory Foam® cushioned comfort insole
Charcoal infused insole helps neutralize potential odor
Skechers Goga Mat Arch™ cushioning for added support
Crafted with 100% vegan materials</t>
  </si>
  <si>
    <t>Mesh and synthetic upper
Flexible traction outsole
1 1/4-inch heel height
Machine washable
Skechers® logo detail</t>
  </si>
  <si>
    <t>CMS - USA STREET WEAR MENS</t>
  </si>
  <si>
    <t>Air-Cooled MF
Charcoal MF
Goga Mat Arch
Machine Washable
Relaxed Fit
Vegan</t>
  </si>
  <si>
    <t>STREETWEAR RF AIR COOLED</t>
  </si>
  <si>
    <t>https://image.skechers.com/img/productimages/xlarge/210889_BBK_A.jpg</t>
  </si>
  <si>
    <t>210889BBK-43R</t>
  </si>
  <si>
    <t>210889BBK</t>
  </si>
  <si>
    <t>CASTER</t>
  </si>
  <si>
    <t>Knitted Mesh Bungee Lace W/ Quarter Cage Slip-Ins</t>
  </si>
  <si>
    <t>Black Knitted Mesh / Synthetic</t>
  </si>
  <si>
    <t>Skechers Hands Free Slip-ins® molded heel panel for an easy fit
Heel Pillow® holds your foot securely in place
Skechers Air-Cooled Memory Foam® cushioned comfort insole
Charcoal infused insole helps neutralize potential odor
Skechers Goga Mat Arch™ cushioning for added support
Relaxed Fit® for a roomy comfort fit at toe and forefoot</t>
  </si>
  <si>
    <t>Crafted with 100% vegan materials
Mesh knit upper with stretch laces
Shock-absorbing lightweight and flexible midsole
Flexible traction outsole
1-inch heel height
Skechers® logo detail</t>
  </si>
  <si>
    <t>Air-Cooled MF
Charcoal MF
Goga Mat Arch
Heel Pillow
Relaxed Fit
Slip-Ins
Vegan</t>
  </si>
  <si>
    <t>ALL-UNISEX SLIP-INS-U-51034</t>
  </si>
  <si>
    <t>https://image.skechers.com/img/productimages/xlarge/210889_KHK_A.jpg</t>
  </si>
  <si>
    <t>210889KHK-43R</t>
  </si>
  <si>
    <t>KHK</t>
  </si>
  <si>
    <t>210889KHK</t>
  </si>
  <si>
    <t>Khaki Knitted Mesh / Synthetic</t>
  </si>
  <si>
    <t>https://image.skechers.com/img/productimages/xlarge/210889_LTGY_A.jpg</t>
  </si>
  <si>
    <t>210889LTGY-43R</t>
  </si>
  <si>
    <t>210889LTGY</t>
  </si>
  <si>
    <t>Lt. Gray Knitted Mesh / Synthetic</t>
  </si>
  <si>
    <t>https://image.skechers.com/img/productimages/xlarge/210925_BLK_A.jpg</t>
  </si>
  <si>
    <t>210925BLK-43R</t>
  </si>
  <si>
    <t>210925BLK</t>
  </si>
  <si>
    <t>SLADE ULTRA</t>
  </si>
  <si>
    <t>PERALTO</t>
  </si>
  <si>
    <t>Leather Lace Up W/ Heel Pull Tab</t>
  </si>
  <si>
    <t>Skechers Air-Cooled Memory Foam® cushioned comfort insole
Charcoal infused insole helps neutralize potential odor
Skechers Goga Mat Arch™ cushioning for added support</t>
  </si>
  <si>
    <t>Lace-up leather upper
Flexible traction outsole
1 1/4-inch heel height
Skechers® logo detail</t>
  </si>
  <si>
    <t>Air-Cooled MF
Charcoal MF
Goga Mat Arch
Relaxed Fit</t>
  </si>
  <si>
    <t>https://image.skechers.com/img/productimages/xlarge/210925_COC_A.jpg</t>
  </si>
  <si>
    <t>210925COC-43R</t>
  </si>
  <si>
    <t>210925COC</t>
  </si>
  <si>
    <t>https://image.skechers.com/img/productimages/xlarge/210932_BLK_A.jpg</t>
  </si>
  <si>
    <t>210932BLK-43R</t>
  </si>
  <si>
    <t>210932BLK</t>
  </si>
  <si>
    <t>CAMBERT</t>
  </si>
  <si>
    <t>HARLAN</t>
  </si>
  <si>
    <t>Mid Waterproof Lace Up Sneaker Boot</t>
  </si>
  <si>
    <t>Black Leather / Mesh</t>
  </si>
  <si>
    <t>Air-Cooled MF
Charcoal MF
Classic Fit
Goga Mat Arch
Waterproof</t>
  </si>
  <si>
    <t>STREETWEAR CLASSIC FIT AC</t>
  </si>
  <si>
    <t>https://image.skechers.com/img/productimages/xlarge/210932_COC_A.jpg</t>
  </si>
  <si>
    <t>210932COC-43R</t>
  </si>
  <si>
    <t>210932COC</t>
  </si>
  <si>
    <t>Cocoa Leather / Mesh</t>
  </si>
  <si>
    <t>https://image.skechers.com/img/productimages/xlarge/210986_BKGY_A.jpg</t>
  </si>
  <si>
    <t>210986BKGY-43R</t>
  </si>
  <si>
    <t>210986BKGY</t>
  </si>
  <si>
    <t>LANCER</t>
  </si>
  <si>
    <t>DALTON</t>
  </si>
  <si>
    <t>Knitted Mesh Lace Up Sneaker</t>
  </si>
  <si>
    <t>Black Gray Knit / Synthetic</t>
  </si>
  <si>
    <t>Skechers Air-Cooled Memory Foam® cushioned comfort insole
Charcoal infused insole helps neutralize potential odor
Skechers Memory Arch™ cushioning for added support
Relaxed Fit® for a roomy comfort fit at toe and forefoot
Crafted with 100% vegan materials</t>
  </si>
  <si>
    <t>Knitted mesh and synthetic upper
Laced slip-on style
Flexible traction outsole
1-inch heel height
Skechers® logo detail</t>
  </si>
  <si>
    <t>Air-Cooled MF
Charcoal MF
Memory Arch
Relaxed Fit
Vegan</t>
  </si>
  <si>
    <t>https://image.skechers.com/img/productimages/xlarge/210986_TPMT_A.jpg</t>
  </si>
  <si>
    <t>210986TPMT-43R</t>
  </si>
  <si>
    <t>210986TPMT</t>
  </si>
  <si>
    <t>Taupe Multi Knit / Synthetic</t>
  </si>
  <si>
    <t>https://image.skechers.com/img/productimages/xlarge/210986_WGY_A.jpg</t>
  </si>
  <si>
    <t>210986WGY-43R</t>
  </si>
  <si>
    <t>210986WGY</t>
  </si>
  <si>
    <t>White Gray Knit / Synthetic</t>
  </si>
  <si>
    <t>https://image.skechers.com/img/productimages/xlarge/211145_BBK_A.jpg</t>
  </si>
  <si>
    <t>211145BBK-43R</t>
  </si>
  <si>
    <t>211145BBK</t>
  </si>
  <si>
    <t>CONNER</t>
  </si>
  <si>
    <t>MILTON</t>
  </si>
  <si>
    <t>Knitted Slip-Ins Sneaker W/ Tongue Pull Tab</t>
  </si>
  <si>
    <t>Black Knit / Synthetic</t>
  </si>
  <si>
    <t>Skechers Hands Free Slip-ins® for an easy fit
Heel Pillow® holds your foot securely in place
Relaxed Fit® for a roomy comfort fit at toe and forefoot
Skechers Air-Cooled Memory Foam® cushioned comfort insole
Charcoal infused insole helps neutralize potential odor
Skechers Memory Arch™ cushioning for added support</t>
  </si>
  <si>
    <t>Knit upper in a laceless fit
Crafted with 100% vegan materials
Goodyear® Rubber Outsole delivers enhanced traction, stability and durability
Anti-slip under wet and dry conditions
1 1/4-inch heel height
Machine washable
Skechers® logo detail</t>
  </si>
  <si>
    <t>Air-Cooled MF
Anti-Slip Under Wet and Dry Conditions
Charcoal MF
Goodyear Rubber
Machine Washable
Memory Arch
Relaxed Fit
Slip-Ins
Vegan</t>
  </si>
  <si>
    <t>https://image.skechers.com/img/productimages/xlarge/211145_GRY_A.jpg</t>
  </si>
  <si>
    <t>211145GRY-43R</t>
  </si>
  <si>
    <t>211145GRY</t>
  </si>
  <si>
    <t>Gray Knit / Synthetic</t>
  </si>
  <si>
    <t>https://image.skechers.com/img/productimages/xlarge/211145_TPE_A.jpg</t>
  </si>
  <si>
    <t>211145TPE-43R</t>
  </si>
  <si>
    <t>211145TPE</t>
  </si>
  <si>
    <t>Taupe Knit / Synthetic</t>
  </si>
  <si>
    <t>https://image.skechers.com/img/productimages/xlarge/211182_BKGY_A.jpg</t>
  </si>
  <si>
    <t>211182BKGY-43R</t>
  </si>
  <si>
    <t>211182BKGY</t>
  </si>
  <si>
    <t>TURNER</t>
  </si>
  <si>
    <t>Leather Waterproof Lace Up Slip-Ins Boot</t>
  </si>
  <si>
    <t>Black Gray Leather / Synthetic / Mesh</t>
  </si>
  <si>
    <t>Skechers Hands Free Slip-ins® for an easy fit
Heel Pillow® holds your foot securely in place
Seam-sealed waterproof design
Relaxed Fit® for a roomy comfort fit at toe and forefoot
Skechers Air-Cooled Memory Foam® cushioned comfort insole
Charcoal-infused insole helps neutralize potential odor</t>
  </si>
  <si>
    <t>Leather upper with mesh collar and adjustable laces
Mid-top slip-on boot
Skechers Memory Arch™ cushioning for added support
Shock-absorbing lightweight midsole
Flexible traction outsole
1-inch heel height
Skechers® logo detail</t>
  </si>
  <si>
    <t>Air-Cooled MF
Charcoal MF
Waterproof
Memory Arch
Relaxed Fit
Slip-Ins</t>
  </si>
  <si>
    <t>https://image.skechers.com/img/productimages/xlarge/211182_COC_A.jpg</t>
  </si>
  <si>
    <t>211182COC-43R</t>
  </si>
  <si>
    <t>211182COC</t>
  </si>
  <si>
    <t>https://image.skechers.com/img/productimages/xlarge/211319_BBK_A.jpg</t>
  </si>
  <si>
    <t>211319BBK-43R</t>
  </si>
  <si>
    <t>211319BBK</t>
  </si>
  <si>
    <t>ARCH FIT ORVAN</t>
  </si>
  <si>
    <t>HUNTER</t>
  </si>
  <si>
    <t>Bungee Lace Slip-Ins Sneaker</t>
  </si>
  <si>
    <t>Skechers Hands Free Slip-ins® for an easy fit
Heel Pillow® holds your foot securely in place
Relaxed Fit® for a roomy comfort fit at toe and forefoot
Glide-Step® geometric midsole designed to provide natural momentum with every step
Patented Skechers Arch Fit® insole system with podiatrist-certified arch support developed with 20 years of data and 120,000 unweighted foot scans
Removable insole helps mold to your foot to reduce shock and increase weight dispersion</t>
  </si>
  <si>
    <t>Mesh and synthetic upper with fixed stretch laces
Crafted with 100% vegan materials
No Tie Fit® - laces never come untied
Flexible traction outsole
1 1/4-inch heel height
Skechers® and Arch Fit® logo details</t>
  </si>
  <si>
    <t>Air-Cooled
Arch Fit
Glide-Step
No Tie Fit
Relaxed Fit
Slip-Ins
Vegan</t>
  </si>
  <si>
    <t>https://image.skechers.com/img/productimages/xlarge/211319_CHAR_A.jpg</t>
  </si>
  <si>
    <t>211319CHAR-43R</t>
  </si>
  <si>
    <t>211319CHAR</t>
  </si>
  <si>
    <t>Charcoal Mesh / Synthetic</t>
  </si>
  <si>
    <t>https://image.skechers.com/img/productimages/xlarge/211325_BBK_A.jpg</t>
  </si>
  <si>
    <t>211325BBK-43R</t>
  </si>
  <si>
    <t>211325BBK</t>
  </si>
  <si>
    <t>SLOAN</t>
  </si>
  <si>
    <t>ORBITAL</t>
  </si>
  <si>
    <t>Knitted Bungee Lace Slip-Ins</t>
  </si>
  <si>
    <t>Air-Cooled MF
Charcoal MF
Glide-Step
Memory Arch
No Tie Fit
Relaxed Fit
Skech-Air
Slip-Ins
Vegan</t>
  </si>
  <si>
    <t>https://image.skechers.com/img/productimages/xlarge/211325_BLK_A.jpg</t>
  </si>
  <si>
    <t>211325BLK-43R</t>
  </si>
  <si>
    <t>211325BLK</t>
  </si>
  <si>
    <t>https://image.skechers.com/img/productimages/xlarge/211325_KHK_A.jpg</t>
  </si>
  <si>
    <t>211325KHK-43R</t>
  </si>
  <si>
    <t>211325KHK</t>
  </si>
  <si>
    <t>Khaki Knit / Synthetic</t>
  </si>
  <si>
    <t>https://image.skechers.com/img/productimages/xlarge/211367_BBK_A.jpg</t>
  </si>
  <si>
    <t>211367BBK-43R</t>
  </si>
  <si>
    <t>211367BBK</t>
  </si>
  <si>
    <t>BADGER</t>
  </si>
  <si>
    <t>KODA</t>
  </si>
  <si>
    <t>Bungee Lace Waterproof Slip-Ins Sneaker</t>
  </si>
  <si>
    <t>Black Synthetic / Mesh</t>
  </si>
  <si>
    <t>Air-Cooled MF
Charcoal MF
Goodyear Rubber
Waterproof
Memory Arch
No Tie Fit
Relaxed Fit
Slip-Ins</t>
  </si>
  <si>
    <t>https://image.skechers.com/img/productimages/xlarge/211367_KHK_A.jpg</t>
  </si>
  <si>
    <t>211367KHK-43R</t>
  </si>
  <si>
    <t>211367KHK</t>
  </si>
  <si>
    <t>Khaki Synthetic / Mesh</t>
  </si>
  <si>
    <t>https://image.skechers.com/img/productimages/xlarge/211367_OLV_A.jpg</t>
  </si>
  <si>
    <t>211367OLV-43R</t>
  </si>
  <si>
    <t>211367OLV</t>
  </si>
  <si>
    <t>https://image.skechers.com/img/productimages/xlarge/211376_BLK_A.jpg</t>
  </si>
  <si>
    <t>211376BLK-43R</t>
  </si>
  <si>
    <t>211376BLK</t>
  </si>
  <si>
    <t>DRACO</t>
  </si>
  <si>
    <t>Bungee Lace Slip-Ins Sneaker W/ Synthetic Overlays</t>
  </si>
  <si>
    <t>Air-Cooled MF
Charcoal MF
Memory Arch
No Tie Fit
Relaxed Fit
Slip-Ins</t>
  </si>
  <si>
    <t>https://image.skechers.com/img/productimages/xlarge/211376_TPE_A.jpg</t>
  </si>
  <si>
    <t>211376TPE-43R</t>
  </si>
  <si>
    <t>211376TPE</t>
  </si>
  <si>
    <t>https://image.skechers.com/img/productimages/xlarge/211392_BBK_A.jpg</t>
  </si>
  <si>
    <t>211392BBK-43R</t>
  </si>
  <si>
    <t>211392BBK</t>
  </si>
  <si>
    <t>SLADE 2.0</t>
  </si>
  <si>
    <t>Bungee Lace Perforated Slip-Ins Sneaker</t>
  </si>
  <si>
    <t>https://image.skechers.com/img/productimages/xlarge/211392_CHOC_A.jpg</t>
  </si>
  <si>
    <t>211392CHOC-43R</t>
  </si>
  <si>
    <t>211392CHOC</t>
  </si>
  <si>
    <t>Chocolate Action Leather / Synthetic</t>
  </si>
  <si>
    <t>https://image.skechers.com/img/productimages/xlarge/211403_TPBK_A.jpg</t>
  </si>
  <si>
    <t>211403TPBK-43R</t>
  </si>
  <si>
    <t>TPBK</t>
  </si>
  <si>
    <t>211403TPBK</t>
  </si>
  <si>
    <t>ARCH FIT ORVAN ULTRA</t>
  </si>
  <si>
    <t>TALON</t>
  </si>
  <si>
    <t>Taupe Black Leather / Synthetic / Mesh</t>
  </si>
  <si>
    <t>Air-Cooled
Arch Fit
Glide-Step
Goodyear Rubber
No Tie Fit
Relaxed Fit
Slip-Ins</t>
  </si>
  <si>
    <t>https://image.skechers.com/img/productimages/xlarge/211448_BBK_A.jpg</t>
  </si>
  <si>
    <t>211448BBK-43R</t>
  </si>
  <si>
    <t>211448BBK</t>
  </si>
  <si>
    <t>RONAN</t>
  </si>
  <si>
    <t>Bungee Lace Slip-Ins W/ Perf Quarter</t>
  </si>
  <si>
    <t>https://image.skechers.com/img/productimages/xlarge/211448_LTBR_A.jpg</t>
  </si>
  <si>
    <t>211448LTBR-43R</t>
  </si>
  <si>
    <t>LTBR</t>
  </si>
  <si>
    <t>211448LTBR</t>
  </si>
  <si>
    <t>Lt. Brown Synthetic / Mesh</t>
  </si>
  <si>
    <t>https://image.skechers.com/img/productimages/xlarge/216354_BBK_A.jpg</t>
  </si>
  <si>
    <t>216354BBK-44G</t>
  </si>
  <si>
    <t>216354BBK</t>
  </si>
  <si>
    <t>JONAH</t>
  </si>
  <si>
    <t>Two-tone engineered knit upper with fixed stretch laces
Crafted with 100% vegan materials
No Tie Fit™ - laces never come untied
Flexible traction outsole
2-inch heel height
Machine washable
Skechers® and Arch Fit® logo details</t>
  </si>
  <si>
    <t>GOM - GO WALK MENS</t>
  </si>
  <si>
    <t>https://image.skechers.com/img/productimages/xlarge/216354_GYCC_A.jpg</t>
  </si>
  <si>
    <t>216354GYCC-44G</t>
  </si>
  <si>
    <t>GYCC</t>
  </si>
  <si>
    <t>216354GYCC</t>
  </si>
  <si>
    <t>Gray And Charcoal Textile/Synthetic</t>
  </si>
  <si>
    <t>https://image.skechers.com/img/productimages/xlarge/216373_BBK_A.jpg</t>
  </si>
  <si>
    <t>216373BBK-44G</t>
  </si>
  <si>
    <t>216373BBK</t>
  </si>
  <si>
    <t>VILIGENT</t>
  </si>
  <si>
    <t>Heathered Jersey Lace Up W/ Hotmelt Heel And Toe Cap</t>
  </si>
  <si>
    <t>Black</t>
  </si>
  <si>
    <t>Skechers Air-Cooled Goga Mat™ breathable insole with high-rebound cushioning
Ultra-lightweight Skechers Soft Stride™ cushioning foam for added comfort
Lightweight, responsive ULTRA LIGHT midsole cushioning</t>
  </si>
  <si>
    <t>Lace-up mesh and synthetic upper
Flexible traction outsoles
1 1/2-inch heel height
Machine washable
Skechers® logo detail</t>
  </si>
  <si>
    <t>Air Cooled Goga Mat Insole
Machine Washable
Soft Stride
Vegan
Ultra Light Cushioning</t>
  </si>
  <si>
    <t>https://image.skechers.com/img/productimages/xlarge/216373_BLK_A.jpg</t>
  </si>
  <si>
    <t>216373BLK-44G</t>
  </si>
  <si>
    <t>216373BLK</t>
  </si>
  <si>
    <t>https://image.skechers.com/img/productimages/xlarge/216373_GRY_A.jpg</t>
  </si>
  <si>
    <t>216373GRY-44G</t>
  </si>
  <si>
    <t>216373GRY</t>
  </si>
  <si>
    <t>https://image.skechers.com/img/productimages/xlarge/216373_OFWT_A.jpg</t>
  </si>
  <si>
    <t>216373OFWT-44G</t>
  </si>
  <si>
    <t>216373OFWT</t>
  </si>
  <si>
    <t>https://image.skechers.com/img/productimages/xlarge/216373_TPE_A.jpg</t>
  </si>
  <si>
    <t>216373TPE-44G</t>
  </si>
  <si>
    <t>216373TPE</t>
  </si>
  <si>
    <t>https://image.skechers.com/img/productimages/xlarge/216660_DKTP_A.jpg</t>
  </si>
  <si>
    <t>216660DKTP-44G</t>
  </si>
  <si>
    <t>216660DKTP</t>
  </si>
  <si>
    <t>ZAC</t>
  </si>
  <si>
    <t>Slip-Ins Grid Mesh Lace Up W/  Angular Blocked Overlays</t>
  </si>
  <si>
    <t>Dark Taupe Synthetic/Textile Trim</t>
  </si>
  <si>
    <t>Skechers Hands Free Slip-ins® for an easy fit
Heel Pillow® holds your foot securely in place
Skechers Air-Cooled Goga Mat™ breathable insole with high-rebound cushioning
Glide-Step® geometric midsole designed to provide natural momentum with every step
Lightweight, responsive ULTRA GO® cushioning
Ultra-lightweight Skechers® Soft Stride™ cushioning foam for added comfort</t>
  </si>
  <si>
    <t>Grid mesh upper with synthetic overlays and adjustable laces
Flexible traction outsole
1 1/2-inch heel height
Machine washable
Skechers®  logo detail</t>
  </si>
  <si>
    <t>Air Cooled Goga Mat Insole
Glide-Step
Heel Pillow
Machine Washable
Soft Stride
Slip-Ins
Ultra Go Midsole Foam
Vegan</t>
  </si>
  <si>
    <t>https://image.skechers.com/img/productimages/xlarge/216660_OFWT_A.jpg</t>
  </si>
  <si>
    <t>216660OFWT-44G</t>
  </si>
  <si>
    <t>216660OFWT</t>
  </si>
  <si>
    <t>Off White Synthetic/Textile Trim</t>
  </si>
  <si>
    <t>https://image.skechers.com/img/productimages/xlarge/216660WW_BBK_A.jpg</t>
  </si>
  <si>
    <t>216660WWBBK-44G</t>
  </si>
  <si>
    <t>216660WW</t>
  </si>
  <si>
    <t>216660WWBBK</t>
  </si>
  <si>
    <t>Slip-Ins - Grid Mesh Lace Up W/  Angular Blocked Overlays</t>
  </si>
  <si>
    <t>Black Synthetic/Textile Trim</t>
  </si>
  <si>
    <t>Air Cooled Goga Mat Insole
Extra Wide Fit
Glide-Step
Heel Pillow
Slip-Ins
Ultra Go</t>
  </si>
  <si>
    <t>https://image.skechers.com/img/productimages/xlarge/216741_BBK_A.jpg</t>
  </si>
  <si>
    <t>216741BBK-44G</t>
  </si>
  <si>
    <t>216741BBK</t>
  </si>
  <si>
    <t>JUSTIN</t>
  </si>
  <si>
    <t>Slip-Ins Athletic Engineered Mesh Bungee</t>
  </si>
  <si>
    <t>APMA Seal of Acceptance
Arch Fit
Heel Pillow
Machine Washable
No Tie Fit
Slip-Ins
Ultra Flight
Hyper Arc</t>
  </si>
  <si>
    <t>https://image.skechers.com/img/productimages/xlarge/216741_BKMT_A.jpg</t>
  </si>
  <si>
    <t>216741BKMT-44G</t>
  </si>
  <si>
    <t>216741BKMT</t>
  </si>
  <si>
    <t>Black Textile/Multi Trim</t>
  </si>
  <si>
    <t>https://image.skechers.com/img/productimages/xlarge/216777_BBK_A.jpg</t>
  </si>
  <si>
    <t>216777BBK-44G</t>
  </si>
  <si>
    <t>216777BBK</t>
  </si>
  <si>
    <t>GABE</t>
  </si>
  <si>
    <t>Stretch Knit High Apex Slip 0n</t>
  </si>
  <si>
    <t>Skechers Air-Cooled Goga Mat™ breathable insole with high-rebound cushioning
High-rebound Ultra Pillars® underfoot react to your every step for ultimate comfort
Lightweight, responsive ULTRA GO® Foam midsole cushioning
Ultra-lightweight Skechers® Soft Stride™ cushioning foam for added comfort
Stretch Fit® design for sock-like comfort</t>
  </si>
  <si>
    <t>Stretch knit upper in a laceless fit
Durable dual-density traction outsole for stability
1 1/2-inch heel height
Machine washable
Skechers® logo detail</t>
  </si>
  <si>
    <t>Air Cooled Goga Mat Insole
Dual-Density
Machine Washable
Soft Stride
Stretch Fit
Ultra Go Midsole Foam</t>
  </si>
  <si>
    <t>https://image.skechers.com/img/productimages/xlarge/216777_NVY_A.jpg</t>
  </si>
  <si>
    <t>216777NVY-44G</t>
  </si>
  <si>
    <t>216777NVY</t>
  </si>
  <si>
    <t>https://image.skechers.com/img/productimages/xlarge/216782_BBK_A.jpg</t>
  </si>
  <si>
    <t>216782BBK-43R</t>
  </si>
  <si>
    <t>216782BBK</t>
  </si>
  <si>
    <t>DAY</t>
  </si>
  <si>
    <t>Slip - On Two-Toned Flat Knit Bungee</t>
  </si>
  <si>
    <t>Skechers Air-Cooled Goga Mat™ breathable insole with high-rebound cushioning
Lightweight, responsive ULTRA GO® Foam midsole cushioning
High-rebound Ultra Pillars® underfoot react to your every step for ultimate comfort
Ultra-lightweight Skechers® Soft Stride™ cushioning foam for added comfort
No Tie Fit® - laces never come untied
Crafted with 100% vegan materials</t>
  </si>
  <si>
    <t>Flat knit upper with fixed stretch laces
Durable dual-density traction outsole for stability
1 1/2-inch heel height
Machine washable
Skechers® logo detail</t>
  </si>
  <si>
    <t>Air Cooled Goga Mat Insole
Dual-Density
Machine Washable
No Tie Fit
Soft Stride
Ultra Go Midsole Foam</t>
  </si>
  <si>
    <t>https://image.skechers.com/img/productimages/xlarge/216782_GYYL_A.jpg</t>
  </si>
  <si>
    <t>216782GYYL-44G</t>
  </si>
  <si>
    <t>GYYL</t>
  </si>
  <si>
    <t>216782GYYL</t>
  </si>
  <si>
    <t>Gray Textile/Yellow Trim</t>
  </si>
  <si>
    <t>https://image.skechers.com/img/productimages/xlarge/216782WW_BKW_A.jpg</t>
  </si>
  <si>
    <t>216782WWBKW-44G</t>
  </si>
  <si>
    <t>216782WW</t>
  </si>
  <si>
    <t>216782WWBKW</t>
  </si>
  <si>
    <t>Slip - On Flat Knit Bungee</t>
  </si>
  <si>
    <t>Air Cooled Goga Mat Insole
Dual-Density
Extra Wide Fit
Machine Washable
No Tie Fit
Soft Stride
Ultra Go</t>
  </si>
  <si>
    <t>https://image.skechers.com/img/productimages/xlarge/216789_BBK_A.jpg</t>
  </si>
  <si>
    <t>216789BBK-44G</t>
  </si>
  <si>
    <t>216789BBK</t>
  </si>
  <si>
    <t>Slip-Ins - Engineered monomesh Bungee</t>
  </si>
  <si>
    <t>Air Cooled Goga Mat Insole
Dual-Density Outsole
Heel Pillow
Hyper Pillar Technology
Machine Washable
No Tie Fit
Soft Stride
Slip-Ins
Ultra Go Midsole Foam</t>
  </si>
  <si>
    <t>https://image.skechers.com/img/productimages/xlarge/216789_BLK_A.jpg</t>
  </si>
  <si>
    <t>216789BLK-44G</t>
  </si>
  <si>
    <t>216789BLK</t>
  </si>
  <si>
    <t>https://image.skechers.com/img/productimages/xlarge/216789_NVY_A.jpg</t>
  </si>
  <si>
    <t>216789NVY-44G</t>
  </si>
  <si>
    <t>216789NVY</t>
  </si>
  <si>
    <t>https://image.skechers.com/img/productimages/xlarge/216789_OFWT_A.jpg</t>
  </si>
  <si>
    <t>216789OFWT-44G</t>
  </si>
  <si>
    <t>216789OFWT</t>
  </si>
  <si>
    <t>https://image.skechers.com/img/productimages/xlarge/216812_BKW_A.jpg</t>
  </si>
  <si>
    <t>216812BKW-44G</t>
  </si>
  <si>
    <t>216812BKW</t>
  </si>
  <si>
    <t>PERCY</t>
  </si>
  <si>
    <t>Slip-Ins - Circular Knit Bungee Slip-On</t>
  </si>
  <si>
    <t>Circular knit upper with stretch laces
Crafted with 100% vegan materials
No Tie Fit™ - laces never come untied
High-rebound Comfort Pillars™ for added support
Durable dual-density traction outsole for stability
Machine washable
1 3/4-inch heel height
Skechers® and Arch Fit® logo details</t>
  </si>
  <si>
    <t>APMA Seal of Acceptance
Arch Fit
Comfort Pillar Technology
Dual-Density
Heel Pillow
Machine Washable
No Tie Fit
Slip-Ins
Ultra Go Midsole Foam</t>
  </si>
  <si>
    <t>https://image.skechers.com/img/productimages/xlarge/216812_CHAR_A.jpg</t>
  </si>
  <si>
    <t>216812CHAR-44G</t>
  </si>
  <si>
    <t>216812CHAR</t>
  </si>
  <si>
    <t>https://image.skechers.com/img/productimages/xlarge/216812_TAN_A.jpg</t>
  </si>
  <si>
    <t>216812TAN-44G</t>
  </si>
  <si>
    <t>216812TAN</t>
  </si>
  <si>
    <t>Tan Textile/Trim</t>
  </si>
  <si>
    <t>https://image.skechers.com/img/productimages/xlarge/216812WW_BBK_A.jpg</t>
  </si>
  <si>
    <t>216812WWBBK-44G</t>
  </si>
  <si>
    <t>216812WW</t>
  </si>
  <si>
    <t>216812WWBBK</t>
  </si>
  <si>
    <t>https://image.skechers.com/img/productimages/xlarge/216816_BBK_A.jpg</t>
  </si>
  <si>
    <t>216816BBK-44G</t>
  </si>
  <si>
    <t>216816BBK</t>
  </si>
  <si>
    <t>LEVY</t>
  </si>
  <si>
    <t>Athletic Engineered Mesh Bungee</t>
  </si>
  <si>
    <t>This design has been granted the Seal of Acceptance by the American Podiatric Medical Association (APMA)
Patented Skechers Arch Fit® insole system with podiatrist-certified arch support, developed with 20 years of data and 120,000 unweighted foot scans
Removable insole helps mold to your foot to reduce shock and increase weight dispersion
Lightweight, responsive ULTRA GO® Foam midsole cushioning
High-rebound Comfort Pillars™ for added support
No Tie Fit® - laces never come untied</t>
  </si>
  <si>
    <t>Engineered mesh upper with fixed stretch laces
Crafted with 100% vegan materials
Durable dual-density traction outsole for stability
1 3/4-inch heel height
Machine washable
Skechers® and Arch Fit® logo details</t>
  </si>
  <si>
    <t>APMA Seal of Acceptance
Arch Fit
Comfort Pillar Technology
Dual-Density
Machine Washable
No Tie Fit
Ultra Go Midsole Foam
Vegan</t>
  </si>
  <si>
    <t>https://image.skechers.com/img/productimages/xlarge/216816_BKW_A.jpg</t>
  </si>
  <si>
    <t>216816BKW-44G</t>
  </si>
  <si>
    <t>216816BKW</t>
  </si>
  <si>
    <t>https://image.skechers.com/img/productimages/xlarge/217017_BBK_A.jpg</t>
  </si>
  <si>
    <t>217017BBK-44G</t>
  </si>
  <si>
    <t>217017BBK</t>
  </si>
  <si>
    <t>MASER</t>
  </si>
  <si>
    <t>Slip-Ins - Two Toned Engineered Mesh Bungee W/ Embroidery Details</t>
  </si>
  <si>
    <t>Two-tone engineered mesh upper with stretch laces
Crafted with 100% vegan materials
No Tie Fit™ - laces never come untied
Flexible traction outsole
1 1/2-inch heel height
Machine washable
Skechers® logo detail</t>
  </si>
  <si>
    <t>https://image.skechers.com/img/productimages/xlarge/217017_BKW_A.jpg</t>
  </si>
  <si>
    <t>217017BKW-44G</t>
  </si>
  <si>
    <t>217017BKW</t>
  </si>
  <si>
    <t>https://image.skechers.com/img/productimages/xlarge/217017_GYBK_A.jpg</t>
  </si>
  <si>
    <t>217017GYBK-44G</t>
  </si>
  <si>
    <t>GYBK</t>
  </si>
  <si>
    <t>217017GYBK</t>
  </si>
  <si>
    <t>Gray Textile/Black Trim</t>
  </si>
  <si>
    <t>https://image.skechers.com/img/productimages/xlarge/217020_BBK_A.jpg</t>
  </si>
  <si>
    <t>217020BBK-44G</t>
  </si>
  <si>
    <t>217020BBK</t>
  </si>
  <si>
    <t>VIC</t>
  </si>
  <si>
    <t>Two Toned Engineered Mesh Bungee</t>
  </si>
  <si>
    <t>Glide-Step® geometric midsole designed to provide natural momentum with every step
Lightweight, responsive ULTRA GO® cushioning
Skechers Air-Cooled Goga Mat™ breathable insole with high-rebound cushioning
Ultra-lightweight Skechers® Soft Stride™ cushioning foam for added comfort
No Tie Fit™ - laces never come untied
Crafted with 100% vegan materials</t>
  </si>
  <si>
    <t>Two-tone engineered mesh upper with fixed stretch laces
Flexible traction outsole
Machine washable
1 1/2-inch heel height
Skechers® logo detail</t>
  </si>
  <si>
    <t>Air Cooled Goga Mat Insole
Glide-Step
Machine Washable
No Tie Fit
Soft Stride
Ultra Go Midsole Foam
Vegan</t>
  </si>
  <si>
    <t>https://image.skechers.com/img/productimages/xlarge/217020_BKW_A.jpg</t>
  </si>
  <si>
    <t>217020BKW-44G</t>
  </si>
  <si>
    <t>217020BKW</t>
  </si>
  <si>
    <t>https://image.skechers.com/img/productimages/xlarge/217020_DKTP_A.jpg</t>
  </si>
  <si>
    <t>217020DKTP-44G</t>
  </si>
  <si>
    <t>217020DKTP</t>
  </si>
  <si>
    <t>Dark Taupe Textile/Trim</t>
  </si>
  <si>
    <t>https://image.skechers.com/img/productimages/xlarge/217020_GYBK_A.jpg</t>
  </si>
  <si>
    <t>217020GYBK-44G</t>
  </si>
  <si>
    <t>217020GYBK</t>
  </si>
  <si>
    <t>https://image.skechers.com/img/productimages/xlarge/217020_WHT_A.jpg</t>
  </si>
  <si>
    <t>217020WHT-44G</t>
  </si>
  <si>
    <t>217020WHT</t>
  </si>
  <si>
    <t>https://image.skechers.com/img/productimages/xlarge/217086_BBK_A.jpg</t>
  </si>
  <si>
    <t>217086BBK-44G</t>
  </si>
  <si>
    <t>217086BBK</t>
  </si>
  <si>
    <t>Medial Gore Open Back W/ Yardage Mesh</t>
  </si>
  <si>
    <t>Air Cooled Goga Mat
APMA Seal of Acceptance
Arch Fit
Machine Washable
Relaxed Fit
Soft Stride
Vegan</t>
  </si>
  <si>
    <t>https://image.skechers.com/img/productimages/xlarge/217086_BKGY_A.jpg</t>
  </si>
  <si>
    <t>217086BKGY-44G</t>
  </si>
  <si>
    <t>217086BKGY</t>
  </si>
  <si>
    <t>Black Textile/Gray Trim</t>
  </si>
  <si>
    <t>https://image.skechers.com/img/productimages/xlarge/217086_TPE_A.jpg</t>
  </si>
  <si>
    <t>217086TPE-44G</t>
  </si>
  <si>
    <t>217086TPE</t>
  </si>
  <si>
    <t>https://image.skechers.com/img/productimages/xlarge/217087_BBK_A.jpg</t>
  </si>
  <si>
    <t>217087BBK-44G</t>
  </si>
  <si>
    <t>217087BBK</t>
  </si>
  <si>
    <t>JUNIE</t>
  </si>
  <si>
    <t>APMA Seal of Acceptance
Arch Fit
Flex
Machine Washable
No Tie Fit
Relaxed Fit
Soft Stride
Ultra Go Midsole Foam</t>
  </si>
  <si>
    <t>https://image.skechers.com/img/productimages/xlarge/217087_BKW_A.jpg</t>
  </si>
  <si>
    <t>217087BKW-44G</t>
  </si>
  <si>
    <t>217087BKW</t>
  </si>
  <si>
    <t>https://image.skechers.com/img/productimages/xlarge/217087_WNV_A.jpg</t>
  </si>
  <si>
    <t>217087WNV-44G</t>
  </si>
  <si>
    <t>217087WNV</t>
  </si>
  <si>
    <t>White Textile/Navy Trim</t>
  </si>
  <si>
    <t>https://image.skechers.com/img/productimages/xlarge/217113_BBK_A.jpg</t>
  </si>
  <si>
    <t>217113BBK-44G</t>
  </si>
  <si>
    <t>217113BBK</t>
  </si>
  <si>
    <t>RAF</t>
  </si>
  <si>
    <t>Athletic Mesh Bungee W/Hotmelt overlays</t>
  </si>
  <si>
    <t>Skechers Max Cushioning® design for exceptional comfort and support
Skechers Air-Cooled Goga Mat™ breathable insole with high-rebound cushioning
No Tie Fit® - laces never come untied
Crafted with 100% vegan materials</t>
  </si>
  <si>
    <t>Athletic mesh and hotmelt overlay upper with tied-off stretch laces
Flexible traction outsole
2-inch heel height
Machine washable
Skechers® logo detail</t>
  </si>
  <si>
    <t>Air Cooled Goga Mat Insole
Machine Washable
Max Cushioning
No Tie Fit
Vegan</t>
  </si>
  <si>
    <t>https://image.skechers.com/img/productimages/xlarge/217113_BKW_A.jpg</t>
  </si>
  <si>
    <t>217113BKW-44G</t>
  </si>
  <si>
    <t>217113BKW</t>
  </si>
  <si>
    <t>https://image.skechers.com/img/productimages/xlarge/217113_TPE_A.jpg</t>
  </si>
  <si>
    <t>217113TPE-44G</t>
  </si>
  <si>
    <t>217113TPE</t>
  </si>
  <si>
    <t>https://image.skechers.com/img/productimages/xlarge/217113_WHT_A.jpg</t>
  </si>
  <si>
    <t>217113WHT-44G</t>
  </si>
  <si>
    <t>217113WHT</t>
  </si>
  <si>
    <t>https://image.skechers.com/img/productimages/xlarge/217128_BKW_A.jpg</t>
  </si>
  <si>
    <t>217128BKW-44G</t>
  </si>
  <si>
    <t>217128BKW</t>
  </si>
  <si>
    <t>ZOLTAR</t>
  </si>
  <si>
    <t>Slip-Ins Bungee Closure Engineered Mesh With Gradient</t>
  </si>
  <si>
    <t>Skechers Hands Free Slip-ins® for an easy fit
Heel Pillow® holds your foot securely in place
Skechers Max Cushioning® design for exceptional comfort and support
HYPER BURST® cushioning midsole offers a highly responsive and ultra-lightweight experience. This innovative resilient foam is created using a 'Super Critical®' process with spherically-shaped cells compressed into the midsole.
Skechers Air-Cooled Goga Mat™ breathable insole with high-rebound cushioning
NRT - Natural Rocker Technology® for a smooth heel to toe transition</t>
  </si>
  <si>
    <t>Gradient engineered mesh upper with tied-off stretch laces
Crafted with 100% vegan materials
No Tie Fit™ - laces never come untied
Flexible traction outsole
2-inch heel height
Machine washable
Skechers® logo detail</t>
  </si>
  <si>
    <t>Air-Cooled
Goga Mat Insole
Heel Pillow
Hyper Burst
Machine Washable
Max Cushioning
Natural Rocker Technology
No Tie Fit
Slip-Ins</t>
  </si>
  <si>
    <t>https://image.skechers.com/img/productimages/xlarge/217128_CCLM_A.jpg</t>
  </si>
  <si>
    <t>217128CCLM-44G</t>
  </si>
  <si>
    <t>CCLM</t>
  </si>
  <si>
    <t>217128CCLM</t>
  </si>
  <si>
    <t>Charcoal Lime Textile/Trim</t>
  </si>
  <si>
    <t>https://image.skechers.com/img/productimages/xlarge/217128WW_BBK_A.jpg</t>
  </si>
  <si>
    <t>217128WWBBK-44G</t>
  </si>
  <si>
    <t>217128WW</t>
  </si>
  <si>
    <t>217128WWBBK</t>
  </si>
  <si>
    <t>https://image.skechers.com/img/productimages/xlarge/220382_BKGY_A.jpg</t>
  </si>
  <si>
    <t>220382BKGY-44G</t>
  </si>
  <si>
    <t>220382BKGY</t>
  </si>
  <si>
    <t>LIGHTDRIVE</t>
  </si>
  <si>
    <t>Black And Gray Textile/Synthetic</t>
  </si>
  <si>
    <t>Lace-up engineered mesh upper
Flexible traction outsole
Machine washable
2-inch heel height
Skechers GO RUN® logo detail</t>
  </si>
  <si>
    <t>GTM - PERFORMANCE MENS</t>
  </si>
  <si>
    <t>https://image.skechers.com/img/productimages/xlarge/220382_BKW_A.jpg</t>
  </si>
  <si>
    <t>220382BKW-44G</t>
  </si>
  <si>
    <t>220382BKW</t>
  </si>
  <si>
    <t>Black And White Textile/Synthetic</t>
  </si>
  <si>
    <t>https://image.skechers.com/img/productimages/xlarge/220382_GYCC_A.jpg</t>
  </si>
  <si>
    <t>220382GYCC-44G</t>
  </si>
  <si>
    <t>220382GYCC</t>
  </si>
  <si>
    <t>https://image.skechers.com/img/productimages/xlarge/220382_NAT_A.jpg</t>
  </si>
  <si>
    <t>220382NAT-44G</t>
  </si>
  <si>
    <t>220382NAT</t>
  </si>
  <si>
    <t>Natural Textile/Synthetic</t>
  </si>
  <si>
    <t>https://image.skechers.com/img/productimages/xlarge/220382_NVY_A.jpg</t>
  </si>
  <si>
    <t>220382NVY-44G</t>
  </si>
  <si>
    <t>220382NVY</t>
  </si>
  <si>
    <t>https://image.skechers.com/img/productimages/xlarge/220382_WHT_A.jpg</t>
  </si>
  <si>
    <t>220382WHT-44G</t>
  </si>
  <si>
    <t>220382WHT</t>
  </si>
  <si>
    <t>White Textile/Synthetic</t>
  </si>
  <si>
    <t>https://image.skechers.com/img/productimages/xlarge/220392_BBK_A.jpg</t>
  </si>
  <si>
    <t>220392BBK-44G</t>
  </si>
  <si>
    <t>220392BBK</t>
  </si>
  <si>
    <t>Slip-Ins - Engineered Mesh Lace Up</t>
  </si>
  <si>
    <t>https://image.skechers.com/img/productimages/xlarge/220392_CCBK_A.jpg</t>
  </si>
  <si>
    <t>220392CCBK-44G</t>
  </si>
  <si>
    <t>CCBK</t>
  </si>
  <si>
    <t>220392CCBK</t>
  </si>
  <si>
    <t>Charcoal And Black Textile</t>
  </si>
  <si>
    <t>https://image.skechers.com/img/productimages/xlarge/220392_GYCC_A.jpg</t>
  </si>
  <si>
    <t>220392GYCC-44G</t>
  </si>
  <si>
    <t>220392GYCC</t>
  </si>
  <si>
    <t>Gray And Charcoal Textile</t>
  </si>
  <si>
    <t>https://image.skechers.com/img/productimages/xlarge/220392_NVY_A.jpg</t>
  </si>
  <si>
    <t>220392NVY-44G</t>
  </si>
  <si>
    <t>220392NVY</t>
  </si>
  <si>
    <t>https://image.skechers.com/img/productimages/xlarge/220397_BKW_A.jpg</t>
  </si>
  <si>
    <t>220397BKW-44G</t>
  </si>
  <si>
    <t>220397BKW</t>
  </si>
  <si>
    <t>SPECTA</t>
  </si>
  <si>
    <t>https://image.skechers.com/img/productimages/xlarge/220397_GRY_A.jpg</t>
  </si>
  <si>
    <t>220397GRY-44G</t>
  </si>
  <si>
    <t>220397GRY</t>
  </si>
  <si>
    <t>https://image.skechers.com/img/productimages/xlarge/220415_BKW_A.jpg</t>
  </si>
  <si>
    <t>220415BKW-44G</t>
  </si>
  <si>
    <t>220415BKW</t>
  </si>
  <si>
    <t>Slip-Ins - Linear Jacquard Lace Up W/ Goodyear Rubber</t>
  </si>
  <si>
    <t>Air Cooled Goga Mat Insole
Anti-Slip Under Wet and Dry Conditions
Glide-Step
Goodyear Rubber
Heel Pillow
Machine Washable
Max Cushioning
Soft Stride
Slip-Ins
Ultra Go
Vegan</t>
  </si>
  <si>
    <t>https://image.skechers.com/img/productimages/xlarge/220415_SLT_A.jpg</t>
  </si>
  <si>
    <t>220415SLT-44G</t>
  </si>
  <si>
    <t>220415SLT</t>
  </si>
  <si>
    <t>Slate Textile</t>
  </si>
  <si>
    <t>https://image.skechers.com/img/productimages/xlarge/220415_TPE_A.jpg</t>
  </si>
  <si>
    <t>220415TPE-44G</t>
  </si>
  <si>
    <t>220415TPE</t>
  </si>
  <si>
    <t>https://image.skechers.com/img/productimages/xlarge/220415_WHT_A.jpg</t>
  </si>
  <si>
    <t>220415WHT-44G</t>
  </si>
  <si>
    <t>220415WHT</t>
  </si>
  <si>
    <t>https://image.skechers.com/img/productimages/xlarge/220427_BBK_A.jpg</t>
  </si>
  <si>
    <t>220427BBK-44G</t>
  </si>
  <si>
    <t>220427BBK</t>
  </si>
  <si>
    <t>FAIRMONT</t>
  </si>
  <si>
    <t>Engineered Mesh Lace Up W/ Qtr Webbing Overlay</t>
  </si>
  <si>
    <t>Air Cooled Goga Mat Insole
Glide-Step
Goodyear Rubber
Max Cushioning
Natural Rocker Technology
Soft Stride
Ultra Go</t>
  </si>
  <si>
    <t>https://image.skechers.com/img/productimages/xlarge/220427_WMLT_A.jpg</t>
  </si>
  <si>
    <t>220427WMLT-44G</t>
  </si>
  <si>
    <t>220427WMLT</t>
  </si>
  <si>
    <t>White And Multi Textile/Synthetic</t>
  </si>
  <si>
    <t>https://image.skechers.com/img/productimages/xlarge/220509_BKW_A.jpg</t>
  </si>
  <si>
    <t>220509BKW-44G</t>
  </si>
  <si>
    <t>220509BKW</t>
  </si>
  <si>
    <t>MAX CUSHIONING PROPULSION</t>
  </si>
  <si>
    <t>Engineered Mesh Lace Up W/ Propulsion Branding</t>
  </si>
  <si>
    <t>Skechers Max Cushioning® design for exceptional comfort and support
Skechers Air-Cooled Goga Mat™ breathable insole with high-rebound cushioning
Ultra-lightweight, responsive ULTRA FLIGHT® cushioning
NRT - Natural Rocker Technology® for a smooth heel to toe transition
Goodyear® Performance Outsole delivers enhanced traction, stability, and durability
TPU midsole plate for stability, structure and toe-off spring</t>
  </si>
  <si>
    <t>Crafted with 100% vegan materials
Lace-up engineered mesh upper with 'Propulsion' side graphic
Offset: 8mm
Weight: 322g in a men's size 9
1 1/2-inch heel height
Machine washable
Skechers® logo detail</t>
  </si>
  <si>
    <t>Air Cooled Goga Mat Insole
Goodyear Rubber
Machine Washable
Max Cushioning
Natural Rocker Technology
Ultra Flight</t>
  </si>
  <si>
    <t>https://image.skechers.com/img/productimages/xlarge/220509_BLK_A.jpg</t>
  </si>
  <si>
    <t>220509BLK-44G</t>
  </si>
  <si>
    <t>220509BLK</t>
  </si>
  <si>
    <t>https://image.skechers.com/img/productimages/xlarge/220509_TPE_A.jpg</t>
  </si>
  <si>
    <t>220509TPE-44G</t>
  </si>
  <si>
    <t>220509TPE</t>
  </si>
  <si>
    <t>https://image.skechers.com/img/productimages/xlarge/220607_BBK_A.jpg</t>
  </si>
  <si>
    <t>220607BBK-44G</t>
  </si>
  <si>
    <t>220607BBK</t>
  </si>
  <si>
    <t>SEQUOYA</t>
  </si>
  <si>
    <t>https://image.skechers.com/img/productimages/xlarge/220607_BLK_A.jpg</t>
  </si>
  <si>
    <t>220607BLK-44G</t>
  </si>
  <si>
    <t>220607BLK</t>
  </si>
  <si>
    <t>https://image.skechers.com/img/productimages/xlarge/220607_GRY_A.jpg</t>
  </si>
  <si>
    <t>220607GRY-44G</t>
  </si>
  <si>
    <t>220607GRY</t>
  </si>
  <si>
    <t>https://image.skechers.com/img/productimages/xlarge/220607_NVY_A.jpg</t>
  </si>
  <si>
    <t>220607NVY-44G</t>
  </si>
  <si>
    <t>220607NVY</t>
  </si>
  <si>
    <t>https://image.skechers.com/img/productimages/xlarge/220609_BLU_A.jpg</t>
  </si>
  <si>
    <t>220609BLU-44G</t>
  </si>
  <si>
    <t>220609BLU</t>
  </si>
  <si>
    <t>ARDENA</t>
  </si>
  <si>
    <t>Engineered Mesh Lace Up W/ Splatter Texture</t>
  </si>
  <si>
    <t>https://image.skechers.com/img/productimages/xlarge/220609_CCBK_A.jpg</t>
  </si>
  <si>
    <t>220609CCBK-44G</t>
  </si>
  <si>
    <t>220609CCBK</t>
  </si>
  <si>
    <t>Black And Charcoal Textile</t>
  </si>
  <si>
    <t>Skechers Max Cushioning® design for exceptional comfort and support
Lightweight, responsive ULTRA LIGHT midsole cushioning
Skechers Air-Cooled Goga Mat™ breathable insole with high-rebound cushioning
Ultra-lightweight Skechers® Soft Stride™ cushioning foam for added comfort
NRT - Natural Rocker Technology® for a smooth heel-to-toe transition
Crafted with 100% vegan materials</t>
  </si>
  <si>
    <t>Engineered mesh upper with splatter texture detail
Well-cushioned running shoe with lace-up front
Flexible traction outsole
2-inch heel height
Drop: 9mm
Weight: 11.4 oz in a men's size 9
Machine washable
Skechers® logo detail</t>
  </si>
  <si>
    <t>https://image.skechers.com/img/productimages/xlarge/220609_SLT_A.jpg</t>
  </si>
  <si>
    <t>220609SLT-44G</t>
  </si>
  <si>
    <t>220609SLT</t>
  </si>
  <si>
    <t>Slate  Textile</t>
  </si>
  <si>
    <t>https://image.skechers.com/img/productimages/xlarge/220610_BBK_A.jpg</t>
  </si>
  <si>
    <t>220610BBK-44G</t>
  </si>
  <si>
    <t>220610BBK</t>
  </si>
  <si>
    <t>CARDOVA</t>
  </si>
  <si>
    <t>Slip-Ins - Bungee W/ Leather Overlays</t>
  </si>
  <si>
    <t>Skechers Hands Free Slip-ins® for an easy fit
Heel Pillow® holds your foot securely in place
Skechers Max Cushioning® design for exceptional comfort and support
Skechers Air-Cooled Goga Mat™ breathable insole with high-rebound cushioning
Ultra-lightweight Skechers Soft Stride™ cushioning foam for added comfort
NRT - Natural Rocker Technology® for a smooth heel to toe transition</t>
  </si>
  <si>
    <t>Mesh and leather overlay upper with a stretch lace front
No Tie Fit® - laces never come untied
Flexible traction outsole
2-inch heel height
Skechers® logo detail</t>
  </si>
  <si>
    <t>Air Cooled Goga Mat Insole
Heel Pillow
Machine Washable
Max Cushioning
Natural Rocker Technology
No Tie Fit
Soft Stride
Slip-Ins
Ultra Light Cushioning</t>
  </si>
  <si>
    <t>https://image.skechers.com/img/productimages/xlarge/220610_BLK_A.jpg</t>
  </si>
  <si>
    <t>220610BLK-44G</t>
  </si>
  <si>
    <t>220610BLK</t>
  </si>
  <si>
    <t>https://image.skechers.com/img/productimages/xlarge/220610_TPBK_A.jpg</t>
  </si>
  <si>
    <t>220610TPBK-44G</t>
  </si>
  <si>
    <t>220610TPBK</t>
  </si>
  <si>
    <t>Taupe And Black Textile</t>
  </si>
  <si>
    <t>https://image.skechers.com/img/productimages/xlarge/220613_BKGY_A.jpg</t>
  </si>
  <si>
    <t>220613BKGY-44G</t>
  </si>
  <si>
    <t>220613BKGY</t>
  </si>
  <si>
    <t>Black And Gray Synthetic/Textile</t>
  </si>
  <si>
    <t>Skechers Max Cushioning® design for exceptional comfort and support
Skechers Air-Cooled Goga Mat™ breathable insole with high-rebound cushioning
Ultra-lightweight Skechers Soft Stride™ cushioning foam for added comfort
Lightweight, responsive ULTRA LIGHT midsole cushioning
NRT - Natural Rocker Technology® for a smooth heel to toe transition</t>
  </si>
  <si>
    <t>Engineered mesh upper with synthetic overlays
Well-cushioned running shoe with lace-up front
Flexible traction outsole
2-inch heel height
Drop: 9mm
Weight: 11.4 oz in a men's size 9
Skechers® logo detail</t>
  </si>
  <si>
    <t>https://image.skechers.com/img/productimages/xlarge/220613_DKNV_A.jpg</t>
  </si>
  <si>
    <t>220613DKNV-44G</t>
  </si>
  <si>
    <t>220613DKNV</t>
  </si>
  <si>
    <t>Dark Navy Synthetic/Textile</t>
  </si>
  <si>
    <t>https://image.skechers.com/img/productimages/xlarge/220613_LGBK_A.jpg</t>
  </si>
  <si>
    <t>220613LGBK-44G</t>
  </si>
  <si>
    <t>LGBK</t>
  </si>
  <si>
    <t>220613LGBK</t>
  </si>
  <si>
    <t>Light Gray Synthetic/Black Textile</t>
  </si>
  <si>
    <t>https://image.skechers.com/img/productimages/xlarge/220613_NVY_A.jpg</t>
  </si>
  <si>
    <t>220613NVY-44G</t>
  </si>
  <si>
    <t>220613NVY</t>
  </si>
  <si>
    <t>https://image.skechers.com/img/productimages/xlarge/220613_ORBL_A.jpg</t>
  </si>
  <si>
    <t>220613ORBL-44G</t>
  </si>
  <si>
    <t>ORBL</t>
  </si>
  <si>
    <t>220613ORBL</t>
  </si>
  <si>
    <t>Orange And Blue Synthetic/Textile</t>
  </si>
  <si>
    <t>https://image.skechers.com/img/productimages/xlarge/220613_TPBK_A.jpg</t>
  </si>
  <si>
    <t>220613TPBK-44G</t>
  </si>
  <si>
    <t>220613TPBK</t>
  </si>
  <si>
    <t>Taupe And Black Synthetic/Textile</t>
  </si>
  <si>
    <t>https://image.skechers.com/img/productimages/xlarge/220613_WBK_A.jpg</t>
  </si>
  <si>
    <t>220613WBK-44G</t>
  </si>
  <si>
    <t>220613WBK</t>
  </si>
  <si>
    <t>White And Black Synthetic/Textile</t>
  </si>
  <si>
    <t>https://image.skechers.com/img/productimages/xlarge/220613_WHT_A.jpg</t>
  </si>
  <si>
    <t>220613WHT-44G</t>
  </si>
  <si>
    <t>220613WHT</t>
  </si>
  <si>
    <t>https://image.skechers.com/img/productimages/xlarge/220613WW_BBK_A.jpg</t>
  </si>
  <si>
    <t>220613WWBBK-44G</t>
  </si>
  <si>
    <t>220613WW</t>
  </si>
  <si>
    <t>220613WWBBK</t>
  </si>
  <si>
    <t>https://image.skechers.com/img/productimages/xlarge/220613WW_BKW_A.jpg</t>
  </si>
  <si>
    <t>220613WWBKW-44G</t>
  </si>
  <si>
    <t>220613WWBKW</t>
  </si>
  <si>
    <t>Black And White Synthetic/Textile</t>
  </si>
  <si>
    <t>https://image.skechers.com/img/productimages/xlarge/220613WW_DKGY_A.jpg</t>
  </si>
  <si>
    <t>220613WWDKGY-44G</t>
  </si>
  <si>
    <t>220613WWDKGY</t>
  </si>
  <si>
    <t>Dark Grey Synthetic/Textile</t>
  </si>
  <si>
    <t>https://image.skechers.com/img/productimages/xlarge/220615_BKW_A.jpg</t>
  </si>
  <si>
    <t>220615BKW-44G</t>
  </si>
  <si>
    <t>220615BKW</t>
  </si>
  <si>
    <t>SPACE ANGLE</t>
  </si>
  <si>
    <t>Air Cooled Grid Mesh Lace Up W/ Hotmelt Details</t>
  </si>
  <si>
    <t>Grid mesh upper with synthetic overlay details
Well-cushioned running shoe with lace-up front
Flexible traction outsole
2-inch heel height
Skechers® logo detail</t>
  </si>
  <si>
    <t>Air Cooled Goga Mat Insole
Max Cushioning
Natural Rocker Technology
Soft Stride
Ultra Light Cushioning</t>
  </si>
  <si>
    <t>https://image.skechers.com/img/productimages/xlarge/220615_WMLT_A.jpg</t>
  </si>
  <si>
    <t>220615WMLT-44G</t>
  </si>
  <si>
    <t>220615WMLT</t>
  </si>
  <si>
    <t>https://image.skechers.com/img/productimages/xlarge/220615WW_CHAR_A.jpg</t>
  </si>
  <si>
    <t>220615WWCHAR-44G</t>
  </si>
  <si>
    <t>220615WW</t>
  </si>
  <si>
    <t>220615WWCHAR</t>
  </si>
  <si>
    <t>Charcoal Textile/Synthetic</t>
  </si>
  <si>
    <t>https://image.skechers.com/img/productimages/xlarge/220623_BBK_A.jpg</t>
  </si>
  <si>
    <t>220623BBK-44G</t>
  </si>
  <si>
    <t>220623BBK</t>
  </si>
  <si>
    <t>BRAMPTON</t>
  </si>
  <si>
    <t>Leather Overlay Bungee</t>
  </si>
  <si>
    <t>Black Leather/Textile</t>
  </si>
  <si>
    <t>Air Cooled Goga Mat Insole
Max Cushioning
Natural Rocker Technology
No Tie Fit
Soft Stride
Ultra Light Cushioning</t>
  </si>
  <si>
    <t>https://image.skechers.com/img/productimages/xlarge/220623_WNV_A.jpg</t>
  </si>
  <si>
    <t>220623WNV-44G</t>
  </si>
  <si>
    <t>220623WNV</t>
  </si>
  <si>
    <t>White Navy Leather/Textile</t>
  </si>
  <si>
    <t>https://image.skechers.com/img/productimages/xlarge/220632_BKCC_A.jpg</t>
  </si>
  <si>
    <t>220632BKCC-44G</t>
  </si>
  <si>
    <t>BKCC</t>
  </si>
  <si>
    <t>220632BKCC</t>
  </si>
  <si>
    <t>MYKKO</t>
  </si>
  <si>
    <t>Slip-Ins - Athletic Mesh W/ 3d Print Details</t>
  </si>
  <si>
    <t>Air Cooled Goga Mat
Heel Pillow
Machine Washable
Max Cushioning
Natural Rocker Technology
Soft Stride
Slip-Ins
Vegan
Ultra Light Cushioning</t>
  </si>
  <si>
    <t>https://image.skechers.com/img/productimages/xlarge/220632_TPE_A.jpg</t>
  </si>
  <si>
    <t>220632TPE-44G</t>
  </si>
  <si>
    <t>220632TPE</t>
  </si>
  <si>
    <t>https://image.skechers.com/img/productimages/xlarge/220757_BBK_A.jpg</t>
  </si>
  <si>
    <t>220757BBK-43R</t>
  </si>
  <si>
    <t>220757BBK</t>
  </si>
  <si>
    <t>GO RUN TRAIL ALTITUDE 2.0</t>
  </si>
  <si>
    <t>PINE RIDGE</t>
  </si>
  <si>
    <t>Waterproof Trail Lace-Up W/ Overlays</t>
  </si>
  <si>
    <t>Skechers Air-Cooled Goga Mat™ breathable insole with high-rebound cushioning
Lightweight, responsive ULTRA LIGHT midsole cushioning
Skechers Breathe Easy Technology™ is an ultra-lightweight lining that delivers 100% waterproof protection while maintaining maximum breathability</t>
  </si>
  <si>
    <t>Lace-up mesh and leather upper
Durable and flexible trail-ready outsole with multi-directional traction lugs
Wider outsole footprint for added stability
1 1/2-inch heel
Skechers GO RUN® logo detail</t>
  </si>
  <si>
    <t>ODM - OUTDOOR MENS</t>
  </si>
  <si>
    <t>Air Cooled Goga Mat Insole
Breathe Easy Technology
Waterproof
Trail
Ultra Light Cushioning</t>
  </si>
  <si>
    <t>https://image.skechers.com/img/productimages/xlarge/220757_GYOR_A.jpg</t>
  </si>
  <si>
    <t>220757GYOR-43R</t>
  </si>
  <si>
    <t>GYOR</t>
  </si>
  <si>
    <t>220757GYOR</t>
  </si>
  <si>
    <t>Gray Orange Leather/Textile</t>
  </si>
  <si>
    <t>https://image.skechers.com/img/productimages/xlarge/220774_BKCC_A.jpg</t>
  </si>
  <si>
    <t>220774BKCC-44G</t>
  </si>
  <si>
    <t>220774BKCC</t>
  </si>
  <si>
    <t>MAX CUSHIONING PREMIER 2.0</t>
  </si>
  <si>
    <t>LEIGH</t>
  </si>
  <si>
    <t>Slip-Ins - Athletic Mesh Lace Up W/ Hotmelt Details</t>
  </si>
  <si>
    <t>Skechers Hands Free Slip-ins® for an easy fit
Heel Pillow® holds your foot securely in place
Skechers Max Cushioning® design for exceptional comfort and support
Lightweight, responsive ULTRA GO® cushioning
Skechers Air-Cooled Memory Foam® cushioned comfort insole
Goodyear® Rubber Outsole delivers enhanced traction, stability, and durability</t>
  </si>
  <si>
    <t>Athletic mesh upper with hotmelt details and adjustable laces
Crafted with 100% vegan materials
NRT - Natural Rocker Technology® for a smooth heel to toe transition
Machine washable
2-inch heel height
Skechers® logo detail</t>
  </si>
  <si>
    <t>Air-Cooled MF
Goodyear Rubber
Heel Pillow
Machine Washable
Max Cushioning
Natural Rocker Technology
Slip-Ins
Ultra Go</t>
  </si>
  <si>
    <t>https://image.skechers.com/img/productimages/xlarge/220774_GYNV_A.jpg</t>
  </si>
  <si>
    <t>220774GYNV-44G</t>
  </si>
  <si>
    <t>GYNV</t>
  </si>
  <si>
    <t>220774GYNV</t>
  </si>
  <si>
    <t>Gray And Navy Textile</t>
  </si>
  <si>
    <t>https://image.skechers.com/img/productimages/xlarge/220774_WGY_A.jpg</t>
  </si>
  <si>
    <t>220774WGY-44G</t>
  </si>
  <si>
    <t>220774WGY</t>
  </si>
  <si>
    <t>White And Gray Textile</t>
  </si>
  <si>
    <t>https://image.skechers.com/img/productimages/xlarge/220837_BBK_A.jpg</t>
  </si>
  <si>
    <t>220837BBK-44G</t>
  </si>
  <si>
    <t>220837BBK</t>
  </si>
  <si>
    <t>CONTINUOUS</t>
  </si>
  <si>
    <t>Slip Ins - Two Tone Mesh Lace Up W/ Hot Melt Overlays</t>
  </si>
  <si>
    <t>Skechers Hands Free Slip-ins® for an easy fit
Heel Pillow® holds your foot securely in place
Skechers Max Cushioning® design for exceptional comfort and support
Lightweight, responsive ULTRA GO® cushioning
Skechers Air-Cooled Memory Foam® cushioned comfort insole
NRT - Natural Rocker Technology® for a smooth heel to toe transition</t>
  </si>
  <si>
    <t>Goodyear® Rubber Outsole delivers enhanced traction, stability, and durability
Mesh upper with synthetic overlays and lace-up front
Crafted with 100% vegan materials
2-inch heel height
Skechers® and Goodyear® logo details</t>
  </si>
  <si>
    <t>https://image.skechers.com/img/productimages/xlarge/220837_GYCC_A.jpg</t>
  </si>
  <si>
    <t>220837GYCC-44G</t>
  </si>
  <si>
    <t>220837GYCC</t>
  </si>
  <si>
    <t>https://image.skechers.com/img/productimages/xlarge/220861_BLK_A.jpg</t>
  </si>
  <si>
    <t>220861BLK-44G</t>
  </si>
  <si>
    <t>220861BLK</t>
  </si>
  <si>
    <t>https://image.skechers.com/img/productimages/xlarge/220861_BRN_A.jpg</t>
  </si>
  <si>
    <t>220861BRN-44G</t>
  </si>
  <si>
    <t>220861BRN</t>
  </si>
  <si>
    <t>Brown Leather/Textile</t>
  </si>
  <si>
    <t>https://image.skechers.com/img/productimages/xlarge/220861_NVY_A.jpg</t>
  </si>
  <si>
    <t>220861NVY-44G</t>
  </si>
  <si>
    <t>220861NVY</t>
  </si>
  <si>
    <t>Navy Leather/Textile</t>
  </si>
  <si>
    <t>https://image.skechers.com/img/productimages/xlarge/220861_WBK_A.jpg</t>
  </si>
  <si>
    <t>220861WBK-44G</t>
  </si>
  <si>
    <t>220861WBK</t>
  </si>
  <si>
    <t>White Leather/Textile</t>
  </si>
  <si>
    <t>https://image.skechers.com/img/productimages/xlarge/220861WW_BKCC_A.jpg</t>
  </si>
  <si>
    <t>220861WWBKCC-44G</t>
  </si>
  <si>
    <t>220861WW</t>
  </si>
  <si>
    <t>220861WWBKCC</t>
  </si>
  <si>
    <t>Black Leather/Charcoal Textile</t>
  </si>
  <si>
    <t>https://image.skechers.com/img/productimages/xlarge/220861WW_GRY_A.jpg</t>
  </si>
  <si>
    <t>220861WWGRY-44G</t>
  </si>
  <si>
    <t>220861WWGRY</t>
  </si>
  <si>
    <t>Gray Leather/Textile</t>
  </si>
  <si>
    <t>https://image.skechers.com/img/productimages/xlarge/220872_BRBK_A.jpg</t>
  </si>
  <si>
    <t>220872BRBK-44G</t>
  </si>
  <si>
    <t>BRBK</t>
  </si>
  <si>
    <t>220872BRBK</t>
  </si>
  <si>
    <t>RETRO RUNNER V1</t>
  </si>
  <si>
    <t>Premium Overlay Lace Up W/ Hairy Suede</t>
  </si>
  <si>
    <t>Brown And Black Suede/Textile</t>
  </si>
  <si>
    <t>Lightweight, responsive ULTRA LIGHT midsole cushioning
Skechers Air-Cooled Goga Mat™ breathable insole with high-rebound cushioning
Skechers M-Strike® technology promotes efficiency in each stride through its midsole configuration, creating smooth transitions from landing to toe-off</t>
  </si>
  <si>
    <t>Lace-up mesh upper with premium suede overlays
Parametric midsole construction for support and stability
Flexible traction outsole
1 1/4-inch heel height
Skechers GO RUN® logo detail</t>
  </si>
  <si>
    <t>Air Cooled Goga Mat Insole
Mstrike
Ultra Light Cushioning</t>
  </si>
  <si>
    <t>https://image.skechers.com/img/productimages/xlarge/220872_CCBK_A.jpg</t>
  </si>
  <si>
    <t>220872CCBK-44G</t>
  </si>
  <si>
    <t>220872CCBK</t>
  </si>
  <si>
    <t>Charcoal And Black Suede/Textile</t>
  </si>
  <si>
    <t>https://image.skechers.com/img/productimages/xlarge/220872_GRY_A.jpg</t>
  </si>
  <si>
    <t>220872GRY-44G</t>
  </si>
  <si>
    <t>220872GRY</t>
  </si>
  <si>
    <t>https://image.skechers.com/img/productimages/xlarge/220872_NVGY_A.jpg</t>
  </si>
  <si>
    <t>220872NVGY-44G</t>
  </si>
  <si>
    <t>NVGY</t>
  </si>
  <si>
    <t>220872NVGY</t>
  </si>
  <si>
    <t>Navy And Gray Leather/Textile</t>
  </si>
  <si>
    <t>https://image.skechers.com/img/productimages/xlarge/220872_TPE_A.jpg</t>
  </si>
  <si>
    <t>220872TPE-44G</t>
  </si>
  <si>
    <t>220872TPE</t>
  </si>
  <si>
    <t>Taupe Suede/Textile</t>
  </si>
  <si>
    <t>https://image.skechers.com/img/productimages/xlarge/220872_TPMT_A.jpg</t>
  </si>
  <si>
    <t>220872TPMT-44G</t>
  </si>
  <si>
    <t>220872TPMT</t>
  </si>
  <si>
    <t>Taupe And Multi Suede/Textile</t>
  </si>
  <si>
    <t>https://image.skechers.com/img/productimages/xlarge/220880_BKW_A.jpg</t>
  </si>
  <si>
    <t>220880BKW-44G</t>
  </si>
  <si>
    <t>220880BKW</t>
  </si>
  <si>
    <t>WORLDVIEW</t>
  </si>
  <si>
    <t>Slip-Ins - Engineered Mesh Bungee</t>
  </si>
  <si>
    <t>Black And White Textile</t>
  </si>
  <si>
    <t>Skechers Hands Free Slip-ins® for an easy fit
Heel Pillow® holds your foot securely in place
Skechers Air-Cooled Memory Foam® cushioned comfort insole
Lightweight, responsive ULTRA LIGHT midsole cushioning
Skechers M-Strike® technology promotes efficiency in each stride. This midsole configuration creates smooth transitions from landing to toe-off.
No Tie Fit™ - laces never come untied</t>
  </si>
  <si>
    <t>Athletic mesh upper with stretch laces
Flexible traction outsole
1 1/4-inch heel height
Weight: 11oz in a men's size 9
Machine washable
Skechers GO RUN® logo detail</t>
  </si>
  <si>
    <t>Air-Cooled MF
Heel Pillow
Machine Washable
No Tie Fit
Slip-Ins
Mstrike
Ultra Light Cushioning</t>
  </si>
  <si>
    <t>https://image.skechers.com/img/productimages/xlarge/220880_BLK_A.jpg</t>
  </si>
  <si>
    <t>220880BLK-44G</t>
  </si>
  <si>
    <t>220880BLK</t>
  </si>
  <si>
    <t>https://image.skechers.com/img/productimages/xlarge/220880_WGY_A.jpg</t>
  </si>
  <si>
    <t>220880WGY-44G</t>
  </si>
  <si>
    <t>220880WGY</t>
  </si>
  <si>
    <t>https://image.skechers.com/img/productimages/xlarge/220887_BBK_A.jpg</t>
  </si>
  <si>
    <t>220887BBK-44G</t>
  </si>
  <si>
    <t>220887BBK</t>
  </si>
  <si>
    <t>LOCKHART</t>
  </si>
  <si>
    <t>Slip-Ins - Engineered Circular Knit Bungee</t>
  </si>
  <si>
    <t>Engineered circular knit upper with stretch laces
Crafted with 100% vegan materials
Flexible traction outsole
1 1/4-inch heel height
Machine washable
Skechers GO RUN® logo detail</t>
  </si>
  <si>
    <t>Air-Cooled MF
Heel Pillow
Machine Washable
No Tie Fit
Slip-Ins
Mstrike
Vegan
Ultra Light Cushioning</t>
  </si>
  <si>
    <t>https://image.skechers.com/img/productimages/xlarge/220887_BLK_A.jpg</t>
  </si>
  <si>
    <t>220887BLK-44G</t>
  </si>
  <si>
    <t>220887BLK</t>
  </si>
  <si>
    <t>https://image.skechers.com/img/productimages/xlarge/220887_NVY_A.jpg</t>
  </si>
  <si>
    <t>220887NVY-44G</t>
  </si>
  <si>
    <t>220887NVY</t>
  </si>
  <si>
    <t>https://image.skechers.com/img/productimages/xlarge/220887_WGY_A.jpg</t>
  </si>
  <si>
    <t>220887WGY-44G</t>
  </si>
  <si>
    <t>220887WGY</t>
  </si>
  <si>
    <t>https://image.skechers.com/img/productimages/xlarge/221000_BBK_A.jpg</t>
  </si>
  <si>
    <t>221000BBK-44G</t>
  </si>
  <si>
    <t>221000BBK</t>
  </si>
  <si>
    <t>Skechers Hands Free Slip-ins® for an easy fit
Heel Pillow® holds your foot securely in place
Skechers Max Cushioning® design for exceptional comfort and support
Skechers Air-Cooled Goga Mat™ breathable insole with high-rebound cushioning
Anti-slip Goodyear® Rubber Outsole under wet or dry conditions
Skechers M-Strike® technology promotes efficiency in each stride. This midsole configuration creates smooth transitions from landing to toe-off</t>
  </si>
  <si>
    <t>Engineered mesh upper with adjustable laces
Crafted with 100% vegan materials
Lightweight, responsive ULTRA LIGHT midsole cushioning
Ultra-lightweight Skechers® Soft Stride™ cushioning foam for added comfort
2-inch heel height
Machine washable
Skechers® logo detail</t>
  </si>
  <si>
    <t>Air Cooled Goga Mat Insole
Anti-Slip Under Wet and Dry Conditions
Goodyear Rubber
Heel Pillow
Machine Washable
Max Cushioning
Soft Stride
Slip-Ins
Mstrike
Vegan
Ultra Light Cushioning</t>
  </si>
  <si>
    <t>https://image.skechers.com/img/productimages/xlarge/221000_BKW_A.jpg</t>
  </si>
  <si>
    <t>221000BKW-44G</t>
  </si>
  <si>
    <t>221000BKW</t>
  </si>
  <si>
    <t>https://image.skechers.com/img/productimages/xlarge/221000_GRY_A.jpg</t>
  </si>
  <si>
    <t>221000GRY-44G</t>
  </si>
  <si>
    <t>221000GRY</t>
  </si>
  <si>
    <t>https://image.skechers.com/img/productimages/xlarge/221000_GYCC_A.jpg</t>
  </si>
  <si>
    <t>221000GYCC-44G</t>
  </si>
  <si>
    <t>221000GYCC</t>
  </si>
  <si>
    <t>Gray Charcoal Textile</t>
  </si>
  <si>
    <t>https://image.skechers.com/img/productimages/xlarge/221000_NAT_A.jpg</t>
  </si>
  <si>
    <t>221000NAT-44G</t>
  </si>
  <si>
    <t>221000NAT</t>
  </si>
  <si>
    <t>https://image.skechers.com/img/productimages/xlarge/221000_NVY_A.jpg</t>
  </si>
  <si>
    <t>221000NVY-44G</t>
  </si>
  <si>
    <t>221000NVY</t>
  </si>
  <si>
    <t>https://image.skechers.com/img/productimages/xlarge/221000_SLT_A.jpg</t>
  </si>
  <si>
    <t>221000SLT-44G</t>
  </si>
  <si>
    <t>221000SLT</t>
  </si>
  <si>
    <t>https://image.skechers.com/img/productimages/xlarge/221040_BKCC_A.jpg</t>
  </si>
  <si>
    <t>221040BKCC-44G</t>
  </si>
  <si>
    <t>221040BKCC</t>
  </si>
  <si>
    <t>Slip-Ins - Engineered Mesh Lace Up w/ Splatter Texture</t>
  </si>
  <si>
    <t>https://image.skechers.com/img/productimages/xlarge/221040_GRY_A.jpg</t>
  </si>
  <si>
    <t>221040GRY-44G</t>
  </si>
  <si>
    <t>221040GRY</t>
  </si>
  <si>
    <t>https://image.skechers.com/img/productimages/xlarge/221040_NAT_A.jpg</t>
  </si>
  <si>
    <t>221040NAT-44G</t>
  </si>
  <si>
    <t>221040NAT</t>
  </si>
  <si>
    <t>https://image.skechers.com/img/productimages/xlarge/221040_WBK_A.jpg</t>
  </si>
  <si>
    <t>221040WBK-44G</t>
  </si>
  <si>
    <t>221040WBK</t>
  </si>
  <si>
    <t>White And Black Textile</t>
  </si>
  <si>
    <t>https://image.skechers.com/img/productimages/xlarge/221041_BKW_A.jpg</t>
  </si>
  <si>
    <t>221041BKW-44G</t>
  </si>
  <si>
    <t>221041BKW</t>
  </si>
  <si>
    <t>Athletic Mesh Bungee w/ Hotmelt Details</t>
  </si>
  <si>
    <t>Athletic mesh and hotmelt overlay upper with fixed stretch laces
Flexible traction outsole
1 1/2-inch heel height
Offset: 7.5 mm
Weight: 12.4oz/352g in a men's size 9.5
Machine washable
Skechers® logo detail</t>
  </si>
  <si>
    <t>https://image.skechers.com/img/productimages/xlarge/221041_CHAR_A.jpg</t>
  </si>
  <si>
    <t>221041CHAR-44G</t>
  </si>
  <si>
    <t>221041CHAR</t>
  </si>
  <si>
    <t>https://image.skechers.com/img/productimages/xlarge/221041_NVY_A.jpg</t>
  </si>
  <si>
    <t>221041NVY-44G</t>
  </si>
  <si>
    <t>221041NVY</t>
  </si>
  <si>
    <t>https://image.skechers.com/img/productimages/xlarge/221041_WBK_A.jpg</t>
  </si>
  <si>
    <t>221041WBK-44G</t>
  </si>
  <si>
    <t>221041WBK</t>
  </si>
  <si>
    <t>https://image.skechers.com/img/productimages/xlarge/221041WW_BBK_A.jpg</t>
  </si>
  <si>
    <t>221041WWBBK-44G</t>
  </si>
  <si>
    <t>221041WW</t>
  </si>
  <si>
    <t>221041WWBBK</t>
  </si>
  <si>
    <t>https://image.skechers.com/img/productimages/xlarge/221041WW_GYNV_A.jpg</t>
  </si>
  <si>
    <t>221041WWGYNV-44G</t>
  </si>
  <si>
    <t>221041WWGYNV</t>
  </si>
  <si>
    <t>https://image.skechers.com/img/productimages/xlarge/221120_GRY_A.jpg</t>
  </si>
  <si>
    <t>221120GRY-44G</t>
  </si>
  <si>
    <t>221120GRY</t>
  </si>
  <si>
    <t>Skechers Hands Free Slip-ins® for an easy fit
Heel Pillow® holds your foot securely in place
Patented Skechers Arch Fit® insole system with podiatrist-certified arch support, developed with 20 years of data and 120,000 unweighted foot scans
Removable insole helps mold to your foot to reduce shock and increase weight dispersion
Glide-Step® geometric midsole designed to provide natural momentum with every step
Skechers M-Strike® technology promotes efficiency in each stride. This midsole configuration creates smooth transitions from landing to toe-off.</t>
  </si>
  <si>
    <t>Engineered knit upper with adjustable laces
Crafted with 100% vegan materials
Super flexible traction outsole
1 3/4-inch heel height
Machine washable
Skechers® logo detail</t>
  </si>
  <si>
    <t>https://image.skechers.com/img/productimages/xlarge/221120_OLV_A.jpg</t>
  </si>
  <si>
    <t>221120OLV-44G</t>
  </si>
  <si>
    <t>221120OLV</t>
  </si>
  <si>
    <t>Olive Textile/Synthetic</t>
  </si>
  <si>
    <t>https://image.skechers.com/img/productimages/xlarge/221120_WBK_A.jpg</t>
  </si>
  <si>
    <t>221120WBK-44G</t>
  </si>
  <si>
    <t>221120WBK</t>
  </si>
  <si>
    <t>White And Black Textile/Synthetic</t>
  </si>
  <si>
    <t>https://image.skechers.com/img/productimages/xlarge/221121_BKCC_A.jpg</t>
  </si>
  <si>
    <t>221121BKCC-44G</t>
  </si>
  <si>
    <t>221121BKCC</t>
  </si>
  <si>
    <t>Engineered mesh and hotmelt overlay upper with tied-off stretch laces
Crafted with 100% vegan materials
No Tie Fit® - laces never come untied
Flexible traction outsole
1 1/2-inch heel height
Offset: 8.5mm
Weight: 13.3oz in a men's size 9.5
Machine washable
Skechers® logo detail</t>
  </si>
  <si>
    <t>https://image.skechers.com/img/productimages/xlarge/221121_BKW_A.jpg</t>
  </si>
  <si>
    <t>221121BKW-44G</t>
  </si>
  <si>
    <t>221121BKW</t>
  </si>
  <si>
    <t>https://image.skechers.com/img/productimages/xlarge/221121_GRY_A.jpg</t>
  </si>
  <si>
    <t>221121GRY-44G</t>
  </si>
  <si>
    <t>221121GRY</t>
  </si>
  <si>
    <t>https://image.skechers.com/img/productimages/xlarge/221121_NVY_A.jpg</t>
  </si>
  <si>
    <t>221121NVY-44G</t>
  </si>
  <si>
    <t>221121NVY</t>
  </si>
  <si>
    <t>https://image.skechers.com/img/productimages/xlarge/221121_OLV_A.jpg</t>
  </si>
  <si>
    <t>221121OLV-44G</t>
  </si>
  <si>
    <t>221121OLV</t>
  </si>
  <si>
    <t>https://image.skechers.com/img/productimages/xlarge/221121_WBK_A.jpg</t>
  </si>
  <si>
    <t>221121WBK-44G</t>
  </si>
  <si>
    <t>221121WBK</t>
  </si>
  <si>
    <t>https://image.skechers.com/img/productimages/xlarge/221140_BKW_A.jpg</t>
  </si>
  <si>
    <t>221140BKW-44G</t>
  </si>
  <si>
    <t>221140BKW</t>
  </si>
  <si>
    <t>Engineered Mesh Lace Up W/ Screen Print Details &amp; TPU Clip</t>
  </si>
  <si>
    <t>https://image.skechers.com/img/productimages/xlarge/221140_GRY_A.jpg</t>
  </si>
  <si>
    <t>221140GRY-44G</t>
  </si>
  <si>
    <t>221140GRY</t>
  </si>
  <si>
    <t>Gray Synthetic/Textile</t>
  </si>
  <si>
    <t>https://image.skechers.com/img/productimages/xlarge/221140_NVY_A.jpg</t>
  </si>
  <si>
    <t>221140NVY-44G</t>
  </si>
  <si>
    <t>221140NVY</t>
  </si>
  <si>
    <t>https://image.skechers.com/img/productimages/xlarge/221140_TPE_A.jpg</t>
  </si>
  <si>
    <t>221140TPE-44G</t>
  </si>
  <si>
    <t>221140TPE</t>
  </si>
  <si>
    <t>Taupe Synthetic/Textile</t>
  </si>
  <si>
    <t>https://image.skechers.com/img/productimages/xlarge/221140_WNV_A.jpg</t>
  </si>
  <si>
    <t>221140WNV-44G</t>
  </si>
  <si>
    <t>221140WNV</t>
  </si>
  <si>
    <t>White And Navy Synthetic/Textile</t>
  </si>
  <si>
    <t>https://image.skechers.com/img/productimages/xlarge/221141_BBK_A.jpg</t>
  </si>
  <si>
    <t>221141BBK-44G</t>
  </si>
  <si>
    <t>221141BBK</t>
  </si>
  <si>
    <t>Slip-Ins - Monomesh Lace Up W/ TPU Clip</t>
  </si>
  <si>
    <t>https://image.skechers.com/img/productimages/xlarge/221141_BKW_A.jpg</t>
  </si>
  <si>
    <t>221141BKW-44G</t>
  </si>
  <si>
    <t>221141BKW</t>
  </si>
  <si>
    <t>https://image.skechers.com/img/productimages/xlarge/221141_CRL_A.jpg</t>
  </si>
  <si>
    <t>221141CRL-44G</t>
  </si>
  <si>
    <t>CRL</t>
  </si>
  <si>
    <t>221141CRL</t>
  </si>
  <si>
    <t>https://image.skechers.com/img/productimages/xlarge/221141_NAT_A.jpg</t>
  </si>
  <si>
    <t>221141NAT-44G</t>
  </si>
  <si>
    <t>221141NAT</t>
  </si>
  <si>
    <t>Natural Synthetic/Textile</t>
  </si>
  <si>
    <t>https://image.skechers.com/img/productimages/xlarge/221141_NVY_A.jpg</t>
  </si>
  <si>
    <t>221141NVY-44G</t>
  </si>
  <si>
    <t>221141NVY</t>
  </si>
  <si>
    <t>https://image.skechers.com/img/productimages/xlarge/221141_ORG_A.jpg</t>
  </si>
  <si>
    <t>221141ORG-44G</t>
  </si>
  <si>
    <t>ORG</t>
  </si>
  <si>
    <t>221141ORG</t>
  </si>
  <si>
    <t>Orange Synthetic/Textile</t>
  </si>
  <si>
    <t>https://image.skechers.com/img/productimages/xlarge/221141_WHT_A.jpg</t>
  </si>
  <si>
    <t>221141WHT-44G</t>
  </si>
  <si>
    <t>221141WHT</t>
  </si>
  <si>
    <t>https://image.skechers.com/img/productimages/xlarge/221141WW_GRY_A.jpg</t>
  </si>
  <si>
    <t>221141WWGRY-44G</t>
  </si>
  <si>
    <t>221141WW</t>
  </si>
  <si>
    <t>221141WWGRY</t>
  </si>
  <si>
    <t>https://image.skechers.com/img/productimages/xlarge/221220_BKCC_A.jpg</t>
  </si>
  <si>
    <t>221220BKCC-44G</t>
  </si>
  <si>
    <t>221220BKCC</t>
  </si>
  <si>
    <t>MAX CUSHIONING PREMIER 3</t>
  </si>
  <si>
    <t>Engineered Mesh Lace Up W/ Hotmelt Details</t>
  </si>
  <si>
    <t>https://image.skechers.com/img/productimages/xlarge/221220_GYNV_A.jpg</t>
  </si>
  <si>
    <t>221220GYNV-44G</t>
  </si>
  <si>
    <t>221220GYNV</t>
  </si>
  <si>
    <t>https://image.skechers.com/img/productimages/xlarge/221220_NAT_A.jpg</t>
  </si>
  <si>
    <t>221220NAT-44G</t>
  </si>
  <si>
    <t>221220NAT</t>
  </si>
  <si>
    <t>https://image.skechers.com/img/productimages/xlarge/221220_WBK_A.jpg</t>
  </si>
  <si>
    <t>221220WBK-44G</t>
  </si>
  <si>
    <t>221220WBK</t>
  </si>
  <si>
    <t>https://image.skechers.com/img/productimages/xlarge/221220WW_BBK_A.jpg</t>
  </si>
  <si>
    <t>221220WWBBK-44G</t>
  </si>
  <si>
    <t>221220WW</t>
  </si>
  <si>
    <t>221220WWBBK</t>
  </si>
  <si>
    <t>https://image.skechers.com/img/productimages/xlarge/221220WW_BKW_A.jpg</t>
  </si>
  <si>
    <t>221220WWBKW-44G</t>
  </si>
  <si>
    <t>221220WWBKW</t>
  </si>
  <si>
    <t>https://image.skechers.com/img/productimages/xlarge/221220WW_NVY_A.jpg</t>
  </si>
  <si>
    <t>221220WWNVY-44G</t>
  </si>
  <si>
    <t>221220WWNVY</t>
  </si>
  <si>
    <t>https://image.skechers.com/img/productimages/xlarge/221221_BKCC_A.jpg</t>
  </si>
  <si>
    <t>221221BKCC-44G</t>
  </si>
  <si>
    <t>221221BKCC</t>
  </si>
  <si>
    <t>TORRYN</t>
  </si>
  <si>
    <t>Air Cooled Goga Mat Insole
Heel Pillow
Machine Washable
Max Cushioning
Natural Rocker Technology
Soft Stride
SKX Grip Rubber
Slip-Ins
Ultra Go
Vegan</t>
  </si>
  <si>
    <t>https://image.skechers.com/img/productimages/xlarge/221221_GRY_A.jpg</t>
  </si>
  <si>
    <t>221221GRY-44G</t>
  </si>
  <si>
    <t>221221GRY</t>
  </si>
  <si>
    <t>https://image.skechers.com/img/productimages/xlarge/221221_NAT_A.jpg</t>
  </si>
  <si>
    <t>221221NAT-44G</t>
  </si>
  <si>
    <t>221221NAT</t>
  </si>
  <si>
    <t>https://image.skechers.com/img/productimages/xlarge/221240_BBK_A.jpg</t>
  </si>
  <si>
    <t>221240BBK-44G</t>
  </si>
  <si>
    <t>221240BBK</t>
  </si>
  <si>
    <t>https://image.skechers.com/img/productimages/xlarge/221240_BKGY_A.jpg</t>
  </si>
  <si>
    <t>221240BKGY-44G</t>
  </si>
  <si>
    <t>221240BKGY</t>
  </si>
  <si>
    <t>Black And Charcoal Textile/Synthetic</t>
  </si>
  <si>
    <t>https://image.skechers.com/img/productimages/xlarge/221240_CCBL_A.jpg</t>
  </si>
  <si>
    <t>221240CCBL-44G</t>
  </si>
  <si>
    <t>CCBL</t>
  </si>
  <si>
    <t>221240CCBL</t>
  </si>
  <si>
    <t>https://image.skechers.com/img/productimages/xlarge/221240_WMLT_A.jpg</t>
  </si>
  <si>
    <t>221240WMLT-44G</t>
  </si>
  <si>
    <t>221240WMLT</t>
  </si>
  <si>
    <t>https://image.skechers.com/img/productimages/xlarge/221241_BBK_A.jpg</t>
  </si>
  <si>
    <t>221241BBK-44G</t>
  </si>
  <si>
    <t>221241BBK</t>
  </si>
  <si>
    <t>Athletic Mesh Lace Up W/ Hotmelt Detailing</t>
  </si>
  <si>
    <t>https://image.skechers.com/img/productimages/xlarge/221241_BKW_A.jpg</t>
  </si>
  <si>
    <t>221241BKW-44G</t>
  </si>
  <si>
    <t>221241BKW</t>
  </si>
  <si>
    <t>https://image.skechers.com/img/productimages/xlarge/221241_GRY_A.jpg</t>
  </si>
  <si>
    <t>221241GRY-44G</t>
  </si>
  <si>
    <t>221241GRY</t>
  </si>
  <si>
    <t>https://image.skechers.com/img/productimages/xlarge/221241_OLV_A.jpg</t>
  </si>
  <si>
    <t>221241OLV-44G</t>
  </si>
  <si>
    <t>221241OLV</t>
  </si>
  <si>
    <t>Olive Textile</t>
  </si>
  <si>
    <t>https://image.skechers.com/img/productimages/xlarge/221241_TPE_A.jpg</t>
  </si>
  <si>
    <t>221241TPE-44G</t>
  </si>
  <si>
    <t>221241TPE</t>
  </si>
  <si>
    <t>https://image.skechers.com/img/productimages/xlarge/221241_WHT_A.jpg</t>
  </si>
  <si>
    <t>221241WHT-44G</t>
  </si>
  <si>
    <t>221241WHT</t>
  </si>
  <si>
    <t>https://image.skechers.com/img/productimages/xlarge/221260_BLK_A.jpg</t>
  </si>
  <si>
    <t>221260BLK-44G</t>
  </si>
  <si>
    <t>221260BLK</t>
  </si>
  <si>
    <t>Slip-Ins- Athletic Mesh Bungee W/ Peekaboo Grid Underlay</t>
  </si>
  <si>
    <t>https://image.skechers.com/img/productimages/xlarge/221260_CHAR_A.jpg</t>
  </si>
  <si>
    <t>221260CHAR-44G</t>
  </si>
  <si>
    <t>221260CHAR</t>
  </si>
  <si>
    <t>https://image.skechers.com/img/productimages/xlarge/221260_WBK_A.jpg</t>
  </si>
  <si>
    <t>221260WBK-44G</t>
  </si>
  <si>
    <t>221260WBK</t>
  </si>
  <si>
    <t>https://image.skechers.com/img/productimages/xlarge/221262_BKGY_A.jpg</t>
  </si>
  <si>
    <t>221262BKGY-44G</t>
  </si>
  <si>
    <t>221262BKGY</t>
  </si>
  <si>
    <t>Two-Toned Engineered Mesh Lace Up</t>
  </si>
  <si>
    <t>Black And Gray Textile</t>
  </si>
  <si>
    <t>https://image.skechers.com/img/productimages/xlarge/221262_GRY_A.jpg</t>
  </si>
  <si>
    <t>221262GRY-44G</t>
  </si>
  <si>
    <t>221262GRY</t>
  </si>
  <si>
    <t>https://image.skechers.com/img/productimages/xlarge/221262_NVY_A.jpg</t>
  </si>
  <si>
    <t>221262NVY-44G</t>
  </si>
  <si>
    <t>221262NVY</t>
  </si>
  <si>
    <t>https://image.skechers.com/img/productimages/xlarge/221262_WGY_A.jpg</t>
  </si>
  <si>
    <t>221262WGY-44G</t>
  </si>
  <si>
    <t>221262WGY</t>
  </si>
  <si>
    <t>https://image.skechers.com/img/productimages/xlarge/232278_BBK_A.jpg</t>
  </si>
  <si>
    <t>232278BBK-43R</t>
  </si>
  <si>
    <t>232278BBK</t>
  </si>
  <si>
    <t>https://image.skechers.com/img/productimages/xlarge/232296_BBK_A.jpg</t>
  </si>
  <si>
    <t>232296BBK-43R</t>
  </si>
  <si>
    <t>232296BBK</t>
  </si>
  <si>
    <t>VINDICATOR</t>
  </si>
  <si>
    <t>Mesh Backless Slip-On W/Memory Foam</t>
  </si>
  <si>
    <t>Black Textile/ Trim</t>
  </si>
  <si>
    <t>Athletic mesh upper with a backless style
Shock-absorbing midsole
Flexible traction outsole
Machine washable
1 1/4-inch heel
Skechers® logo detail</t>
  </si>
  <si>
    <t>T - SPORT MENS</t>
  </si>
  <si>
    <t>Machine Washable
Memory Foam</t>
  </si>
  <si>
    <t>MEMORY FOAM</t>
  </si>
  <si>
    <t>https://image.skechers.com/img/productimages/xlarge/232296_BLK_A.jpg</t>
  </si>
  <si>
    <t>232296BLK-43R</t>
  </si>
  <si>
    <t>232296BLK</t>
  </si>
  <si>
    <t>https://image.skechers.com/img/productimages/xlarge/232303_GRY_A.jpg</t>
  </si>
  <si>
    <t>232303GRY-43R</t>
  </si>
  <si>
    <t>232303GRY</t>
  </si>
  <si>
    <t>https://image.skechers.com/img/productimages/xlarge/232474_BBK_A.jpg</t>
  </si>
  <si>
    <t>232474BBK-43R</t>
  </si>
  <si>
    <t>232474BBK</t>
  </si>
  <si>
    <t>https://image.skechers.com/img/productimages/xlarge/232474_BKW_A.jpg</t>
  </si>
  <si>
    <t>232474BKW-43R</t>
  </si>
  <si>
    <t>232474BKW</t>
  </si>
  <si>
    <t>https://image.skechers.com/img/productimages/xlarge/232474_CHAR_A.jpg</t>
  </si>
  <si>
    <t>232474CHAR-43R</t>
  </si>
  <si>
    <t>232474CHAR</t>
  </si>
  <si>
    <t>https://image.skechers.com/img/productimages/xlarge/232478_WHT_A.jpg</t>
  </si>
  <si>
    <t>232478WHT-43R</t>
  </si>
  <si>
    <t>232478WHT</t>
  </si>
  <si>
    <t>https://image.skechers.com/img/productimages/xlarge/232619_BLK_A.jpg</t>
  </si>
  <si>
    <t>232619BLK-43R</t>
  </si>
  <si>
    <t>232619BLK</t>
  </si>
  <si>
    <t>COZY FIT</t>
  </si>
  <si>
    <t>Cozy Fit Slip-Ins Deconstructed Quilted Upper Sneaker W/ Air-Cooled Mf</t>
  </si>
  <si>
    <t>Black Mesh/Duraleather</t>
  </si>
  <si>
    <t>Air-Cooled MF
Cozy Fit
Machine Washable
No Tie Fit
Slip-Ins</t>
  </si>
  <si>
    <t>https://image.skechers.com/img/productimages/xlarge/232619_TNCC_A.jpg</t>
  </si>
  <si>
    <t>232619TNCC-43R</t>
  </si>
  <si>
    <t>TNCC</t>
  </si>
  <si>
    <t>232619TNCC</t>
  </si>
  <si>
    <t>Taupe Mesh/Duraleather/Charcoal Trim</t>
  </si>
  <si>
    <t>https://image.skechers.com/img/productimages/xlarge/232619W_BBK_A.jpg</t>
  </si>
  <si>
    <t>232619WBBK-43R</t>
  </si>
  <si>
    <t>232619W</t>
  </si>
  <si>
    <t>232619WBBK</t>
  </si>
  <si>
    <t>Black Mesh/Duraleather/Trim</t>
  </si>
  <si>
    <t>https://image.skechers.com/img/productimages/xlarge/232619_WBK_A.jpg</t>
  </si>
  <si>
    <t>232619WBK-43R</t>
  </si>
  <si>
    <t>232619WBK</t>
  </si>
  <si>
    <t>White Mesh/Duraleather/Black Trim</t>
  </si>
  <si>
    <t>https://image.skechers.com/img/productimages/xlarge/232619W_BKW_A.jpg</t>
  </si>
  <si>
    <t>232619WBKW-43R</t>
  </si>
  <si>
    <t>232619WBKW</t>
  </si>
  <si>
    <t>Deconstructed Quilted Upper Sneaker W/ Air-Cooled Mf</t>
  </si>
  <si>
    <t>Black Mesh/Duraleather/White Trim</t>
  </si>
  <si>
    <t>Quilted fabric and synthetic overlay upper with tied-off stretch laces
Flexible traction outsole
1 1/3-inch heel height
Machine washable
Skechers® logo detail</t>
  </si>
  <si>
    <t>Air-Cooled MF
Cozy Fit
Wide Fit
Slip-Ins</t>
  </si>
  <si>
    <t>https://image.skechers.com/img/productimages/xlarge/232619W_GYNV_A.jpg</t>
  </si>
  <si>
    <t>232619WGYNV-43R</t>
  </si>
  <si>
    <t>232619WGYNV</t>
  </si>
  <si>
    <t>Gray Mesh/Duraleather/Navy Trim</t>
  </si>
  <si>
    <t>https://image.skechers.com/img/productimages/xlarge/232619_WHT_A.jpg</t>
  </si>
  <si>
    <t>232619WHT-43R</t>
  </si>
  <si>
    <t>232619WHT</t>
  </si>
  <si>
    <t>White Mesh/Duraleather</t>
  </si>
  <si>
    <t>https://image.skechers.com/img/productimages/xlarge/232619_WNV_A.jpg</t>
  </si>
  <si>
    <t>232619WNV-43R</t>
  </si>
  <si>
    <t>232619WNV</t>
  </si>
  <si>
    <t>White Mesh/Duraleather/Navy Trim</t>
  </si>
  <si>
    <t>https://image.skechers.com/img/productimages/xlarge/232619W_NVGY_A.jpg</t>
  </si>
  <si>
    <t>232619WNVGY-43R</t>
  </si>
  <si>
    <t>232619WNVGY</t>
  </si>
  <si>
    <t>Navy Mesh/Duraleather/Gray Trim</t>
  </si>
  <si>
    <t>https://image.skechers.com/img/productimages/xlarge/232619W_WBK_A.jpg</t>
  </si>
  <si>
    <t>232619WWBK-43R</t>
  </si>
  <si>
    <t>232619WWBK</t>
  </si>
  <si>
    <t>https://image.skechers.com/img/productimages/xlarge/232655_BBK_A.jpg</t>
  </si>
  <si>
    <t>232655BBK-43R</t>
  </si>
  <si>
    <t>232655BBK</t>
  </si>
  <si>
    <t>SKECH-AIR VENTURA</t>
  </si>
  <si>
    <t>Engineered Mesh Skech-Air Stretch Lace Sneaker W/ Air-Cooled Memory Foam</t>
  </si>
  <si>
    <t>Black Mesh/Synthetic</t>
  </si>
  <si>
    <t>Skechers Air-Cooled Memory Foam® cushioned comfort insole
Skech-Air® visible air-bag midsole
Crafted with 100% vegan materials</t>
  </si>
  <si>
    <t>Engineered mesh and synthetic upper with stretch lace front
Articulated flexible traction outsole
1 1/2-inch heel height
Skechers® logo detail</t>
  </si>
  <si>
    <t>Air-Cooled MF
Skech-Air
Vegan</t>
  </si>
  <si>
    <t>https://image.skechers.com/img/productimages/xlarge/232655_BKBL_A.jpg</t>
  </si>
  <si>
    <t>232655BKBL-43R</t>
  </si>
  <si>
    <t>BKBL</t>
  </si>
  <si>
    <t>232655BKBL</t>
  </si>
  <si>
    <t>https://image.skechers.com/img/productimages/xlarge/232655_GYCC_A.jpg</t>
  </si>
  <si>
    <t>232655GYCC-43R</t>
  </si>
  <si>
    <t>232655GYCC</t>
  </si>
  <si>
    <t>https://image.skechers.com/img/productimages/xlarge/232655_OFWT_A.jpg</t>
  </si>
  <si>
    <t>232655OFWT-43R</t>
  </si>
  <si>
    <t>232655OFWT</t>
  </si>
  <si>
    <t>Off White Mesh/Synthetic</t>
  </si>
  <si>
    <t>https://image.skechers.com/img/productimages/xlarge/232655_OLBK_A.jpg</t>
  </si>
  <si>
    <t>232655OLBK-43R</t>
  </si>
  <si>
    <t>OLBK</t>
  </si>
  <si>
    <t>232655OLBK</t>
  </si>
  <si>
    <t>https://image.skechers.com/img/productimages/xlarge/232657_BBK_A.jpg</t>
  </si>
  <si>
    <t>232657BBK-43R</t>
  </si>
  <si>
    <t>232657BBK</t>
  </si>
  <si>
    <t>REVELL</t>
  </si>
  <si>
    <t>Tpu Overlay Mesh Lace Up Skech-Air Sneaker W/ Air-Cooled Memory Foam</t>
  </si>
  <si>
    <t>Skechers Air-Cooled Memory Foam® cushioned comfort insole
Skech-Air® visible air-bag midsole</t>
  </si>
  <si>
    <t>Mesh and synthetic overlay upper with a lace-up front
Flexible traction outsole
1 1/2-inch heel height
Skechers® logo detail</t>
  </si>
  <si>
    <t>https://image.skechers.com/img/productimages/xlarge/232657_WBK_A.jpg</t>
  </si>
  <si>
    <t>232657WBK-43R</t>
  </si>
  <si>
    <t>232657WBK</t>
  </si>
  <si>
    <t>White Pu/Mesh/Black Trim</t>
  </si>
  <si>
    <t>https://image.skechers.com/img/productimages/xlarge/232713_BBK_A.jpg</t>
  </si>
  <si>
    <t>232713BBK-43R</t>
  </si>
  <si>
    <t>232713BBK</t>
  </si>
  <si>
    <t>VORTARO</t>
  </si>
  <si>
    <t>Slip Ins Engineered Mesh Lace Up Sneaker</t>
  </si>
  <si>
    <t>Black Mesh/Pu</t>
  </si>
  <si>
    <t>Air-Cooled
Arch Fit
Slip-Ins</t>
  </si>
  <si>
    <t>https://image.skechers.com/img/productimages/xlarge/232713_BKRD_A.jpg</t>
  </si>
  <si>
    <t>232713BKRD-43R</t>
  </si>
  <si>
    <t>BKRD</t>
  </si>
  <si>
    <t>232713BKRD</t>
  </si>
  <si>
    <t>Black Mesh/Red Pu</t>
  </si>
  <si>
    <t>https://image.skechers.com/img/productimages/xlarge/232713_GYBL_A.jpg</t>
  </si>
  <si>
    <t>232713GYBL-43R</t>
  </si>
  <si>
    <t>GYBL</t>
  </si>
  <si>
    <t>232713GYBL</t>
  </si>
  <si>
    <t>Gray Mesh/Blue Pu</t>
  </si>
  <si>
    <t>https://image.skechers.com/img/productimages/xlarge/232730WW_BBK_A.jpg</t>
  </si>
  <si>
    <t>232730WWBBK-43R</t>
  </si>
  <si>
    <t>232730WW</t>
  </si>
  <si>
    <t>232730WWBBK</t>
  </si>
  <si>
    <t>DURHAM</t>
  </si>
  <si>
    <t>DELCK</t>
  </si>
  <si>
    <t>Relaxed Fit Leather Leather Lace-Up Sneaker W/  Mf</t>
  </si>
  <si>
    <t>Black Leather/Duraleather/Textile</t>
  </si>
  <si>
    <t>Skechers Memory Foam™ cushioned comfort insole
Relaxed Fit® for a roomy comfort fit at toe and forefoot</t>
  </si>
  <si>
    <t>Lace-up leather and synthetic upper
Flexible traction outsole
1 1/4-inch heel height
Skechers® logo detail</t>
  </si>
  <si>
    <t>Memory Foam
Relaxed Fit</t>
  </si>
  <si>
    <t>https://image.skechers.com/img/productimages/xlarge/232730WW_WNV_A.jpg</t>
  </si>
  <si>
    <t>232730WWWNV-43R</t>
  </si>
  <si>
    <t>232730WWWNV</t>
  </si>
  <si>
    <t>White Leather/Duraleather/Textile/ Navy</t>
  </si>
  <si>
    <t>https://image.skechers.com/img/productimages/xlarge/232844_BBK_A.jpg</t>
  </si>
  <si>
    <t>232844BBK-43R</t>
  </si>
  <si>
    <t>232844BBK</t>
  </si>
  <si>
    <t>EDGERIDE</t>
  </si>
  <si>
    <t>EXODIS</t>
  </si>
  <si>
    <t>Relaxed Fit Opm Duraleather Overlay Mesh Lace-Up W/ Air-Cooled Mf</t>
  </si>
  <si>
    <t>Black Duraleather/Mesh</t>
  </si>
  <si>
    <t>Made with at least 20% recycled content by weight, which helps to reduce waste
Skechers Air-Cooled Memory Foam® cushioned comfort insole
Relaxed Fit® for a roomy comfort fit at toe and forefoot
Crafted with 100% vegan materials</t>
  </si>
  <si>
    <t>Mesh upper with duraleather overlays and lace-up front
Well-cushioned midsole with flexible traction outsole
1 1/2-inch heel height
Machine washable
Skechers® logo detail</t>
  </si>
  <si>
    <t>Air-Cooled MF
Machine Washable
Our Planet Matters- Recycled
Relaxed Fit</t>
  </si>
  <si>
    <t>https://image.skechers.com/img/productimages/xlarge/232844_BKW_A.jpg</t>
  </si>
  <si>
    <t>232844BKW-43R</t>
  </si>
  <si>
    <t>232844BKW</t>
  </si>
  <si>
    <t>Black Duraleather/Mesh/White Trim</t>
  </si>
  <si>
    <t>https://image.skechers.com/img/productimages/xlarge/232844_CHAR_A.jpg</t>
  </si>
  <si>
    <t>232844CHAR-43R</t>
  </si>
  <si>
    <t>232844CHAR</t>
  </si>
  <si>
    <t>Charcoal Duraleather/Mesh</t>
  </si>
  <si>
    <t>https://image.skechers.com/img/productimages/xlarge/232844_GRY_A.jpg</t>
  </si>
  <si>
    <t>232844GRY-43R</t>
  </si>
  <si>
    <t>232844GRY</t>
  </si>
  <si>
    <t>Gray Duraleather/Mesh</t>
  </si>
  <si>
    <t>https://image.skechers.com/img/productimages/xlarge/232844_NAT_A.jpg</t>
  </si>
  <si>
    <t>232844NAT-43R</t>
  </si>
  <si>
    <t>232844NAT</t>
  </si>
  <si>
    <t>Natural Duraleather/Mesh</t>
  </si>
  <si>
    <t>https://image.skechers.com/img/productimages/xlarge/232846_BBK_A.jpg</t>
  </si>
  <si>
    <t>232846BBK-43R</t>
  </si>
  <si>
    <t>232846BBK</t>
  </si>
  <si>
    <t>ERLSON</t>
  </si>
  <si>
    <t>Slip-Ins Engineered Knit Bungee Lace Sneaker W/ Acmf</t>
  </si>
  <si>
    <t>Black Knit/Pu</t>
  </si>
  <si>
    <t>Air-Cooled MF
Relaxed Fit
Slip-Ins
Vegan</t>
  </si>
  <si>
    <t>https://image.skechers.com/img/productimages/xlarge/232846_BKW_A.jpg</t>
  </si>
  <si>
    <t>232846BKW-43R</t>
  </si>
  <si>
    <t>232846BKW</t>
  </si>
  <si>
    <t>Black Knit/White Pu</t>
  </si>
  <si>
    <t>https://image.skechers.com/img/productimages/xlarge/232846_WBK_A.jpg</t>
  </si>
  <si>
    <t>232846WBK-43R</t>
  </si>
  <si>
    <t>232846WBK</t>
  </si>
  <si>
    <t>White Knit/Black Pu</t>
  </si>
  <si>
    <t>https://image.skechers.com/img/productimages/xlarge/232900_BBK_A.jpg</t>
  </si>
  <si>
    <t>232900BBK-43R</t>
  </si>
  <si>
    <t>232900BBK</t>
  </si>
  <si>
    <t>CRAYN</t>
  </si>
  <si>
    <t>Slip-Ins Arch Fit Stretch Knit Slip-On Sneaker W/ Air-Cooled Mf</t>
  </si>
  <si>
    <t>This design has been granted the Seal of Acceptance by the American Podiatric Medical Association (APMA)
Skechers Hands Free Slip-ins® for an easy fit
Heel Pillow® holds your foot securely in place
Patented Skechers Arch Fit® insole system with podiatrist-certified arch support
Podiatrist-designed shape developed with 20 years of data and 120,000 unweighted foot scans
Removable insole helps mold to your foot to reduce shock and increase weight dispersion</t>
  </si>
  <si>
    <t>Stretch Fit® design for sock-like comfort
Crafted with 100% vegan materials
Laceless engineered knit upper
Machine washable
Flexible traction outsole
1 3/4-inch heel height
Skechers® and Arch Fit® logo details</t>
  </si>
  <si>
    <t>APMA Seal of Acceptance
Arch Fit
Heel Pillow
Machine Washable
Slip-Ins
Stretch Fit
Vegan</t>
  </si>
  <si>
    <t>https://image.skechers.com/img/productimages/xlarge/232900_NVY_A.jpg</t>
  </si>
  <si>
    <t>232900NVY-43R</t>
  </si>
  <si>
    <t>232900NVY</t>
  </si>
  <si>
    <t>https://image.skechers.com/img/productimages/xlarge/232900_OLV_A.jpg</t>
  </si>
  <si>
    <t>232900OLV-43R</t>
  </si>
  <si>
    <t>232900OLV</t>
  </si>
  <si>
    <t>https://image.skechers.com/img/productimages/xlarge/232930_GYCC_A.jpg</t>
  </si>
  <si>
    <t>232930GYCC-43R</t>
  </si>
  <si>
    <t>232930GYCC</t>
  </si>
  <si>
    <t>Slip-Ins Mesh Bungee Sneaker W/ Air-Cooled Mf</t>
  </si>
  <si>
    <t>Gray Mesh/Hotmelt /Charcoal Trim</t>
  </si>
  <si>
    <t>Skechers Hands Free Slip-ins® for an easy fit
Heel Pillow® holds your foot securely in place
Skechers Air-Cooled Memory Foam® cushioned comfort insole
Glide-Step® geometric midsole designed to provide natural momentum with every step
Crafted with 100% vegan materials</t>
  </si>
  <si>
    <t>Mesh and synthetic upper with tied-off stretch laces
Flexible traction outsole
1 1/2-inch heel height
Machine washable
Skechers® logo detail</t>
  </si>
  <si>
    <t>https://image.skechers.com/img/productimages/xlarge/232930_NAT_A.jpg</t>
  </si>
  <si>
    <t>232930NAT-43R</t>
  </si>
  <si>
    <t>232930NAT</t>
  </si>
  <si>
    <t>Natural Mesh/Hotmelt</t>
  </si>
  <si>
    <t>https://image.skechers.com/img/productimages/xlarge/232930W_BBK_A.jpg</t>
  </si>
  <si>
    <t>232930WBBK-43R</t>
  </si>
  <si>
    <t>232930W</t>
  </si>
  <si>
    <t>232930WBBK</t>
  </si>
  <si>
    <t>Black Mesh/Hotmelt</t>
  </si>
  <si>
    <t>https://image.skechers.com/img/productimages/xlarge/232930W_BLK_A.jpg</t>
  </si>
  <si>
    <t>232930WBLK-43R</t>
  </si>
  <si>
    <t>232930WBLK</t>
  </si>
  <si>
    <t>https://image.skechers.com/img/productimages/xlarge/232930W_NVY_A.jpg</t>
  </si>
  <si>
    <t>232930WNVY-43R</t>
  </si>
  <si>
    <t>232930WNVY</t>
  </si>
  <si>
    <t>Navy Mesh/Hotmelt</t>
  </si>
  <si>
    <t>https://image.skechers.com/img/productimages/xlarge/233023_BKCC_A.jpg</t>
  </si>
  <si>
    <t>233023BKCC-43R</t>
  </si>
  <si>
    <t>233023BKCC</t>
  </si>
  <si>
    <t>APHTUR</t>
  </si>
  <si>
    <t>Slip-Ins Engineered Jacquard Bungee Slip On W/ Acmf</t>
  </si>
  <si>
    <t>Black Knit/Pu/Charcoal Trim</t>
  </si>
  <si>
    <t>Skechers Hands Free Slip-ins® for an easy fit
Heel Pillow® holds your foot securely in place
Glide-Step® geometric midsole designed to provide natural momentum with every step
Skechers Air-Cooled Memory Foam® cushioned comfort insole
No Tie Fit™ - laces never come untied
Crafted with 100% vegan materials</t>
  </si>
  <si>
    <t>Engineered jacquard knit upper with synthetic overlays and stretch laces
Super flexible traction outsole
1 3/4-inch heel height
Machine washable
Skechers® logo detail</t>
  </si>
  <si>
    <t>Air-Cooled MF
Glide-Step
Machine Washable
No Tie Fit
Slip-Ins
Vegan</t>
  </si>
  <si>
    <t>https://image.skechers.com/img/productimages/xlarge/233023_GYBK_A.jpg</t>
  </si>
  <si>
    <t>233023GYBK-43R</t>
  </si>
  <si>
    <t>233023GYBK</t>
  </si>
  <si>
    <t>Gray Knit/Pu/Black Trim</t>
  </si>
  <si>
    <t>https://image.skechers.com/img/productimages/xlarge/233023_WGY_A.jpg</t>
  </si>
  <si>
    <t>233023WGY-43R</t>
  </si>
  <si>
    <t>233023WGY</t>
  </si>
  <si>
    <t>White Knit/Gray Pu</t>
  </si>
  <si>
    <t>https://image.skechers.com/img/productimages/xlarge/233035_BBK_A.jpg</t>
  </si>
  <si>
    <t>233035BBK-43R</t>
  </si>
  <si>
    <t>233035BBK</t>
  </si>
  <si>
    <t>BOUNDER 2.0</t>
  </si>
  <si>
    <t>TORVAN</t>
  </si>
  <si>
    <t>Slip-Ins Engineered Mesh Flat Gore Sneaker W/ Air-Cooled Memory Foam</t>
  </si>
  <si>
    <t>https://image.skechers.com/img/productimages/xlarge/233035_BKGY_A.jpg</t>
  </si>
  <si>
    <t>233035BKGY-43R</t>
  </si>
  <si>
    <t>233035BKGY</t>
  </si>
  <si>
    <t>Black Mesh/ Synthetic/ Gray Trim</t>
  </si>
  <si>
    <t>https://image.skechers.com/img/productimages/xlarge/233035_GYNV_A.jpg</t>
  </si>
  <si>
    <t>233035GYNV-43R</t>
  </si>
  <si>
    <t>233035GYNV</t>
  </si>
  <si>
    <t>Gray Mesh /Synthetic / Navy Trim</t>
  </si>
  <si>
    <t>https://image.skechers.com/img/productimages/xlarge/233035_OFWT_A.jpg</t>
  </si>
  <si>
    <t>233035OFWT-43R</t>
  </si>
  <si>
    <t>233035OFWT</t>
  </si>
  <si>
    <t>Off White Mesh / Synthetic</t>
  </si>
  <si>
    <t>https://image.skechers.com/img/productimages/xlarge/233037_BBK_A.jpg</t>
  </si>
  <si>
    <t>233037BBK-43R</t>
  </si>
  <si>
    <t>233037BBK</t>
  </si>
  <si>
    <t>TRACK</t>
  </si>
  <si>
    <t>FENOR</t>
  </si>
  <si>
    <t>Slip-ins Stretch Knit Slip On &amp; Acmf</t>
  </si>
  <si>
    <t>Black  Knit / Black Trim</t>
  </si>
  <si>
    <t>Air-Cooled MF
Machine Washable
Slip-Ins
Stretch Knit
Vegan</t>
  </si>
  <si>
    <t>https://image.skechers.com/img/productimages/xlarge/233037_BKCC_A.jpg</t>
  </si>
  <si>
    <t>233037BKCC-43R</t>
  </si>
  <si>
    <t>233037BKCC</t>
  </si>
  <si>
    <t>Black Knit / Charcoal Trim</t>
  </si>
  <si>
    <t>https://image.skechers.com/img/productimages/xlarge/233037_BLU_A.jpg</t>
  </si>
  <si>
    <t>233037BLU-43R</t>
  </si>
  <si>
    <t>233037BLU</t>
  </si>
  <si>
    <t>https://image.skechers.com/img/productimages/xlarge/233037_GYNV_A.jpg</t>
  </si>
  <si>
    <t>233037GYNV-43R</t>
  </si>
  <si>
    <t>233037GYNV</t>
  </si>
  <si>
    <t>Gray Knit / Navy Trim</t>
  </si>
  <si>
    <t>https://image.skechers.com/img/productimages/xlarge/233045_BBK_A.jpg</t>
  </si>
  <si>
    <t>233045BBK-43R</t>
  </si>
  <si>
    <t>233045BBK</t>
  </si>
  <si>
    <t>TOP RATE</t>
  </si>
  <si>
    <t>Slip-Ins Engineered Mesh Bungee Sneaker With 3d Hotmelt &amp; Mf</t>
  </si>
  <si>
    <t>Black Mesh/Tpu</t>
  </si>
  <si>
    <t>Engineered mesh and 3D hotmelt overlay upper with stretch laces
Lightweight flexible shock-absorbing midsole
Flexible traction outsole
1 1/4-inch heel height
Machine washable
Skechers® logo detail</t>
  </si>
  <si>
    <t>Machine Washable
Memory Foam
No Tie Fit
Slip-Ins
Vegan</t>
  </si>
  <si>
    <t>https://image.skechers.com/img/productimages/xlarge/233045_TPBK_A.jpg</t>
  </si>
  <si>
    <t>233045TPBK-43R</t>
  </si>
  <si>
    <t>233045TPBK</t>
  </si>
  <si>
    <t>Taupe Mesh/Black Tpu</t>
  </si>
  <si>
    <t>https://image.skechers.com/img/productimages/xlarge/233045W_BKCC_A.jpg</t>
  </si>
  <si>
    <t>233045WBKCC-43R</t>
  </si>
  <si>
    <t>233045W</t>
  </si>
  <si>
    <t>233045WBKCC</t>
  </si>
  <si>
    <t>Black Mesh/Charcoal Tpu</t>
  </si>
  <si>
    <t>Wide Fit
Machine Washable
Memory Foam
No Tie Fit
Slip-Ins
Vegan</t>
  </si>
  <si>
    <t>https://image.skechers.com/img/productimages/xlarge/233047_GYBL_A.jpg</t>
  </si>
  <si>
    <t>233047GYBL-43R</t>
  </si>
  <si>
    <t>233047GYBL</t>
  </si>
  <si>
    <t>LEYTER</t>
  </si>
  <si>
    <t>Slip-Ins Engineered Knit Slip On Sneaker With 3d Hotmelt &amp; acMf</t>
  </si>
  <si>
    <t>Engineered knit and hotmelt overlay upper with fixed stretch laces
Lightweight flexible shock-absorbing midsole
Flexible traction outsole
Machine washable
1 1/4-inch heel height
Skechers® logo detail</t>
  </si>
  <si>
    <t>Air-Cooled MF
No Tie Fit
Slip-Ins
Vegan
Washable</t>
  </si>
  <si>
    <t>https://image.skechers.com/img/productimages/xlarge/233047_NVBL_A.jpg</t>
  </si>
  <si>
    <t>233047NVBL-43R</t>
  </si>
  <si>
    <t>233047NVBL</t>
  </si>
  <si>
    <t>Navy Mesh/Blue Pu</t>
  </si>
  <si>
    <t>https://image.skechers.com/img/productimages/xlarge/233047W_BBK_A.jpg</t>
  </si>
  <si>
    <t>233047WBBK-43R</t>
  </si>
  <si>
    <t>233047W</t>
  </si>
  <si>
    <t>233047WBBK</t>
  </si>
  <si>
    <t>Black Knit / Tpu</t>
  </si>
  <si>
    <t>https://image.skechers.com/img/productimages/xlarge/233047W_BKW_A.jpg</t>
  </si>
  <si>
    <t>233047WBKW-43R</t>
  </si>
  <si>
    <t>233047WBKW</t>
  </si>
  <si>
    <t>Black Mesh/White Pu</t>
  </si>
  <si>
    <t>https://image.skechers.com/img/productimages/xlarge/233076_BKCC_A.jpg</t>
  </si>
  <si>
    <t>233076BKCC-43R</t>
  </si>
  <si>
    <t>233076BKCC</t>
  </si>
  <si>
    <t>VERTEX</t>
  </si>
  <si>
    <t>ARKE</t>
  </si>
  <si>
    <t>Leather Overlay Mesh Lace Up Sneaker W/ Swan Logo</t>
  </si>
  <si>
    <t>Black Leather/Mesh/Charcoal Pu</t>
  </si>
  <si>
    <t>Mesh and leather overlay upper with swan logo
Retro-inspired lace-up jogger
Well-cushioned midsole
Flexible traction outsole
1 1/4-inch heel height
Skechers® logo detail</t>
  </si>
  <si>
    <t>https://image.skechers.com/img/productimages/xlarge/233076_NAT_A.jpg</t>
  </si>
  <si>
    <t>233076NAT-43R</t>
  </si>
  <si>
    <t>233076NAT</t>
  </si>
  <si>
    <t>Natural Leather/Pu/Mesh</t>
  </si>
  <si>
    <t>https://image.skechers.com/img/productimages/xlarge/233076_OLV_A.jpg</t>
  </si>
  <si>
    <t>233076OLV-43R</t>
  </si>
  <si>
    <t>233076OLV</t>
  </si>
  <si>
    <t>Olive Leather/Pu/Mesh</t>
  </si>
  <si>
    <t>https://image.skechers.com/img/productimages/xlarge/233110_BLLM_A.jpg</t>
  </si>
  <si>
    <t>233110BLLM-43R</t>
  </si>
  <si>
    <t>BLLM</t>
  </si>
  <si>
    <t>233110BLLM</t>
  </si>
  <si>
    <t>Slip Ins Engineered Jacquard Knit Bungee Sneaker w/ acmf</t>
  </si>
  <si>
    <t>Blue Knit/Pu/Lime Trim</t>
  </si>
  <si>
    <t>Skechers Hands Free Slip-ins® for an easy fit
Heel Pillow® holds your foot securely in place
Patented Skechers Arch Fit® insole system with podiatrist-certified arch support, developed with 20 years of data and 120,000 unweighted foot scans
Removable insole helps mold to your foot to reduce shock and increase weight dispersion
Glide-Step® geometric midsole designed to provide natural momentum with every step</t>
  </si>
  <si>
    <t>Engineered jacquard knit upper with tied-off stretch laces
Crafted with 100% vegan materials
No Tie Fit® - laces never come untied
Super flexible traction outsole
1 3/4-inch heel height
Skechers® logo detail</t>
  </si>
  <si>
    <t>https://image.skechers.com/img/productimages/xlarge/233110_CCBL_A.jpg</t>
  </si>
  <si>
    <t>233110CCBL-43R</t>
  </si>
  <si>
    <t>233110CCBL</t>
  </si>
  <si>
    <t>Charcoal Knit/Pu/Blue Trim</t>
  </si>
  <si>
    <t>https://image.skechers.com/img/productimages/xlarge/233110_NTOR_A.jpg</t>
  </si>
  <si>
    <t>233110NTOR-43R</t>
  </si>
  <si>
    <t>NTOR</t>
  </si>
  <si>
    <t>233110NTOR</t>
  </si>
  <si>
    <t>Natural Knit/Pu/Orange Trim</t>
  </si>
  <si>
    <t>https://image.skechers.com/img/productimages/xlarge/233113_BBK_A.jpg</t>
  </si>
  <si>
    <t>233113BBK-43R</t>
  </si>
  <si>
    <t>233113BBK</t>
  </si>
  <si>
    <t>FARDOH</t>
  </si>
  <si>
    <t>Arch Fit Bungee Lace Mesh Slip on w/ Hotmelt Detail</t>
  </si>
  <si>
    <t>Air-Cooled
APMA Seal of Acceptance
Arch Fit
Glide-Step
Machine Washable
No Tie Fit
Vegan</t>
  </si>
  <si>
    <t>https://image.skechers.com/img/productimages/xlarge/233113_GYMT_A.jpg</t>
  </si>
  <si>
    <t>233113GYMT-43R</t>
  </si>
  <si>
    <t>233113GYMT</t>
  </si>
  <si>
    <t>Gray Mesh/Hotmelt/Multi Trim</t>
  </si>
  <si>
    <t>https://image.skechers.com/img/productimages/xlarge/233113_OLBK_A.jpg</t>
  </si>
  <si>
    <t>233113OLBK-43R</t>
  </si>
  <si>
    <t>233113OLBK</t>
  </si>
  <si>
    <t>Olive Mesh/Hotmelt/Black Trim</t>
  </si>
  <si>
    <t>https://image.skechers.com/img/productimages/xlarge/233132_BKBL_A.jpg</t>
  </si>
  <si>
    <t>233132BKBL-43R</t>
  </si>
  <si>
    <t>233132BKBL</t>
  </si>
  <si>
    <t>WAVERRA</t>
  </si>
  <si>
    <t>Engineered Jacquard Knit Flat Gore Slip On Sneaker</t>
  </si>
  <si>
    <t>Black Knit/Synthetic/Blue Trim</t>
  </si>
  <si>
    <t>Glide-Step® geometric midsole designed to provide natural momentum with every step
Skechers Air-Cooled Memory Foam® cushioned comfort insole
No Tie Fit® - laces never come untied
Crafted with 100% vegan materials</t>
  </si>
  <si>
    <t>https://image.skechers.com/img/productimages/xlarge/233132_BKCC_A.jpg</t>
  </si>
  <si>
    <t>233132BKCC-43R</t>
  </si>
  <si>
    <t>233132BKCC</t>
  </si>
  <si>
    <t>Black/Black Knit/Synthetic/Charcoal Trim</t>
  </si>
  <si>
    <t>https://image.skechers.com/img/productimages/xlarge/233132_BKW_A.jpg</t>
  </si>
  <si>
    <t>233132BKW-43R</t>
  </si>
  <si>
    <t>233132BKW</t>
  </si>
  <si>
    <t>Black Knit/White Synthetic</t>
  </si>
  <si>
    <t>https://image.skechers.com/img/productimages/xlarge/233132_NVGY_A.jpg</t>
  </si>
  <si>
    <t>233132NVGY-43R</t>
  </si>
  <si>
    <t>233132NVGY</t>
  </si>
  <si>
    <t>Navy Knit/Synthetic/Gray Trim</t>
  </si>
  <si>
    <t>https://image.skechers.com/img/productimages/xlarge/233132_TPBG_A.jpg</t>
  </si>
  <si>
    <t>233132TPBG-43R</t>
  </si>
  <si>
    <t>233132TPBG</t>
  </si>
  <si>
    <t>Taupe Knit/Synthetic/Burgundy Trim</t>
  </si>
  <si>
    <t>https://image.skechers.com/img/productimages/xlarge/233132_TPE_A.jpg</t>
  </si>
  <si>
    <t>233132TPE-43R</t>
  </si>
  <si>
    <t>233132TPE</t>
  </si>
  <si>
    <t>Taupe Knit/Synthetic</t>
  </si>
  <si>
    <t>https://image.skechers.com/img/productimages/xlarge/233132_WLB_A.jpg</t>
  </si>
  <si>
    <t>233132WLB-43R</t>
  </si>
  <si>
    <t>233132WLB</t>
  </si>
  <si>
    <t>White Knit/Synthetic/Light Blue Trim</t>
  </si>
  <si>
    <t>https://image.skechers.com/img/productimages/xlarge/233133_BBK_A.jpg</t>
  </si>
  <si>
    <t>233133BBK-43R</t>
  </si>
  <si>
    <t>233133BBK</t>
  </si>
  <si>
    <t>VEXEL</t>
  </si>
  <si>
    <t>Slip-Ins Stretch Knit Slip On W/ Air-Cooled Memory Foam</t>
  </si>
  <si>
    <t>https://image.skechers.com/img/productimages/xlarge/233133_BLK_A.jpg</t>
  </si>
  <si>
    <t>233133BLK-43R</t>
  </si>
  <si>
    <t>233133BLK</t>
  </si>
  <si>
    <t>https://image.skechers.com/img/productimages/xlarge/233133_NVY_A.jpg</t>
  </si>
  <si>
    <t>233133NVY-43R</t>
  </si>
  <si>
    <t>233133NVY</t>
  </si>
  <si>
    <t>https://image.skechers.com/img/productimages/xlarge/233133_TPE_A.jpg</t>
  </si>
  <si>
    <t>233133TPE-43R</t>
  </si>
  <si>
    <t>233133TPE</t>
  </si>
  <si>
    <t>https://image.skechers.com/img/productimages/xlarge/233135_BBK_A.jpg</t>
  </si>
  <si>
    <t>233135BBK-43R</t>
  </si>
  <si>
    <t>233135BBK</t>
  </si>
  <si>
    <t>CHACHING</t>
  </si>
  <si>
    <t>Slip-Ins Waterproof Engineered Mesh Lace Up Sneaker W/ Acmf</t>
  </si>
  <si>
    <t>Air-Cooled MF
Breathe Easy Technology
Glide-Step
Waterproof
Machine Washable
Slip-Ins
Vegan</t>
  </si>
  <si>
    <t>https://image.skechers.com/img/productimages/xlarge/233135_GYCC_A.jpg</t>
  </si>
  <si>
    <t>233135GYCC-43R</t>
  </si>
  <si>
    <t>233135GYCC</t>
  </si>
  <si>
    <t>Gray Mesh/Synthetic/Charcoal Trim</t>
  </si>
  <si>
    <t>https://image.skechers.com/img/productimages/xlarge/233177WW_BBK_A.jpg</t>
  </si>
  <si>
    <t>233177WWBBK-43R</t>
  </si>
  <si>
    <t>233177WW</t>
  </si>
  <si>
    <t>233177WWBBK</t>
  </si>
  <si>
    <t>KYNOR</t>
  </si>
  <si>
    <t>Mesh Bungee Slip-Ins W/ Air-Cooled Mf</t>
  </si>
  <si>
    <t>This design has been granted the Seal of Acceptance by the American Podiatric Medical Association (APMA)
Skechers Hands Free Slip-ins® for an easy fit
Heel Pillow® holds your foot securely in place
Patented Skechers Arch Fit® insole system with podiatrist-certified arch support, developed with 20 years of data and 120,000 unweighted foot scans
Removable insole helps mold to your foot to reduce shock and increase weight dispersion
No Tie Fit® - laces never come untied</t>
  </si>
  <si>
    <t>Crafted with 100% vegan materials
Mesh upper with fixed stretch laces
Lightweight shock-absorbing midsole
Flexible traction outsole
1-inch heel height
Skechers® logo detail</t>
  </si>
  <si>
    <t>APMA Seal of Acceptance
Arch Fit
No Tie Fit
Slip-Ins
Vegan</t>
  </si>
  <si>
    <t>https://image.skechers.com/img/productimages/xlarge/233177WW_BKBL_A.jpg</t>
  </si>
  <si>
    <t>233177WWBKBL-43R</t>
  </si>
  <si>
    <t>233177WWBKBL</t>
  </si>
  <si>
    <t>Black Mesh / Blue Trim</t>
  </si>
  <si>
    <t>https://image.skechers.com/img/productimages/xlarge/233177WW_NVYL_A.jpg</t>
  </si>
  <si>
    <t>233177WWNVYL-43R</t>
  </si>
  <si>
    <t>NVYL</t>
  </si>
  <si>
    <t>233177WWNVYL</t>
  </si>
  <si>
    <t>Navy Mesh / Yellow Trim</t>
  </si>
  <si>
    <t>https://image.skechers.com/img/productimages/xlarge/233184_NVY_A.jpg</t>
  </si>
  <si>
    <t>233184NVY-43R</t>
  </si>
  <si>
    <t>233184NVY</t>
  </si>
  <si>
    <t>BERRIX</t>
  </si>
  <si>
    <t>Navy Mesh/Pu</t>
  </si>
  <si>
    <t>Skechers Air-Cooled Memory Foam® cushioned comfort insole
Crafted with 100% vegan materials</t>
  </si>
  <si>
    <t>Engineered mesh upper with lace-up front
Shock-absorbing Skech-Lite midsole
Flexible traction outsole
1 1/4-inch heel height
Machine washable
Skechers® logo detail</t>
  </si>
  <si>
    <t>https://image.skechers.com/img/productimages/xlarge/233184W_BBK_A.jpg</t>
  </si>
  <si>
    <t>233184WBBK-43R</t>
  </si>
  <si>
    <t>233184W</t>
  </si>
  <si>
    <t>233184WBBK</t>
  </si>
  <si>
    <t>https://image.skechers.com/img/productimages/xlarge/233184W_BKGY_A.jpg</t>
  </si>
  <si>
    <t>233184WBKGY-43R</t>
  </si>
  <si>
    <t>233184WBKGY</t>
  </si>
  <si>
    <t>Black Mesh/Gray Pu</t>
  </si>
  <si>
    <t>https://image.skechers.com/img/productimages/xlarge/233201_BBK_A.jpg</t>
  </si>
  <si>
    <t>233201BBK-43R</t>
  </si>
  <si>
    <t>233201BBK</t>
  </si>
  <si>
    <t>CALVERA</t>
  </si>
  <si>
    <t>Slip-Ins Stretch Fit Knit Slip-On Sneaker W/ ACMF</t>
  </si>
  <si>
    <t>Engineered knit upper in a laceless fit
Flexible traction outsole
1 1/4-inch heel height
Skechers® logo detail</t>
  </si>
  <si>
    <t>Air-Cooled MF
Slip-Ins
Ultra Stretch Fit
Vegan</t>
  </si>
  <si>
    <t>https://image.skechers.com/img/productimages/xlarge/233201_BKGY_A.jpg</t>
  </si>
  <si>
    <t>233201BKGY-43R</t>
  </si>
  <si>
    <t>233201BKGY</t>
  </si>
  <si>
    <t>https://image.skechers.com/img/productimages/xlarge/233201_GYCC_A.jpg</t>
  </si>
  <si>
    <t>233201GYCC-43R</t>
  </si>
  <si>
    <t>233201GYCC</t>
  </si>
  <si>
    <t>Gray Knit / Charcoal</t>
  </si>
  <si>
    <t>https://image.skechers.com/img/productimages/xlarge/233201_NVW_A.jpg</t>
  </si>
  <si>
    <t>233201NVW-43R</t>
  </si>
  <si>
    <t>233201NVW</t>
  </si>
  <si>
    <t>Navy Knit/White Trim</t>
  </si>
  <si>
    <t>https://image.skechers.com/img/productimages/xlarge/233201_NVY_A.jpg</t>
  </si>
  <si>
    <t>233201NVY-43R</t>
  </si>
  <si>
    <t>233201NVY</t>
  </si>
  <si>
    <t>https://image.skechers.com/img/productimages/xlarge/233201_TPE_A.jpg</t>
  </si>
  <si>
    <t>233201TPE-43R</t>
  </si>
  <si>
    <t>233201TPE</t>
  </si>
  <si>
    <t>https://image.skechers.com/img/productimages/xlarge/233218_BBK_A.jpg</t>
  </si>
  <si>
    <t>233218BBK-43R</t>
  </si>
  <si>
    <t>233218BBK</t>
  </si>
  <si>
    <t>Slip-Ins Relaxed Fit Engineered Mesh Stretch Lace Slip On w/ Acmf</t>
  </si>
  <si>
    <t>Machine Washable
No Tie Fit
Slip-Ins
Vegan</t>
  </si>
  <si>
    <t>https://image.skechers.com/img/productimages/xlarge/233218_GYNV_A.jpg</t>
  </si>
  <si>
    <t>233218GYNV-43R</t>
  </si>
  <si>
    <t>233218GYNV</t>
  </si>
  <si>
    <t>Gray Mesh/Synthetic/Navy Trim</t>
  </si>
  <si>
    <t>https://image.skechers.com/img/productimages/xlarge/233218_SLT_A.jpg</t>
  </si>
  <si>
    <t>233218SLT-43R</t>
  </si>
  <si>
    <t>233218SLT</t>
  </si>
  <si>
    <t>Slate Mesh/Synthetic</t>
  </si>
  <si>
    <t>https://image.skechers.com/img/productimages/xlarge/233244_BKCC_A.jpg</t>
  </si>
  <si>
    <t>233244BKCC-43R</t>
  </si>
  <si>
    <t>233244BKCC</t>
  </si>
  <si>
    <t>D'LUX WALKER 3.0</t>
  </si>
  <si>
    <t>DREVVEN</t>
  </si>
  <si>
    <t>Slip-ins Relaxed Fit Knit Sneaker W/ Bungee Lace &amp; Air-Cooled Memory Foam</t>
  </si>
  <si>
    <t>Black Knit/Synthetic/Charcoal Trim</t>
  </si>
  <si>
    <t>Skechers Hands Free Slip-ins® for an easy fit
Heel Pillow® holds your foot securely in place
Skechers Air-Cooled Memory Foam® cushioned comfort insole
Relaxed Fit® for a roomy comfort fit at toe and forefoot
No Tie Fit® - laces never come untied</t>
  </si>
  <si>
    <t>Engineered knit and synthetic upper with fixed stretch laces
Well-cushioned midsole
Flexible traction outsole
2-inch heel height
Skechers® logo detail</t>
  </si>
  <si>
    <t>Air-Cooled MF
No Tie Fit
Relaxed Fit
Slip-Ins</t>
  </si>
  <si>
    <t>https://image.skechers.com/img/productimages/xlarge/233244_GYBK_A.jpg</t>
  </si>
  <si>
    <t>233244GYBK-43R</t>
  </si>
  <si>
    <t>233244GYBK</t>
  </si>
  <si>
    <t>Gray Knit/Synthetic/Black Trim</t>
  </si>
  <si>
    <t>https://image.skechers.com/img/productimages/xlarge/233244_NVY_A.jpg</t>
  </si>
  <si>
    <t>233244NVY-43R</t>
  </si>
  <si>
    <t>233244NVY</t>
  </si>
  <si>
    <t>Navy Knit/Synthetic</t>
  </si>
  <si>
    <t>https://image.skechers.com/img/productimages/xlarge/233244_TPE_A.jpg</t>
  </si>
  <si>
    <t>233244TPE-43R</t>
  </si>
  <si>
    <t>233244TPE</t>
  </si>
  <si>
    <t>https://image.skechers.com/img/productimages/xlarge/233244_WBK_A.jpg</t>
  </si>
  <si>
    <t>233244WBK-43R</t>
  </si>
  <si>
    <t>233244WBK</t>
  </si>
  <si>
    <t>White Knit/Synthetic/Black Trim</t>
  </si>
  <si>
    <t>https://image.skechers.com/img/productimages/xlarge/233247_BBK_A.jpg</t>
  </si>
  <si>
    <t>233247BBK-43R</t>
  </si>
  <si>
    <t>233247BBK</t>
  </si>
  <si>
    <t>BRAVIK</t>
  </si>
  <si>
    <t>Relaxed Fit Engineered Mesh Lace up w/ Acmf</t>
  </si>
  <si>
    <t>Black  Mesh / Black Pu</t>
  </si>
  <si>
    <t>https://image.skechers.com/img/productimages/xlarge/233247_BLK_A.jpg</t>
  </si>
  <si>
    <t>233247BLK-43R</t>
  </si>
  <si>
    <t>233247BLK</t>
  </si>
  <si>
    <t>https://image.skechers.com/img/productimages/xlarge/233247_GRY_A.jpg</t>
  </si>
  <si>
    <t>233247GRY-43R</t>
  </si>
  <si>
    <t>233247GRY</t>
  </si>
  <si>
    <t>Gray Mesh / Pu</t>
  </si>
  <si>
    <t>https://image.skechers.com/img/productimages/xlarge/233247_TPOR_A.jpg</t>
  </si>
  <si>
    <t>233247TPOR-43R</t>
  </si>
  <si>
    <t>TPOR</t>
  </si>
  <si>
    <t>233247TPOR</t>
  </si>
  <si>
    <t>Taupe Mesh/Orange Pu</t>
  </si>
  <si>
    <t>https://image.skechers.com/img/productimages/xlarge/233247_WHT_A.jpg</t>
  </si>
  <si>
    <t>233247WHT-43R</t>
  </si>
  <si>
    <t>233247WHT</t>
  </si>
  <si>
    <t>White Mesh/Pu</t>
  </si>
  <si>
    <t>https://image.skechers.com/img/productimages/xlarge/233255_BKGY_A.jpg</t>
  </si>
  <si>
    <t>233255BKGY-43R</t>
  </si>
  <si>
    <t>233255BKGY</t>
  </si>
  <si>
    <t>SKECH-FLEX 4.0</t>
  </si>
  <si>
    <t>Slip-ins Heathered Mesh Bungee Slip On w/ Overlays &amp; Acmf</t>
  </si>
  <si>
    <t>Black Mesh/Tpu/Gray Trim</t>
  </si>
  <si>
    <t>Air-Cooled MF
Machine Washable
Slip-Ins
Vegan</t>
  </si>
  <si>
    <t>https://image.skechers.com/img/productimages/xlarge/233255_NVOR_A.jpg</t>
  </si>
  <si>
    <t>233255NVOR-43R</t>
  </si>
  <si>
    <t>NVOR</t>
  </si>
  <si>
    <t>233255NVOR</t>
  </si>
  <si>
    <t>Navy Mesh/Tpu/Orange Trim</t>
  </si>
  <si>
    <t>https://image.skechers.com/img/productimages/xlarge/233271_BBK_A.jpg</t>
  </si>
  <si>
    <t>233271BBK-43R</t>
  </si>
  <si>
    <t>233271BBK</t>
  </si>
  <si>
    <t>SKECH CAGE</t>
  </si>
  <si>
    <t>COVRA</t>
  </si>
  <si>
    <t>Slip-Ins Stretch Knit Sneaker w/ Midsole Tech Piece &amp; Acmf</t>
  </si>
  <si>
    <t>Black  Mesh / Synthetic / Black Trim</t>
  </si>
  <si>
    <t>Air-Cooled MF
Anti-Slip Under Wet and Dry Conditions
Goodyear Rubber
No Tie Fit
Slip-Ins</t>
  </si>
  <si>
    <t>https://image.skechers.com/img/productimages/xlarge/233271_BKLM_A.jpg</t>
  </si>
  <si>
    <t>233271BKLM-43R</t>
  </si>
  <si>
    <t>BKLM</t>
  </si>
  <si>
    <t>233271BKLM</t>
  </si>
  <si>
    <t>Black Mesh / Synthetic / Lime</t>
  </si>
  <si>
    <t>https://image.skechers.com/img/productimages/xlarge/233272_BBK_A.jpg</t>
  </si>
  <si>
    <t>233272BBK-43R</t>
  </si>
  <si>
    <t>233272BBK</t>
  </si>
  <si>
    <t>Slip Ins Engineered Mesh Lace Up w/ Midsole Tech Piece &amp; Acmf</t>
  </si>
  <si>
    <t>Air-Cooled MF
Anti-Slip Under Wet and Dry Conditions
Goodyear Rubber
Slip-Ins</t>
  </si>
  <si>
    <t>https://image.skechers.com/img/productimages/xlarge/233272_WBKB_A.jpg</t>
  </si>
  <si>
    <t>233272WBKB-43R</t>
  </si>
  <si>
    <t>WBKB</t>
  </si>
  <si>
    <t>233272WBKB</t>
  </si>
  <si>
    <t>White Knit / Synthetic / Blue</t>
  </si>
  <si>
    <t>https://image.skechers.com/img/productimages/xlarge/233303W_BBK_A.jpg</t>
  </si>
  <si>
    <t>233303WBBK-43R</t>
  </si>
  <si>
    <t>233303W</t>
  </si>
  <si>
    <t>233303WBBK</t>
  </si>
  <si>
    <t>Slip-Ins Skech Air Engineered Mesh Slip On w/ Flat Stretch Lace &amp; Acmf</t>
  </si>
  <si>
    <t>https://image.skechers.com/img/productimages/xlarge/233303W_BKW_A.jpg</t>
  </si>
  <si>
    <t>233303WBKW-43R</t>
  </si>
  <si>
    <t>233303WBKW</t>
  </si>
  <si>
    <t>https://image.skechers.com/img/productimages/xlarge/233303_WHT_A.jpg</t>
  </si>
  <si>
    <t>233303WHT-43R</t>
  </si>
  <si>
    <t>233303WHT</t>
  </si>
  <si>
    <t>White Mesh/Synthetic/Gray Trim</t>
  </si>
  <si>
    <t>https://image.skechers.com/img/productimages/xlarge/233321_BBK_A.jpg</t>
  </si>
  <si>
    <t>233321BBK-43R</t>
  </si>
  <si>
    <t>233321BBK</t>
  </si>
  <si>
    <t>ZORYN</t>
  </si>
  <si>
    <t>Slip-Ins Arch Fit Air Two Toned Engineered Mesh Lace Up Sneaker</t>
  </si>
  <si>
    <t>Black Mesh / Synthetic / Black Trim</t>
  </si>
  <si>
    <t>Air-Cooled
Arch Fit
Skech-Air
Slip-Ins
Vegan</t>
  </si>
  <si>
    <t>https://image.skechers.com/img/productimages/xlarge/233321_BKGY_A.jpg</t>
  </si>
  <si>
    <t>233321BKGY-43R</t>
  </si>
  <si>
    <t>233321BKGY</t>
  </si>
  <si>
    <t>Black Mesh/Synthetic/Gray Trim</t>
  </si>
  <si>
    <t>https://image.skechers.com/img/productimages/xlarge/233321_WNV_A.jpg</t>
  </si>
  <si>
    <t>233321WNV-43R</t>
  </si>
  <si>
    <t>233321WNV</t>
  </si>
  <si>
    <t>White Mesh/Synthetic/Navy Trim</t>
  </si>
  <si>
    <t>https://image.skechers.com/img/productimages/xlarge/233400WW_GYBK_A.jpg</t>
  </si>
  <si>
    <t>233400WWGYBK-43R</t>
  </si>
  <si>
    <t>233400WW</t>
  </si>
  <si>
    <t>233400WWGYBK</t>
  </si>
  <si>
    <t>Slip-Ins Arch Fit Engineered Jacquard Lace Up Sneaker</t>
  </si>
  <si>
    <t>Gray Mesh/Tpu/Black Trim</t>
  </si>
  <si>
    <t>Arch Fit
Machine Washable
Slip-Ins
Vegan</t>
  </si>
  <si>
    <t>https://image.skechers.com/img/productimages/xlarge/233400WW_WNV_A.jpg</t>
  </si>
  <si>
    <t>233400WWWNV-43R</t>
  </si>
  <si>
    <t>233400WWWNV</t>
  </si>
  <si>
    <t>White Mesh/Tpu/Navy Trim</t>
  </si>
  <si>
    <t>https://image.skechers.com/img/productimages/xlarge/233401_BBK_A.jpg</t>
  </si>
  <si>
    <t>233401BBK-43R</t>
  </si>
  <si>
    <t>233401BBK</t>
  </si>
  <si>
    <t>Arch Fit Engineered Mesh Lace Up</t>
  </si>
  <si>
    <t>Air-Cooled
Arch Fit
Machine Washable
Vegan</t>
  </si>
  <si>
    <t>https://image.skechers.com/img/productimages/xlarge/233401_BKGD_A.jpg</t>
  </si>
  <si>
    <t>233401BKGD-43R</t>
  </si>
  <si>
    <t>233401BKGD</t>
  </si>
  <si>
    <t>Black Mesh/Tpu/Gold Trim</t>
  </si>
  <si>
    <t>https://image.skechers.com/img/productimages/xlarge/233401_GYNV_A.jpg</t>
  </si>
  <si>
    <t>233401GYNV-43R</t>
  </si>
  <si>
    <t>233401GYNV</t>
  </si>
  <si>
    <t>Gray Mesh/Tpu/Navy Trim</t>
  </si>
  <si>
    <t>https://image.skechers.com/img/productimages/xlarge/233401_NTGY_A.jpg</t>
  </si>
  <si>
    <t>233401NTGY-43R</t>
  </si>
  <si>
    <t>233401NTGY</t>
  </si>
  <si>
    <t>Nat Mesh/Tpu/Gray Trim</t>
  </si>
  <si>
    <t>https://image.skechers.com/img/productimages/xlarge/237192_BKCC_A.jpg</t>
  </si>
  <si>
    <t>237192BKCC-43R</t>
  </si>
  <si>
    <t>237192BKCC</t>
  </si>
  <si>
    <t>D'LUX JOURNEY</t>
  </si>
  <si>
    <t>Relaxed Fit Overlay Mesh Lace-Up Sneaker W/ Air Cooled Memory Foam</t>
  </si>
  <si>
    <t>Black Leather/Textile/Charcoal Trim</t>
  </si>
  <si>
    <t>Skechers Air-Cooled Memory Foam® cushioned comfort insole
Relaxed Fit® for a roomy comfort fit at toe and forefoot</t>
  </si>
  <si>
    <t>Lace-up mesh and leather upper
Well-cushioned supportive platform midsole
Flexible traction outsole
2-inch heel height
Skechers® logo detail</t>
  </si>
  <si>
    <t>Air-Cooled MF
Relaxed Fit</t>
  </si>
  <si>
    <t>https://image.skechers.com/img/productimages/xlarge/237192_GYBL_A.jpg</t>
  </si>
  <si>
    <t>237192GYBL-43R</t>
  </si>
  <si>
    <t>237192GYBL</t>
  </si>
  <si>
    <t>Gray Leather/Textile/ Blue Trim</t>
  </si>
  <si>
    <t>https://image.skechers.com/img/productimages/xlarge/237193_BKW_A.jpg</t>
  </si>
  <si>
    <t>237193BKW-43R</t>
  </si>
  <si>
    <t>237193BKW</t>
  </si>
  <si>
    <t>TEMPO STITCH</t>
  </si>
  <si>
    <t>Relaxed Fit Engineered Mesh Lace-Up Sneaker W/ Air-Cooled Memory Foam</t>
  </si>
  <si>
    <t>Black Synthetic/Textile/White Trim</t>
  </si>
  <si>
    <t>https://image.skechers.com/img/productimages/xlarge/237193_LGLM_A.jpg</t>
  </si>
  <si>
    <t>237193LGLM-43R</t>
  </si>
  <si>
    <t>LGLM</t>
  </si>
  <si>
    <t>237193LGLM</t>
  </si>
  <si>
    <t>Gray Synthetic/Textile/ Lime Trim</t>
  </si>
  <si>
    <t>https://image.skechers.com/img/productimages/xlarge/237193_NTGY_A.jpg</t>
  </si>
  <si>
    <t>237193NTGY-43R</t>
  </si>
  <si>
    <t>237193NTGY</t>
  </si>
  <si>
    <t>https://image.skechers.com/img/productimages/xlarge/237194_BBK_A.jpg</t>
  </si>
  <si>
    <t>237194BBK-43R</t>
  </si>
  <si>
    <t>237194BBK</t>
  </si>
  <si>
    <t>https://image.skechers.com/img/productimages/xlarge/237211_BBK_A.jpg</t>
  </si>
  <si>
    <t>237211BBK-43R</t>
  </si>
  <si>
    <t>237211BBK</t>
  </si>
  <si>
    <t>SKECH-AIR ENVOY</t>
  </si>
  <si>
    <t>BUYERS PEAK</t>
  </si>
  <si>
    <t>Leather Overlay Lace Up With Qtr Webbings</t>
  </si>
  <si>
    <t>Black Leather/Synthetic/Trim</t>
  </si>
  <si>
    <t>Skechers Air-Cooled Memory Foam® cushioned comfort insole
Goodyear® Rubber outsole delivers enhanced traction, stability and durability
Skech-Air® visible airbag midsole
Water-repellent</t>
  </si>
  <si>
    <t>Lace-up leather and synthetic upper
1 1/4-inch heel height
Skechers® logo detail</t>
  </si>
  <si>
    <t>Air-Cooled MF
Goodyear Rubber
Water Repellent
Skech-Air</t>
  </si>
  <si>
    <t>https://image.skechers.com/img/productimages/xlarge/237211_GYBK_A.jpg</t>
  </si>
  <si>
    <t>237211GYBK-43R</t>
  </si>
  <si>
    <t>237211GYBK</t>
  </si>
  <si>
    <t>Gray  Leather/Synthetic/Black Trim</t>
  </si>
  <si>
    <t>https://image.skechers.com/img/productimages/xlarge/237301_BKNT_A.jpg</t>
  </si>
  <si>
    <t>237301BKNT-43R</t>
  </si>
  <si>
    <t>237301BKNT</t>
  </si>
  <si>
    <t>MAX PROTECT</t>
  </si>
  <si>
    <t>LIBERATED</t>
  </si>
  <si>
    <t>Goodyear Lace-Up Overlay W/ACMF</t>
  </si>
  <si>
    <t>Black Synthetic/Mesh/Natural Trim</t>
  </si>
  <si>
    <t>Skechers Air-Cooled Memory Foam® cushioned comfort insole
Goodyear® Performance Outsole for enhanced traction, stability and durability
Water-repellent</t>
  </si>
  <si>
    <t>Synthetic and mesh upper with a lace-up front
1 1/2-inch heel
Skechers® logo detail</t>
  </si>
  <si>
    <t>Air-Cooled MF
Anti-Slip Under Wet and Dry Conditions
Goodyear Rubber
Water Repellent
Trail</t>
  </si>
  <si>
    <t>AIR-COOLED MEMORY FOAM</t>
  </si>
  <si>
    <t>https://image.skechers.com/img/productimages/xlarge/237301_BKYL_A.jpg</t>
  </si>
  <si>
    <t>237301BKYL-43R</t>
  </si>
  <si>
    <t>BKYL</t>
  </si>
  <si>
    <t>237301BKYL</t>
  </si>
  <si>
    <t>Black Synthetic/Textile/Yellow Trim</t>
  </si>
  <si>
    <t>https://image.skechers.com/img/productimages/xlarge/237301_CCBK_A.jpg</t>
  </si>
  <si>
    <t>237301CCBK-43R</t>
  </si>
  <si>
    <t>237301CCBK</t>
  </si>
  <si>
    <t>https://image.skechers.com/img/productimages/xlarge/237301_OLV_A.jpg</t>
  </si>
  <si>
    <t>237301OLV-43R</t>
  </si>
  <si>
    <t>237301OLV</t>
  </si>
  <si>
    <t>Olive Synthetic/Mesh/Trim</t>
  </si>
  <si>
    <t>https://image.skechers.com/img/productimages/xlarge/237303_BBK_A.jpg</t>
  </si>
  <si>
    <t>237303BBK-43R</t>
  </si>
  <si>
    <t>237303BBK</t>
  </si>
  <si>
    <t>Goodyear Rubber Lace-Up Overlay Outdoor Sneaker</t>
  </si>
  <si>
    <t>Black Leather/Synthetic/Mesh/Black Trim</t>
  </si>
  <si>
    <t>Skechers Air-Cooled Memory Foam® cushioned comfort insole
Goodyear® Performance Outsole for enhanced traction, stability and durability
Treated with 3M® Scotchgard® to resist water and stains</t>
  </si>
  <si>
    <t>Air-Cooled MF
Anti-Slip Under Wet and Dry Conditions
Goodyear Rubber
Water Repellent</t>
  </si>
  <si>
    <t>https://image.skechers.com/img/productimages/xlarge/237303_BKCC_A.jpg</t>
  </si>
  <si>
    <t>237303BKCC-43R</t>
  </si>
  <si>
    <t>237303BKCC</t>
  </si>
  <si>
    <t>Black Leather/Synthetic/Mesh/Charcoal Trim</t>
  </si>
  <si>
    <t>https://image.skechers.com/img/productimages/xlarge/237303_BKW_A.jpg</t>
  </si>
  <si>
    <t>237303BKW-43R</t>
  </si>
  <si>
    <t>237303BKW</t>
  </si>
  <si>
    <t>https://image.skechers.com/img/productimages/xlarge/237303_PBBK_A.jpg</t>
  </si>
  <si>
    <t>237303PBBK-43R</t>
  </si>
  <si>
    <t>PBBK</t>
  </si>
  <si>
    <t>237303PBBK</t>
  </si>
  <si>
    <t>Pebble Leather/Synthetic/Black Trim</t>
  </si>
  <si>
    <t>https://image.skechers.com/img/productimages/xlarge/237303_TPBK_A.jpg</t>
  </si>
  <si>
    <t>237303TPBK-43R</t>
  </si>
  <si>
    <t>237303TPBK</t>
  </si>
  <si>
    <t>Taupe Leather/Synthetic/Textile/Black Trim</t>
  </si>
  <si>
    <t>https://image.skechers.com/img/productimages/xlarge/237304_BBK_A.jpg</t>
  </si>
  <si>
    <t>237304BBK-43R</t>
  </si>
  <si>
    <t>237304BBK</t>
  </si>
  <si>
    <t>FAST TRACK</t>
  </si>
  <si>
    <t>Waterproof Mesh Lace Up Outdoor Shoe W/Goodyear Badging &amp; Air-Cooled Memory Foam</t>
  </si>
  <si>
    <t>Black Synthetic/Mesh/Trim</t>
  </si>
  <si>
    <t>Skechers Air-Cooled Memory Foam® cushioned comfort insole
Goodyear® Rubber outsole for enhanced traction, stability and durability
Waterproof seam-sealed design</t>
  </si>
  <si>
    <t>Air-Cooled MF
Anti-Slip Under Wet and Dry Conditions
Goodyear Rubber
Waterproof
Trail</t>
  </si>
  <si>
    <t>OUTDOOR</t>
  </si>
  <si>
    <t>https://image.skechers.com/img/productimages/xlarge/237304_BKGY_A.jpg</t>
  </si>
  <si>
    <t>237304BKGY-43R</t>
  </si>
  <si>
    <t>237304BKGY</t>
  </si>
  <si>
    <t>Black Synthetic/Mesh/Gray Trim</t>
  </si>
  <si>
    <t>https://image.skechers.com/img/productimages/xlarge/237304_BKMT_A.jpg</t>
  </si>
  <si>
    <t>237304BKMT-43R</t>
  </si>
  <si>
    <t>237304BKMT</t>
  </si>
  <si>
    <t>Black Synthetic/Mesh/Multi Trim</t>
  </si>
  <si>
    <t>https://image.skechers.com/img/productimages/xlarge/237308_BBK_A.jpg</t>
  </si>
  <si>
    <t>237308BBK-43R</t>
  </si>
  <si>
    <t>237308BBK</t>
  </si>
  <si>
    <t>TASKFORCE</t>
  </si>
  <si>
    <t>Goodyear Rubber Lace-Up Overlay Outdoor Sneaker W/Air-Cooled Memory Foam</t>
  </si>
  <si>
    <t>Skechers Air-Cooled Memory Foam® cushioned comfort insole
Goodyear® Performance Outsole for enhanced traction, stability and durability
Treated with 3M® Scotchgard® to repel water
Anti-slip under wet and dry conditions</t>
  </si>
  <si>
    <t>Lace-up trail design with a leather and synthetic upper
1 1/2-inch heel
Skechers® logo detail</t>
  </si>
  <si>
    <t>Air-Cooled MF
Anti-Slip Under Wet and Dry Conditions
Goodyear Rubber
Water Repellent
3M Scotchgard</t>
  </si>
  <si>
    <t>https://image.skechers.com/img/productimages/xlarge/237308_CAMO_A.jpg</t>
  </si>
  <si>
    <t>237308CAMO-43R</t>
  </si>
  <si>
    <t>CAMO</t>
  </si>
  <si>
    <t>237308CAMO</t>
  </si>
  <si>
    <t>https://image.skechers.com/img/productimages/xlarge/237333_BBK_A.jpg</t>
  </si>
  <si>
    <t>237333BBK-43R</t>
  </si>
  <si>
    <t>237333BBK</t>
  </si>
  <si>
    <t>ARCH FIT ROAD WALKER</t>
  </si>
  <si>
    <t>RECON</t>
  </si>
  <si>
    <t>Goodyear Rubber Arch Fit Leather Lace-Up Outdoor Shoe W/Qtr Tpu Brace</t>
  </si>
  <si>
    <t>Black Leather/Trim</t>
  </si>
  <si>
    <t>Patented Skechers Arch Fit® insole system with podiatrist-certified arch support
Podiatrist-designed shape developed with 20 years of data and 120,000 unweighted foot scans
Removable insole helps mold to your foot to reduce shock and increase weight dispersion
Relaxed Fit® for a roomy comfort fit at toe and forefoot
Goodyear® Performance Outsole delivers enhanced traction, stability and durability
Water-repellent 3M® Scotchgard® treated leather upper</t>
  </si>
  <si>
    <t>Outdoor trail design with lace-up front
1 1/2-inch heel
Skechers® logo detail</t>
  </si>
  <si>
    <t>Anti-Slip Under Wet and Dry Conditions
APMA Seal of Acceptance
Arch Fit
Goodyear Rubber
Water Repellent</t>
  </si>
  <si>
    <t>ARCH FIT</t>
  </si>
  <si>
    <t>https://image.skechers.com/img/productimages/xlarge/237333_BLK_A.jpg</t>
  </si>
  <si>
    <t>237333BLK-43R</t>
  </si>
  <si>
    <t>237333BLK</t>
  </si>
  <si>
    <t>https://image.skechers.com/img/productimages/xlarge/237333_CHAR_A.jpg</t>
  </si>
  <si>
    <t>237333CHAR-43R</t>
  </si>
  <si>
    <t>237333CHAR</t>
  </si>
  <si>
    <t>Charcoal Leather/Trim</t>
  </si>
  <si>
    <t>https://image.skechers.com/img/productimages/xlarge/237333_OLBK_A.jpg</t>
  </si>
  <si>
    <t>237333OLBK-43R</t>
  </si>
  <si>
    <t>237333OLBK</t>
  </si>
  <si>
    <t>Olive Leather/Black Trim</t>
  </si>
  <si>
    <t>https://image.skechers.com/img/productimages/xlarge/237412_BKCC_A.jpg</t>
  </si>
  <si>
    <t>237412BKCC-43R</t>
  </si>
  <si>
    <t>237412BKCC</t>
  </si>
  <si>
    <t>SAND POINT CREEK</t>
  </si>
  <si>
    <t>Slip-In Water Repellent Leather Overlay Lace-Up W/ACMF</t>
  </si>
  <si>
    <t>Air-Cooled MF
Water Repellent
Heel Pillow
Relaxed Fit
Slip-Ins</t>
  </si>
  <si>
    <t>https://image.skechers.com/img/productimages/xlarge/237412_DKTP_A.jpg</t>
  </si>
  <si>
    <t>237412DKTP-43R</t>
  </si>
  <si>
    <t>237412DKTP</t>
  </si>
  <si>
    <t>Brown Leather/Textile/Taupe Trim</t>
  </si>
  <si>
    <t>https://image.skechers.com/img/productimages/xlarge/237415_BLK_A.jpg</t>
  </si>
  <si>
    <t>237415BLK-43R</t>
  </si>
  <si>
    <t>237415BLK</t>
  </si>
  <si>
    <t>STYLIZED SOUL</t>
  </si>
  <si>
    <t>Mesh &amp; QTR Swan S Flat Lace-Up W/ACMF</t>
  </si>
  <si>
    <t>Black Leather/Textile/Trim</t>
  </si>
  <si>
    <t>https://image.skechers.com/img/productimages/xlarge/237415_GYMT_A.jpg</t>
  </si>
  <si>
    <t>237415GYMT-43R</t>
  </si>
  <si>
    <t>237415GYMT</t>
  </si>
  <si>
    <t>Gray Leather/Textile/Multi Trim</t>
  </si>
  <si>
    <t>https://image.skechers.com/img/productimages/xlarge/237415_LTGY_A.jpg</t>
  </si>
  <si>
    <t>237415LTGY-43R</t>
  </si>
  <si>
    <t>237415LTGY</t>
  </si>
  <si>
    <t>Light Gray Leather/Textile/Trim</t>
  </si>
  <si>
    <t>https://image.skechers.com/img/productimages/xlarge/237497_BKCC_A.jpg</t>
  </si>
  <si>
    <t>237497BKCC-43R</t>
  </si>
  <si>
    <t>237497BKCC</t>
  </si>
  <si>
    <t>https://image.skechers.com/img/productimages/xlarge/237497_GRY_A.jpg</t>
  </si>
  <si>
    <t>237497GRY-43R</t>
  </si>
  <si>
    <t>237497GRY</t>
  </si>
  <si>
    <t>https://image.skechers.com/img/productimages/xlarge/237524_BBK_A.jpg</t>
  </si>
  <si>
    <t>237524BBK-43R</t>
  </si>
  <si>
    <t>237524BBK</t>
  </si>
  <si>
    <t>EQUALIZER 5.0 TRAIL</t>
  </si>
  <si>
    <t>TRINITY PINES</t>
  </si>
  <si>
    <t>100% Waterproof Goodyear Rubber Lace-Up Outdoor Sneaker W/ Air Cooled Mf</t>
  </si>
  <si>
    <t>Skechers Air-Cooled Memory Foam® cushioned comfort insole
Relaxed Fit® for a roomy comfort fit at toe and forefoot
Goodyear® Rubber Outsole delivers enhanced traction, stability and durability
Seam-sealed waterproof design</t>
  </si>
  <si>
    <t>Lace-up leather and  breathable mesh upper
1 1/4-inch heel height
Skechers® logo detail</t>
  </si>
  <si>
    <t>100% Waterproof
Air-Cooled MF
Breathable
Goodyear Rubber
Relaxed Fit</t>
  </si>
  <si>
    <t>https://image.skechers.com/img/productimages/xlarge/237524_BROR_A.jpg</t>
  </si>
  <si>
    <t>237524BROR-43R</t>
  </si>
  <si>
    <t>BROR</t>
  </si>
  <si>
    <t>237524BROR</t>
  </si>
  <si>
    <t>Brown Leather/Textile/Orange Trim</t>
  </si>
  <si>
    <t>https://image.skechers.com/img/productimages/xlarge/237535_BBK_A.jpg</t>
  </si>
  <si>
    <t>237535BBK-43R</t>
  </si>
  <si>
    <t>237535BBK</t>
  </si>
  <si>
    <t>https://image.skechers.com/img/productimages/xlarge/237535_OLBK_A.jpg</t>
  </si>
  <si>
    <t>237535OLBK-43R</t>
  </si>
  <si>
    <t>237535OLBK</t>
  </si>
  <si>
    <t>https://image.skechers.com/img/productimages/xlarge/237553_BBK_A.jpg</t>
  </si>
  <si>
    <t>237553BBK-43R</t>
  </si>
  <si>
    <t>237553BBK</t>
  </si>
  <si>
    <t>SLEEK ENVOY</t>
  </si>
  <si>
    <t>Goodyear Lace-Up Outdoor Sneaker W/Air Cooled Memory Foam</t>
  </si>
  <si>
    <t>Black Leather/Synthetic/Textile/Trim</t>
  </si>
  <si>
    <t>Skechers Air-Cooled Memory Foam® cushioned comfort insole
Skech-Air® visible airbag midsole
Goodyear® rubber outsole delivers enhanced traction, stability and durability</t>
  </si>
  <si>
    <t>Smooth leather, synthetic, and mesh upper
Lace-up athletic trail hiking sneaker
1 1/2-inch heel height
Skechers® logo detail</t>
  </si>
  <si>
    <t>Air-Cooled MF
Goodyear Rubber
Skech-Air</t>
  </si>
  <si>
    <t>https://image.skechers.com/img/productimages/xlarge/237553_NAT_A.jpg</t>
  </si>
  <si>
    <t>237553NAT-43R</t>
  </si>
  <si>
    <t>237553NAT</t>
  </si>
  <si>
    <t>Natural Leather/Synthetic/Textile/Trim</t>
  </si>
  <si>
    <t>https://image.skechers.com/img/productimages/xlarge/237565_BKNT_A.jpg</t>
  </si>
  <si>
    <t>237565BKNT-43R</t>
  </si>
  <si>
    <t>237565BKNT</t>
  </si>
  <si>
    <t>D'LUX TREKKER</t>
  </si>
  <si>
    <t>Outdoor Overlay Lace Up Sneaker W/ Air-Cooled Memory Foam</t>
  </si>
  <si>
    <t>Black Leather/Mesh/Synthetic//Gray Trim</t>
  </si>
  <si>
    <t>Skechers Air-Cooled Memory Foam® cushioned comfort insole
Relaxed Fit® for a roomy comfort fit at toe and forefoot
Goodyear® Performance Outsole delivers enhanced traction, stability and durability
Anti-slip under wet and dry conditions</t>
  </si>
  <si>
    <t>Sporty trail-walking lace-up with a leather, mesh, and synthetic upper
Well-cushioned supportive midsole with dual-density top layer
2-inch heel height
Skechers® logo detail</t>
  </si>
  <si>
    <t>Air-Cooled MF
Anti-Slip Under Wet and Dry Conditions
Goodyear Rubber
Water Repellent
Relaxed Fit
Trail</t>
  </si>
  <si>
    <t>TRAIL</t>
  </si>
  <si>
    <t>https://image.skechers.com/img/productimages/xlarge/237565_BRRD_A.jpg</t>
  </si>
  <si>
    <t>237565BRRD-43R</t>
  </si>
  <si>
    <t>BRRD</t>
  </si>
  <si>
    <t>237565BRRD</t>
  </si>
  <si>
    <t>Brown Leather/Mesh/Synthetic//Red Trim</t>
  </si>
  <si>
    <t>https://image.skechers.com/img/productimages/xlarge/237565_NVBK_A.jpg</t>
  </si>
  <si>
    <t>237565NVBK-43R</t>
  </si>
  <si>
    <t>NVBK</t>
  </si>
  <si>
    <t>237565NVBK</t>
  </si>
  <si>
    <t>Navy Leather/Mesh/Synthetic//Black Trim</t>
  </si>
  <si>
    <t>https://image.skechers.com/img/productimages/xlarge/237565_OWGR_A.jpg</t>
  </si>
  <si>
    <t>237565OWGR-43R</t>
  </si>
  <si>
    <t>OWGR</t>
  </si>
  <si>
    <t>237565OWGR</t>
  </si>
  <si>
    <t>https://image.skechers.com/img/productimages/xlarge/237631_GYBK_A.jpg</t>
  </si>
  <si>
    <t>237631GYBK-43R</t>
  </si>
  <si>
    <t>237631GYBK</t>
  </si>
  <si>
    <t>DYNAMITE AT</t>
  </si>
  <si>
    <t>VELLURA</t>
  </si>
  <si>
    <t>Suede Overlay And Textile Lace Up</t>
  </si>
  <si>
    <t>Gray Leather/Synthetic/Black Trim</t>
  </si>
  <si>
    <t>https://image.skechers.com/img/productimages/xlarge/237631_NTGY_A.jpg</t>
  </si>
  <si>
    <t>237631NTGY-43R</t>
  </si>
  <si>
    <t>237631NTGY</t>
  </si>
  <si>
    <t>Natural Leather/Synthetic/Gray Trim</t>
  </si>
  <si>
    <t>https://image.skechers.com/img/productimages/xlarge/237634_BKBR_A.jpg</t>
  </si>
  <si>
    <t>237634BKBR-43R</t>
  </si>
  <si>
    <t>BKBR</t>
  </si>
  <si>
    <t>237634BKBR</t>
  </si>
  <si>
    <t>ESCAPAR</t>
  </si>
  <si>
    <t>Slip-Ins Leather Overlay Lace-Up W/ Air Cooled Mf</t>
  </si>
  <si>
    <t>Black Leather/Textile/Brown Trim</t>
  </si>
  <si>
    <t>Skechers Hands Free Slip-ins® for an easy fit
Heel Pillow® holds your foot securely in place
Skechers Air-Cooled Memory Foam® cushioned comfort footbed</t>
  </si>
  <si>
    <t>Lace-up leather and textile upper
Casual outdoor trail design
Flexible high traction outsole
1 1/2-inch heel height
Skechers® logo detail</t>
  </si>
  <si>
    <t>https://image.skechers.com/img/productimages/xlarge/237634W_BBK_A.jpg</t>
  </si>
  <si>
    <t>237634WBBK-43R</t>
  </si>
  <si>
    <t>237634W</t>
  </si>
  <si>
    <t>237634WBBK</t>
  </si>
  <si>
    <t>https://image.skechers.com/img/productimages/xlarge/237634W_TPE_A.jpg</t>
  </si>
  <si>
    <t>237634WTPE-43R</t>
  </si>
  <si>
    <t>237634WTPE</t>
  </si>
  <si>
    <t>Taupe Leather/Textile/Trim</t>
  </si>
  <si>
    <t>https://image.skechers.com/img/productimages/xlarge/237641_BKCC_A.jpg</t>
  </si>
  <si>
    <t>237641BKCC-43R</t>
  </si>
  <si>
    <t>237641BKCC</t>
  </si>
  <si>
    <t>TOUGHTWILL</t>
  </si>
  <si>
    <t>Mesh &amp; Stitch Overlay Flat Knit Lace-Up W/ACMF</t>
  </si>
  <si>
    <t>Black Textile/Synthetic/Charcoal Trim</t>
  </si>
  <si>
    <t>Skechers Air-Cooled Memory Foam® cushioned comfort insole
Relaxed Fit® for a roomy comfort fit at toe and forefoot
Anti-slip under wet and dry conditions
Goodyear® Rubber Outsole delivers enhanced traction, stability, and durability</t>
  </si>
  <si>
    <t>Mesh upper with faux-leather overlays and decorative crisscross stitching details
Trail-ready design with a lace-up front
1 1/2-inch heel height
Skechers® and Goodyear® logo details</t>
  </si>
  <si>
    <t>Anti-Slip Under Wet and Dry Conditions
Goodyear Rubber
Relaxed Fit</t>
  </si>
  <si>
    <t>https://image.skechers.com/img/productimages/xlarge/237641_LTGY_A.jpg</t>
  </si>
  <si>
    <t>237641LTGY-43R</t>
  </si>
  <si>
    <t>237641LTGY</t>
  </si>
  <si>
    <t>https://image.skechers.com/img/productimages/xlarge/237657_BBK_A.jpg</t>
  </si>
  <si>
    <t>237657BBK-43R</t>
  </si>
  <si>
    <t>237657BBK</t>
  </si>
  <si>
    <t>CENTERVILLE CREEK</t>
  </si>
  <si>
    <t>Slip-In Stretch Lace Hotmelt Overlays W/ACMF</t>
  </si>
  <si>
    <t>Black Textile/Synthetic/Trim</t>
  </si>
  <si>
    <t>Air-Cooled MF
Goodyear Rubber
Heel Pillow
Skech-Air
Slip-Ins</t>
  </si>
  <si>
    <t>https://image.skechers.com/img/productimages/xlarge/237657_CHAR_A.jpg</t>
  </si>
  <si>
    <t>237657CHAR-43R</t>
  </si>
  <si>
    <t>237657CHAR</t>
  </si>
  <si>
    <t>Charcoal Textile/Synthetic/Trim</t>
  </si>
  <si>
    <t>https://image.skechers.com/img/productimages/xlarge/237657_OLV_A.jpg</t>
  </si>
  <si>
    <t>237657OLV-43R</t>
  </si>
  <si>
    <t>237657OLV</t>
  </si>
  <si>
    <t>Olive Textile/Synthetic/Trim</t>
  </si>
  <si>
    <t>https://image.skechers.com/img/productimages/xlarge/237669_BKRD_A.jpg</t>
  </si>
  <si>
    <t>237669BKRD-43R</t>
  </si>
  <si>
    <t>237669BKRD</t>
  </si>
  <si>
    <t>PROMOTE TRACK</t>
  </si>
  <si>
    <t>Goodyear Ripstop Mesh Lace-Up W/ACMF</t>
  </si>
  <si>
    <t>Black Synthetic/Textile/Red Trim</t>
  </si>
  <si>
    <t>https://image.skechers.com/img/productimages/xlarge/237669_CHAR_A.jpg</t>
  </si>
  <si>
    <t>237669CHAR-43R</t>
  </si>
  <si>
    <t>237669CHAR</t>
  </si>
  <si>
    <t>Charcoal Synthetic/Textile/Trim</t>
  </si>
  <si>
    <t>https://image.skechers.com/img/productimages/xlarge/237669_WGR_A.jpg</t>
  </si>
  <si>
    <t>237669WGR-43R</t>
  </si>
  <si>
    <t>WGR</t>
  </si>
  <si>
    <t>237669WGR</t>
  </si>
  <si>
    <t>White Synthetic/Textile/Green Trim</t>
  </si>
  <si>
    <t>https://image.skechers.com/img/productimages/xlarge/237671_BBK_A.jpg</t>
  </si>
  <si>
    <t>237671BBK-43R</t>
  </si>
  <si>
    <t>237671BBK</t>
  </si>
  <si>
    <t>TITAN HONOR</t>
  </si>
  <si>
    <t>Goodyear Rubber Mesh Slip-On With Bungee Lace</t>
  </si>
  <si>
    <t>Black Mesh/Synthetic/Black Trim</t>
  </si>
  <si>
    <t>Air-Cooled MF
Anti-Slip Under Wet and Dry Conditions
Goodyear Rubber
Vegan</t>
  </si>
  <si>
    <t>https://image.skechers.com/img/productimages/xlarge/237671_LTGY_A.jpg</t>
  </si>
  <si>
    <t>237671LTGY-43R</t>
  </si>
  <si>
    <t>237671LTGY</t>
  </si>
  <si>
    <t>https://image.skechers.com/img/productimages/xlarge/237671_OLBK_A.jpg</t>
  </si>
  <si>
    <t>237671OLBK-43R</t>
  </si>
  <si>
    <t>237671OLBK</t>
  </si>
  <si>
    <t>Olive Mesh/Synthetic/Black Trim</t>
  </si>
  <si>
    <t>https://image.skechers.com/img/productimages/xlarge/237672_BKCC_A.jpg</t>
  </si>
  <si>
    <t>237672BKCC-43R</t>
  </si>
  <si>
    <t>237672BKCC</t>
  </si>
  <si>
    <t>IRONGAURD</t>
  </si>
  <si>
    <t>Goodyear Low Top Molded Design W/ACMF</t>
  </si>
  <si>
    <t>Black Synthetic/Mesh/Charcoal Trim</t>
  </si>
  <si>
    <t>Skechers Air-Cooled Memory Foam® cushioned comfort insole
Goodyear® Rubber Outsole for enhanced traction, stability and durability
Anti-slip under wet and dry conditions</t>
  </si>
  <si>
    <t>Mesh and durabuck upper with lace-up front
Molded midsole heel cup
1 1/2-inch heel height
Skechers® logo detail</t>
  </si>
  <si>
    <t>Air-Cooled MF
Anti-Slip Under Wet and Dry Conditions
Goodyear Rubber</t>
  </si>
  <si>
    <t>https://image.skechers.com/img/productimages/xlarge/237672_CHAR_A.jpg</t>
  </si>
  <si>
    <t>237672CHAR-43R</t>
  </si>
  <si>
    <t>237672CHAR</t>
  </si>
  <si>
    <t>Charcoal Synthetic/Mesh/Trim</t>
  </si>
  <si>
    <t>https://image.skechers.com/img/productimages/xlarge/237672_TPBK_A.jpg</t>
  </si>
  <si>
    <t>237672TPBK-43R</t>
  </si>
  <si>
    <t>237672TPBK</t>
  </si>
  <si>
    <t>Taupe Synthetic/Mesh/Black Trim</t>
  </si>
  <si>
    <t>https://image.skechers.com/img/productimages/xlarge/237672_WGY_A.jpg</t>
  </si>
  <si>
    <t>237672WGY-43R</t>
  </si>
  <si>
    <t>237672WGY</t>
  </si>
  <si>
    <t>White Synthetic/Mesh/Gray Trim</t>
  </si>
  <si>
    <t>https://image.skechers.com/img/productimages/xlarge/237678_BKCC_A.jpg</t>
  </si>
  <si>
    <t>237678BKCC-43R</t>
  </si>
  <si>
    <t>237678BKCC</t>
  </si>
  <si>
    <t>SHERWOOD RIDGE</t>
  </si>
  <si>
    <t>Goodyear Mesh Lace-Up W/ACMF</t>
  </si>
  <si>
    <t>Black Leather/Synthetic/Charcoal Trim</t>
  </si>
  <si>
    <t>https://image.skechers.com/img/productimages/xlarge/237678_TPBK_A.jpg</t>
  </si>
  <si>
    <t>237678TPBK-43R</t>
  </si>
  <si>
    <t>237678TPBK</t>
  </si>
  <si>
    <t>Taupe Leather/Synthetic/Black Trim</t>
  </si>
  <si>
    <t>https://image.skechers.com/img/productimages/xlarge/237686_BKTP_A.jpg</t>
  </si>
  <si>
    <t>237686BKTP-43R</t>
  </si>
  <si>
    <t>BKTP</t>
  </si>
  <si>
    <t>237686BKTP</t>
  </si>
  <si>
    <t>SWITCH BACK</t>
  </si>
  <si>
    <t>VENTURE SEEKER</t>
  </si>
  <si>
    <t>Mesh Qtr Overlay Low-Top Lace-Up W/Air-Cooled Mf</t>
  </si>
  <si>
    <t>Black Synthetic/Textile/Taupe Trim</t>
  </si>
  <si>
    <t>Lace-up mesh and synthetic upper
Flexible high-traction outsole
1 3/4-inch heel height
Skechers® logo detail</t>
  </si>
  <si>
    <t>https://image.skechers.com/img/productimages/xlarge/237686_NAT_A.jpg</t>
  </si>
  <si>
    <t>237686NAT-43R</t>
  </si>
  <si>
    <t>237686NAT</t>
  </si>
  <si>
    <t>Natural Synthetic/Textile/Trim</t>
  </si>
  <si>
    <t>https://image.skechers.com/img/productimages/xlarge/237744W_BBK_A.jpg</t>
  </si>
  <si>
    <t>237744WBBK-43R</t>
  </si>
  <si>
    <t>237744W</t>
  </si>
  <si>
    <t>237744WBBK</t>
  </si>
  <si>
    <t>VIGOR AT</t>
  </si>
  <si>
    <t>Slip-In Double Stitch Suede W/ACMF</t>
  </si>
  <si>
    <t>Black Suede/Synthetic/Trim</t>
  </si>
  <si>
    <t>Leather and synthetic upper with stretch laces
Rugged traction outsole
1 1/2-inch heel height
Skechers® logo detail</t>
  </si>
  <si>
    <t>https://image.skechers.com/img/productimages/xlarge/237744W_GYBK_A.jpg</t>
  </si>
  <si>
    <t>237744WGYBK-43R</t>
  </si>
  <si>
    <t>237744WGYBK</t>
  </si>
  <si>
    <t>Gray Suede/Synthetic/Black Trim</t>
  </si>
  <si>
    <t>https://image.skechers.com/img/productimages/xlarge/237755_BKCC_A.jpg</t>
  </si>
  <si>
    <t>237755BKCC-43R</t>
  </si>
  <si>
    <t>237755BKCC</t>
  </si>
  <si>
    <t>SKECHERS D'LUX PRO</t>
  </si>
  <si>
    <t>Overlay Lace Up With Air-Cooled Mf</t>
  </si>
  <si>
    <t>Black Leather/Charcoal Synthetic/Trim</t>
  </si>
  <si>
    <t>Skechers Air-Cooled Memory Foam® cushioned comfort insole
Anti-slip Goodyear® Rubber Outsole under wet or dry conditions
Relaxed Fit® for a roomy comfort fit at toe and forefoot</t>
  </si>
  <si>
    <t>Durable mesh and leather overlay upper with lace-up front
Shock-absorbing midsole
1 1/2-inch heel height
Skechers® logo detail</t>
  </si>
  <si>
    <t>Air-Cooled MF
Anti-Slip Under Wet and Dry Conditions
Goodyear Rubber
Relaxed Fit</t>
  </si>
  <si>
    <t>https://image.skechers.com/img/productimages/xlarge/237755_GRY_A.jpg</t>
  </si>
  <si>
    <t>237755GRY-43R</t>
  </si>
  <si>
    <t>237755GRY</t>
  </si>
  <si>
    <t>Gray Leather/Synthetic/Trim</t>
  </si>
  <si>
    <t>https://image.skechers.com/img/productimages/xlarge/237755_TPMT_A.jpg</t>
  </si>
  <si>
    <t>237755TPMT-43R</t>
  </si>
  <si>
    <t>237755TPMT</t>
  </si>
  <si>
    <t>Taupe Leather/Synthetic/Multi Trim</t>
  </si>
  <si>
    <t>https://image.skechers.com/img/productimages/xlarge/237788_BBK_A.jpg</t>
  </si>
  <si>
    <t>237788BBK-43R</t>
  </si>
  <si>
    <t>237788BBK</t>
  </si>
  <si>
    <t>RIDGE OAK</t>
  </si>
  <si>
    <t>GATEWAY TRAIL</t>
  </si>
  <si>
    <t>Slip-In Water Repellent Leather Overlay Bungee W/ACMF</t>
  </si>
  <si>
    <t>Air-Cooled MF
Water Repellent
Heel Pillow
No Tie Fit
Slip-Ins</t>
  </si>
  <si>
    <t>https://image.skechers.com/img/productimages/xlarge/237788_OLV_A.jpg</t>
  </si>
  <si>
    <t>237788OLV-43R</t>
  </si>
  <si>
    <t>237788OLV</t>
  </si>
  <si>
    <t>https://image.skechers.com/img/productimages/xlarge/237790_BBK_A.jpg</t>
  </si>
  <si>
    <t>237790BBK-43R</t>
  </si>
  <si>
    <t>237790BBK</t>
  </si>
  <si>
    <t>SOLIX CREEK</t>
  </si>
  <si>
    <t>Leather Overlay Lace Up W/ Air Cooled Mf</t>
  </si>
  <si>
    <t>Skechers Air-Cooled Memory Foam® cushioned comfort insole
Goodyear® Rubber Outsole delivers enhanced traction, stability and durability
Water-repellent
Anti-slip traction outsole under wet or dry conditions</t>
  </si>
  <si>
    <t>Lace-up leather and mesh upper
Skechers® logo detail</t>
  </si>
  <si>
    <t>https://image.skechers.com/img/productimages/xlarge/237790_NAT_A.jpg</t>
  </si>
  <si>
    <t>237790NAT-43R</t>
  </si>
  <si>
    <t>237790NAT</t>
  </si>
  <si>
    <t>Natural Leather/Textile/Trim</t>
  </si>
  <si>
    <t>https://image.skechers.com/img/productimages/xlarge/237806_BBK_A.jpg</t>
  </si>
  <si>
    <t>237806BBK-43R</t>
  </si>
  <si>
    <t>237806BBK</t>
  </si>
  <si>
    <t>HILLCREST 2.0</t>
  </si>
  <si>
    <t>SABBADAY FALLS</t>
  </si>
  <si>
    <t>Water Repellent Overlay Lace-Up W/MF</t>
  </si>
  <si>
    <t>Black Synthetic/Textile/Trim</t>
  </si>
  <si>
    <t>Water-repellent mesh and synthetic overlay upper with lace-up front
Outdoor trail traction outsole
1 1/4-inch heel height
Skechers® logo detail</t>
  </si>
  <si>
    <t>Water Repellent
Memory Foam</t>
  </si>
  <si>
    <t>https://image.skechers.com/img/productimages/xlarge/237806_BLK_A.jpg</t>
  </si>
  <si>
    <t>237806BLK-43R</t>
  </si>
  <si>
    <t>237806BLK</t>
  </si>
  <si>
    <t>https://image.skechers.com/img/productimages/xlarge/237806_LTGY_A.jpg</t>
  </si>
  <si>
    <t>237806LTGY-43R</t>
  </si>
  <si>
    <t>237806LTGY</t>
  </si>
  <si>
    <t>Light Gray Synthetic/Textile/Trim</t>
  </si>
  <si>
    <t>https://image.skechers.com/img/productimages/xlarge/237806_OLV_A.jpg</t>
  </si>
  <si>
    <t>237806OLV-43R</t>
  </si>
  <si>
    <t>237806OLV</t>
  </si>
  <si>
    <t>Olive Synthetic/Textile/Trim</t>
  </si>
  <si>
    <t>https://image.skechers.com/img/productimages/xlarge/237811_BBK_A.jpg</t>
  </si>
  <si>
    <t>237811BBK-43R</t>
  </si>
  <si>
    <t>237811BBK</t>
  </si>
  <si>
    <t>FAIR KNIT</t>
  </si>
  <si>
    <t>Knit Sock Collar Bungee Lace Slip-On W/MF</t>
  </si>
  <si>
    <t>https://image.skechers.com/img/productimages/xlarge/237811_BLK_A.jpg</t>
  </si>
  <si>
    <t>237811BLK-43R</t>
  </si>
  <si>
    <t>237811BLK</t>
  </si>
  <si>
    <t>https://image.skechers.com/img/productimages/xlarge/237811_OLV_A.jpg</t>
  </si>
  <si>
    <t>237811OLV-43R</t>
  </si>
  <si>
    <t>237811OLV</t>
  </si>
  <si>
    <t>https://image.skechers.com/img/productimages/xlarge/237811_TPE_A.jpg</t>
  </si>
  <si>
    <t>237811TPE-43R</t>
  </si>
  <si>
    <t>237811TPE</t>
  </si>
  <si>
    <t>Taupe Textile/Synthetic/Trim</t>
  </si>
  <si>
    <t>https://image.skechers.com/img/productimages/xlarge/237812_BKCC_A.jpg</t>
  </si>
  <si>
    <t>237812BKCC-43R</t>
  </si>
  <si>
    <t>237812BKCC</t>
  </si>
  <si>
    <t>GLOVER PEAK</t>
  </si>
  <si>
    <t>Slip-Ins Stretch Lace  Engineered Mesh  W/ Air Cooled Mf</t>
  </si>
  <si>
    <t>Skechers Hands Free Slip-ins® for an easy fit
Heel Pillow® holds your foot securely in place
Skechers Air-Cooled Memory Foam® cushioned comfort insole
Glide-Step® geometric midsole designed to provide natural momentum with every step
No Tie Fit™ - laces never come untied</t>
  </si>
  <si>
    <t>Engineered mesh and synthetic upper with stretch laces
Super flexible traction outsole
1 1/4-inch heel height
Skechers® logo detail</t>
  </si>
  <si>
    <t>https://image.skechers.com/img/productimages/xlarge/237812_NTBK_A.jpg</t>
  </si>
  <si>
    <t>237812NTBK-43R</t>
  </si>
  <si>
    <t>237812NTBK</t>
  </si>
  <si>
    <t>Natural Textile/Black Synthetic/Trim</t>
  </si>
  <si>
    <t>https://image.skechers.com/img/productimages/xlarge/237812_OLV_A.jpg</t>
  </si>
  <si>
    <t>237812OLV-43R</t>
  </si>
  <si>
    <t>237812OLV</t>
  </si>
  <si>
    <t>https://image.skechers.com/img/productimages/xlarge/237812_TPE_A.jpg</t>
  </si>
  <si>
    <t>237812TPE-43R</t>
  </si>
  <si>
    <t>237812TPE</t>
  </si>
  <si>
    <t>https://image.skechers.com/img/productimages/xlarge/237812W_BBK_A.jpg</t>
  </si>
  <si>
    <t>237812WBBK-43R</t>
  </si>
  <si>
    <t>237812W</t>
  </si>
  <si>
    <t>237812WBBK</t>
  </si>
  <si>
    <t>https://image.skechers.com/img/productimages/xlarge/237812W_NVY_A.jpg</t>
  </si>
  <si>
    <t>237812WNVY-43R</t>
  </si>
  <si>
    <t>237812WNVY</t>
  </si>
  <si>
    <t>Navy Textile/Synthetic/Trim</t>
  </si>
  <si>
    <t>https://image.skechers.com/img/productimages/xlarge/237818_BBK_A.jpg</t>
  </si>
  <si>
    <t>237818BBK-43R</t>
  </si>
  <si>
    <t>237818BBK</t>
  </si>
  <si>
    <t>MAX CUSHIONING ZIRRUS</t>
  </si>
  <si>
    <t>ZIRROSTRATUS</t>
  </si>
  <si>
    <t>Duraleather Overlay Mesh Lace up W/ Memory Foam</t>
  </si>
  <si>
    <t>Max Cushioning
Memory Foam
Relaxed Fit</t>
  </si>
  <si>
    <t>https://image.skechers.com/img/productimages/xlarge/237818_GRY_A.jpg</t>
  </si>
  <si>
    <t>237818GRY-43R</t>
  </si>
  <si>
    <t>237818GRY</t>
  </si>
  <si>
    <t>Gray Synthetic/Textile/Trim</t>
  </si>
  <si>
    <t>https://image.skechers.com/img/productimages/xlarge/237818_TPE_A.jpg</t>
  </si>
  <si>
    <t>237818TPE-43R</t>
  </si>
  <si>
    <t>237818TPE</t>
  </si>
  <si>
    <t>Taupe Synthetic/Textile/Trim</t>
  </si>
  <si>
    <t>https://image.skechers.com/img/productimages/xlarge/237820_BBK_A.jpg</t>
  </si>
  <si>
    <t>237820BBK-43R</t>
  </si>
  <si>
    <t>237820BBK</t>
  </si>
  <si>
    <t>RIDGESTAR</t>
  </si>
  <si>
    <t>Leather Overlay Lace Up With Air Cooled Mf</t>
  </si>
  <si>
    <t>Air-Cooled MF
Water Repellent</t>
  </si>
  <si>
    <t>https://image.skechers.com/img/productimages/xlarge/237820_TPE_A.jpg</t>
  </si>
  <si>
    <t>237820TPE-43R</t>
  </si>
  <si>
    <t>237820TPE</t>
  </si>
  <si>
    <t>https://image.skechers.com/img/productimages/xlarge/237821_BBK_A.jpg</t>
  </si>
  <si>
    <t>237821BBK-43R</t>
  </si>
  <si>
    <t>237821BBK</t>
  </si>
  <si>
    <t>LION CREEK</t>
  </si>
  <si>
    <t>Waterproof Hotmelt Lace-Up W/ACMF</t>
  </si>
  <si>
    <t>Skechers Air-Cooled Memory Foam® cushioned comfort insole
Skechers Breathe Easy Technology™ is an ultra-lightweight lining that delivers 100% waterproof protection while maintaining maximum breathability
Seam-sealed waterproof design
Crafted with 100% vegan materials</t>
  </si>
  <si>
    <t>Lace-up mesh and synthetic upper
Shock-absorbing midsole
Flexible high-traction outsole
1 3/4-inch heel height
Skechers® logo detail</t>
  </si>
  <si>
    <t>Air-Cooled MF
Breathe Easy Technology
Waterproof</t>
  </si>
  <si>
    <t>https://image.skechers.com/img/productimages/xlarge/237821_GRY_A.jpg</t>
  </si>
  <si>
    <t>237821GRY-43R</t>
  </si>
  <si>
    <t>237821GRY</t>
  </si>
  <si>
    <t>https://image.skechers.com/img/productimages/xlarge/246220_BLK_A.jpg</t>
  </si>
  <si>
    <t>246220BLK-44G</t>
  </si>
  <si>
    <t>246220BLK</t>
  </si>
  <si>
    <t>Black Textile/Silver/Orange Trim</t>
  </si>
  <si>
    <t>Breathable engineered mesh upper with adjustable laces
Road-running performance slip-on
Skechers HYPER ARC® adapts to your running stride to promote a smoother transition from landing to toe off
Goodyear® Performance Outsole delivers enhanced traction, stability, and durability
Stack height: 35mm - 29mm
Offset: 6mm
Weight: 10.2oz/289g in a men's size 9
Crafted with 100% vegan materials
Skechers Performance™ logo detail</t>
  </si>
  <si>
    <t>GRM - TECH RUNNING MENS</t>
  </si>
  <si>
    <t>https://image.skechers.com/img/productimages/xlarge/246220_NVY_A.jpg</t>
  </si>
  <si>
    <t>246220NVY-44G</t>
  </si>
  <si>
    <t>246220NVY</t>
  </si>
  <si>
    <t>Navy Textile/Gray Trim</t>
  </si>
  <si>
    <t>https://image.skechers.com/img/productimages/xlarge/246220_WAQ_A.jpg</t>
  </si>
  <si>
    <t>246220WAQ-44G</t>
  </si>
  <si>
    <t>WAQ</t>
  </si>
  <si>
    <t>246220WAQ</t>
  </si>
  <si>
    <t>White Textile/Aqua Trim</t>
  </si>
  <si>
    <t>https://image.skechers.com/img/productimages/xlarge/246220_WBO_A.jpg</t>
  </si>
  <si>
    <t>246220WBO-44G</t>
  </si>
  <si>
    <t>WBO</t>
  </si>
  <si>
    <t>246220WBO</t>
  </si>
  <si>
    <t>White Textile/Red/Black Trim</t>
  </si>
  <si>
    <t>https://image.skechers.com/img/productimages/xlarge/254026_BKRD_A.jpg</t>
  </si>
  <si>
    <t>254026BKRD-43R</t>
  </si>
  <si>
    <t>254026BKRD</t>
  </si>
  <si>
    <t>CROWNE</t>
  </si>
  <si>
    <t>Leather Overlay Upper Lace-Up W/ Acmf</t>
  </si>
  <si>
    <t>Black Leather/Red Trim</t>
  </si>
  <si>
    <t>Leather and woven fabric upper
Lace-up fashion sneaker
Flexible traction outsole
1 1/4-inch heel height
Skechers® logo detail</t>
  </si>
  <si>
    <t>CCM - COURT CLASSICS MENS</t>
  </si>
  <si>
    <t>https://image.skechers.com/img/productimages/xlarge/254026_WBK_A.jpg</t>
  </si>
  <si>
    <t>254026WBK-43R</t>
  </si>
  <si>
    <t>254026WBK</t>
  </si>
  <si>
    <t>White Leather/Black Trim</t>
  </si>
  <si>
    <t>https://image.skechers.com/img/productimages/xlarge/254026_WHT_A.jpg</t>
  </si>
  <si>
    <t>254026WHT-43R</t>
  </si>
  <si>
    <t>254026WHT</t>
  </si>
  <si>
    <t>https://image.skechers.com/img/productimages/xlarge/254150_BKW_A.jpg</t>
  </si>
  <si>
    <t>254150BKW-43R</t>
  </si>
  <si>
    <t>254150BKW</t>
  </si>
  <si>
    <t>PYKE</t>
  </si>
  <si>
    <t>Low Profile Duraleather Court Sneaker W/ Pig Suede Overlays &amp; Acmf</t>
  </si>
  <si>
    <t>Black Duraleather/Suede^/White Trim</t>
  </si>
  <si>
    <t>Lace-up synthetic duraleather and pigskin suede upper
Contrast 'S' quarter logo detail
Flexible traction rubber outsole
3/4-inch heel height
Skechers® logo detail</t>
  </si>
  <si>
    <t>https://image.skechers.com/img/productimages/xlarge/254150_WBK_A.jpg</t>
  </si>
  <si>
    <t>254150WBK-43R</t>
  </si>
  <si>
    <t>254150WBK</t>
  </si>
  <si>
    <t>White Duraleather/Suede^/Black Trim</t>
  </si>
  <si>
    <t>https://image.skechers.com/img/productimages/xlarge/254150_WGR_A.jpg</t>
  </si>
  <si>
    <t>254150WGR-43R</t>
  </si>
  <si>
    <t>254150WGR</t>
  </si>
  <si>
    <t>White Duraleather/Suede^/Green Trim</t>
  </si>
  <si>
    <t>https://image.skechers.com/img/productimages/xlarge/254172_NTBK_A.jpg</t>
  </si>
  <si>
    <t>254172NTBK-43R</t>
  </si>
  <si>
    <t>254172NTBK</t>
  </si>
  <si>
    <t>S-1992</t>
  </si>
  <si>
    <t>Leather And Pig Suede Lace-Up Sneaker W/ Chenille Swan Logo Detail And Acmf</t>
  </si>
  <si>
    <t>Natural Leather/Suede^/Mesh/Black Trim</t>
  </si>
  <si>
    <t>Leather, suede, and mesh upper with textured logo
Casual retro-inspired style with lace-up front
Flexible traction outsole
1-inch heel height
Skechers® logo detail</t>
  </si>
  <si>
    <t>https://image.skechers.com/img/productimages/xlarge/254172_NTGR_A.jpg</t>
  </si>
  <si>
    <t>254172NTGR-43R</t>
  </si>
  <si>
    <t>254172NTGR</t>
  </si>
  <si>
    <t>Natural Leather/Suede^/Mesh/Green Trim</t>
  </si>
  <si>
    <t>https://image.skechers.com/img/productimages/xlarge/254172_NTGY_A.jpg</t>
  </si>
  <si>
    <t>254172NTGY-43R</t>
  </si>
  <si>
    <t>254172NTGY</t>
  </si>
  <si>
    <t>Natural Leather/Suede^/Mesh/Grey Trim</t>
  </si>
  <si>
    <t>https://image.skechers.com/img/productimages/xlarge/254172_WBLR_A.jpg</t>
  </si>
  <si>
    <t>254172WBLR-43R</t>
  </si>
  <si>
    <t>WBLR</t>
  </si>
  <si>
    <t>254172WBLR</t>
  </si>
  <si>
    <t>White Leather/Pig Suede^/Blue Mesh/Red Trim</t>
  </si>
  <si>
    <t>https://image.skechers.com/img/productimages/xlarge/254179_BBK_A.jpg</t>
  </si>
  <si>
    <t>254179BBK-43R</t>
  </si>
  <si>
    <t>254179BBK</t>
  </si>
  <si>
    <t>TROIZE</t>
  </si>
  <si>
    <t>Tumbled Leather Lace Up Sneaker</t>
  </si>
  <si>
    <t>Black Leather/Pu</t>
  </si>
  <si>
    <t>https://image.skechers.com/img/productimages/xlarge/254179_OFWT_A.jpg</t>
  </si>
  <si>
    <t>254179OFWT-43R</t>
  </si>
  <si>
    <t>254179OFWT</t>
  </si>
  <si>
    <t>Off White Leather/Pu</t>
  </si>
  <si>
    <t>https://image.skechers.com/img/productimages/xlarge/254226_BKW_A.jpg</t>
  </si>
  <si>
    <t>254226BKW-43R</t>
  </si>
  <si>
    <t>254226BKW</t>
  </si>
  <si>
    <t>Slip-Ins Low Top Court Lace Up W/ Swan logo</t>
  </si>
  <si>
    <t>Black Synthetic/Cow Suede/White Pu</t>
  </si>
  <si>
    <t>Skechers Hands Free Slip-ins® for an easy fit
Heel Pillow® holds your foot securely in place
Skechers Air-Cooled Memory Foam® cushioned comfort insole
Second set of laces</t>
  </si>
  <si>
    <t>Duraleather and suede upper with adjustable laces
Contrast 'S' quarter logo detail
Flatform gum midsole
Flexible traction rubber outsole
1 1/4-inch heel height
Skechers® logo detail</t>
  </si>
  <si>
    <t>2nd Lace
Air-Cooled MF
Slip-Ins</t>
  </si>
  <si>
    <t>https://image.skechers.com/img/productimages/xlarge/254226_BRN_A.jpg</t>
  </si>
  <si>
    <t>254226BRN-43R</t>
  </si>
  <si>
    <t>254226BRN</t>
  </si>
  <si>
    <t>Brown Synthetic/Cow Suede/Pu</t>
  </si>
  <si>
    <t>https://image.skechers.com/img/productimages/xlarge/254226_WBK_A.jpg</t>
  </si>
  <si>
    <t>254226WBK-43R</t>
  </si>
  <si>
    <t>254226WBK</t>
  </si>
  <si>
    <t>White Synthetic/Cow Suede/Black Pu</t>
  </si>
  <si>
    <t>https://image.skechers.com/img/productimages/xlarge/254226_WHT_A.jpg</t>
  </si>
  <si>
    <t>254226WHT-43R</t>
  </si>
  <si>
    <t>254226WHT</t>
  </si>
  <si>
    <t>White Synthetic/Cow Suede/Pu</t>
  </si>
  <si>
    <t>https://image.skechers.com/img/productimages/xlarge/256202_BBK_A.jpg</t>
  </si>
  <si>
    <t>256202BBK-43R</t>
  </si>
  <si>
    <t>256202BBK</t>
  </si>
  <si>
    <t>REEL CUTTING</t>
  </si>
  <si>
    <t>Slip-ins Waterproof Hotmelt detail lace up w/ Goodyear Rubber &amp; Acmf</t>
  </si>
  <si>
    <t>Black Leather/ Synthetic/Mesh</t>
  </si>
  <si>
    <t>From the Skechers x John Deere collection
Skechers Hands Free Slip-ins® for an easy fit
Heel Pillow® holds your foot securely in place
Relaxed Fit® for a roomy comfort fit at toe and forefoot
Skechers Air-Cooled Memory Foam® cushioned comfort insole
Skechers Breathable Comfort® lightweight uppers are 100% breathable for fresh and dry comfort all day long</t>
  </si>
  <si>
    <t>Leather, mesh, and hotmelt overlay upper with lace-up front
Goodyear® Rubber Outsole delivers enhanced traction, stability, and durability
Seam-sealed waterproof design
Well-cushioned midsole
Flexible traction outsole
2-inch heel height
Skechers® logo detail</t>
  </si>
  <si>
    <t>JDM - JOHN DEERE MENS</t>
  </si>
  <si>
    <t>Air-Cooled MF
Breathe Easy Technology
Goodyear Rubber
Waterproof
John Deere
Relaxed Fit
Slip-Ins</t>
  </si>
  <si>
    <t>https://image.skechers.com/img/productimages/xlarge/256202_BKGR_A.jpg</t>
  </si>
  <si>
    <t>256202BKGR-43R</t>
  </si>
  <si>
    <t>BKGR</t>
  </si>
  <si>
    <t>256202BKGR</t>
  </si>
  <si>
    <t>Black Leather/ Synthetic /Mesh/Green Trim</t>
  </si>
  <si>
    <t>https://image.skechers.com/img/productimages/xlarge/302696N_LPMT_A.jpg</t>
  </si>
  <si>
    <t>302696NLPMT-47N</t>
  </si>
  <si>
    <t>302696N</t>
  </si>
  <si>
    <t>LPMT</t>
  </si>
  <si>
    <t>302696NLPMT</t>
  </si>
  <si>
    <t>ETERNAL HEART LIGHTS</t>
  </si>
  <si>
    <t>GIRLS-N</t>
  </si>
  <si>
    <t>Lighted Satin Gore &amp; Strap W/ Sparkle Mesh &amp; Glitter Overlays</t>
  </si>
  <si>
    <t>Light Pink Sparkle Mesh/Multi Trim</t>
  </si>
  <si>
    <t>Skechers easy-on, easy-off adaptive closure for a customized fit
Cushioned comfort insole</t>
  </si>
  <si>
    <t>Sparkle mesh and synthetic glitter patent upper
Slip-on style with a stretch-laced front
Cushioned light-up heart design midsole
Flexible traction outsole
Skechers® logo detail</t>
  </si>
  <si>
    <t>E - SKECHERS GIRLS</t>
  </si>
  <si>
    <t>Adaptive Closure
Lights
On/Off Button</t>
  </si>
  <si>
    <t>SKECHERS HEART LIGHTS</t>
  </si>
  <si>
    <t>https://image.skechers.com/img/productimages/xlarge/302696N_LVMT_A.jpg</t>
  </si>
  <si>
    <t>302696NLVMT-47N</t>
  </si>
  <si>
    <t>302696NLVMT</t>
  </si>
  <si>
    <t>Lavender Sparkle Mesh/Multi Trim</t>
  </si>
  <si>
    <t>https://image.skechers.com/img/productimages/xlarge/302696N_SMLT_A.jpg</t>
  </si>
  <si>
    <t>302696NSMLT-47N</t>
  </si>
  <si>
    <t>SMLT</t>
  </si>
  <si>
    <t>302696NSMLT</t>
  </si>
  <si>
    <t>Silver Sparkle Mesh/Multi Trim</t>
  </si>
  <si>
    <t>https://image.skechers.com/img/productimages/xlarge/303064N_LVMT_A.jpg</t>
  </si>
  <si>
    <t>303064NLVMT-47N</t>
  </si>
  <si>
    <t>303064N</t>
  </si>
  <si>
    <t>303064NLVMT</t>
  </si>
  <si>
    <t>UNICORN CHARMER</t>
  </si>
  <si>
    <t>LIL HEART SPARKLES</t>
  </si>
  <si>
    <t>Lighted Unicorn Gore &amp; Strap W/ Multi Heart Print Upper</t>
  </si>
  <si>
    <t>Skechers easy-on, easy-off adaptive closure for a customized fit
Light-up unicorn theme sneaker
Sculpted unicorn midsole
Cushioned comfort insole</t>
  </si>
  <si>
    <t>Sparkle mesh upper with heart print and glossy synthetic detail
Stretch-lace front and adjustable instep strap
Flexible traction outsole
Skechers® logo detail</t>
  </si>
  <si>
    <t>Adaptive Closure
Lights
Magical Collection
Thematic</t>
  </si>
  <si>
    <t>https://image.skechers.com/img/productimages/xlarge/303066N_LPMT_A.jpg</t>
  </si>
  <si>
    <t>303066NLPMT-47N</t>
  </si>
  <si>
    <t>303066N</t>
  </si>
  <si>
    <t>303066NLPMT</t>
  </si>
  <si>
    <t>LIL BUTTERFLY BLISS</t>
  </si>
  <si>
    <t>Lighted Butterfly Wrap Sneaker W/ Gore &amp; Strap</t>
  </si>
  <si>
    <t>Light Pink Sparkle Mesh/Multi Trip</t>
  </si>
  <si>
    <t>https://image.skechers.com/img/productimages/xlarge/303066N_LVMT_A.jpg</t>
  </si>
  <si>
    <t>303066NLVMT-47N</t>
  </si>
  <si>
    <t>303066NLVMT</t>
  </si>
  <si>
    <t>https://image.skechers.com/img/productimages/xlarge/303205L_HPMT_A.jpg</t>
  </si>
  <si>
    <t>303205LHPMT-46B</t>
  </si>
  <si>
    <t>303205L</t>
  </si>
  <si>
    <t>HPMT</t>
  </si>
  <si>
    <t>303205LHPMT</t>
  </si>
  <si>
    <t>GUMMY FRIENDS</t>
  </si>
  <si>
    <t>GIRLS-L</t>
  </si>
  <si>
    <t>Sweet Kickz Gummy Friends Bungee &amp; Strap Scented Sneaker</t>
  </si>
  <si>
    <t>Hot Pink Synthetic/Multi Trim</t>
  </si>
  <si>
    <t>Sweet Kickz® scented character theme design
Skechers easy-on, easy-off adaptive closure for a customized fit
Cushioned comfort insole
Detachable charm</t>
  </si>
  <si>
    <t>Colorful mesh and patent glitter overlay upper
Fixed stretch laces and adjustable instep strap with sculpted gummy bear graphics
Lightweight shock-absorbing gummy bear sculpted midsole
Flexible traction outsole
Skechers® logo detail</t>
  </si>
  <si>
    <t>Adaptive Closure
Scented
Thematic</t>
  </si>
  <si>
    <t>https://image.skechers.com/img/productimages/xlarge/303205L_LBMT_A.jpg</t>
  </si>
  <si>
    <t>303205LLBMT-46B</t>
  </si>
  <si>
    <t>LBMT</t>
  </si>
  <si>
    <t>303205LLBMT</t>
  </si>
  <si>
    <t>Light Blue Synthetic/Multi Trim</t>
  </si>
  <si>
    <t>https://image.skechers.com/img/productimages/xlarge/303557L_BLK_A.jpg</t>
  </si>
  <si>
    <t>303557LBLK-46B</t>
  </si>
  <si>
    <t>303557L</t>
  </si>
  <si>
    <t>303557LBLK</t>
  </si>
  <si>
    <t>WAVE 92</t>
  </si>
  <si>
    <t>Gore And Strap Sparkle Mesh Sneaker W/ Satin Overlays</t>
  </si>
  <si>
    <t>Black Sparkle Mesh/Trim</t>
  </si>
  <si>
    <t>Sparkle mesh upper with stretch laces and adjustable instep strap
Flexible traction outsole
1 1/4-inch heel height
Machine washable
Skechers® logo detail</t>
  </si>
  <si>
    <t>Adaptive Closure
Machine Washable</t>
  </si>
  <si>
    <t>ALL-UNISEX KIDS SPORT-U-59372</t>
  </si>
  <si>
    <t>https://image.skechers.com/img/productimages/xlarge/303557L_LTPK_A.jpg</t>
  </si>
  <si>
    <t>303557LLTPK-46B</t>
  </si>
  <si>
    <t>303557LLTPK</t>
  </si>
  <si>
    <t>Light Pink Sparkle Mesh/Trim</t>
  </si>
  <si>
    <t>https://image.skechers.com/img/productimages/xlarge/303557L_NAT_A.jpg</t>
  </si>
  <si>
    <t>303557LNAT-46B</t>
  </si>
  <si>
    <t>303557LNAT</t>
  </si>
  <si>
    <t>Natural Sparkle Mesh/Trim</t>
  </si>
  <si>
    <t>https://image.skechers.com/img/productimages/xlarge/303557L_SLT_A.jpg</t>
  </si>
  <si>
    <t>303557LSLT-46B</t>
  </si>
  <si>
    <t>303557LSLT</t>
  </si>
  <si>
    <t>Slate Sparkle Mesh/Trim</t>
  </si>
  <si>
    <t>https://image.skechers.com/img/productimages/xlarge/303557N_LAV_A.jpg</t>
  </si>
  <si>
    <t>303557NLAV-47N</t>
  </si>
  <si>
    <t>303557N</t>
  </si>
  <si>
    <t>303557NLAV</t>
  </si>
  <si>
    <t>Lavender Sparkle Mesh/Trim</t>
  </si>
  <si>
    <t>https://image.skechers.com/img/productimages/xlarge/303557N_LTGY_A.jpg</t>
  </si>
  <si>
    <t>303557NLTGY-47N</t>
  </si>
  <si>
    <t>303557NLTGY</t>
  </si>
  <si>
    <t>Light Gray Sparkle Mesh/Trim</t>
  </si>
  <si>
    <t>https://image.skechers.com/img/productimages/xlarge/303557N_LTPK_A.jpg</t>
  </si>
  <si>
    <t>303557NLTPK-47N</t>
  </si>
  <si>
    <t>303557NLTPK</t>
  </si>
  <si>
    <t>https://image.skechers.com/img/productimages/xlarge/303557N_NAT_A.jpg</t>
  </si>
  <si>
    <t>303557NNAT-47N</t>
  </si>
  <si>
    <t>303557NNAT</t>
  </si>
  <si>
    <t>https://image.skechers.com/img/productimages/xlarge/303580L_LAV_A.jpg</t>
  </si>
  <si>
    <t>303580LLAV-46B</t>
  </si>
  <si>
    <t>303580L</t>
  </si>
  <si>
    <t>303580LLAV</t>
  </si>
  <si>
    <t>GO RUN 400 V2</t>
  </si>
  <si>
    <t>FUEL 228</t>
  </si>
  <si>
    <t>Gore And Strap Sneaker W/ 3d Print Details</t>
  </si>
  <si>
    <t>Lavender Synthetic/Trim</t>
  </si>
  <si>
    <t>https://image.skechers.com/img/productimages/xlarge/303580L_LMNT_A.jpg</t>
  </si>
  <si>
    <t>303580LLMNT-46B</t>
  </si>
  <si>
    <t>LMNT</t>
  </si>
  <si>
    <t>303580LLMNT</t>
  </si>
  <si>
    <t>https://image.skechers.com/img/productimages/xlarge/303595L_BKLV_A.jpg</t>
  </si>
  <si>
    <t>303595LBKLV-46B</t>
  </si>
  <si>
    <t>303595L</t>
  </si>
  <si>
    <t>BKLV</t>
  </si>
  <si>
    <t>303595LBKLV</t>
  </si>
  <si>
    <t>MICROSPEC MAX ADVANCE</t>
  </si>
  <si>
    <t>FLY 3.0</t>
  </si>
  <si>
    <t>Bungee And Strap Mesh Sneaker W/ Midsole Paint W/ Heel Airbag</t>
  </si>
  <si>
    <t>Black Mesh/Lavender Trim</t>
  </si>
  <si>
    <t>Skech-Air® visible airbag midsole
Skechers easy-on, easy-off adaptive closure for a customized fit
Cushioned comfort insole</t>
  </si>
  <si>
    <t>Mesh and synthetic upper with stretch laces and adjustable instep strap
Painted shock-absorbing midsole
Flexible traction outsole
1 1/4-inch heel height
Skechers® logo detail</t>
  </si>
  <si>
    <t>Adaptive Closure
Skech-Air</t>
  </si>
  <si>
    <t>SKECH AIR</t>
  </si>
  <si>
    <t>https://image.skechers.com/img/productimages/xlarge/303595L_GYLV_A.jpg</t>
  </si>
  <si>
    <t>303595LGYLV-46B</t>
  </si>
  <si>
    <t>303595LGYLV</t>
  </si>
  <si>
    <t>Gray Mesh/Lavender Trim</t>
  </si>
  <si>
    <t>https://image.skechers.com/img/productimages/xlarge/303595L_WHPK_A.jpg</t>
  </si>
  <si>
    <t>303595LWHPK-46B</t>
  </si>
  <si>
    <t>303595LWHPK</t>
  </si>
  <si>
    <t>White Mesh/Pink Trim</t>
  </si>
  <si>
    <t>https://image.skechers.com/img/productimages/xlarge/303599L_GYMT_A.jpg</t>
  </si>
  <si>
    <t>303599LGYMT-46B</t>
  </si>
  <si>
    <t>303599L</t>
  </si>
  <si>
    <t>303599LGYMT</t>
  </si>
  <si>
    <t>BOUNDLESS</t>
  </si>
  <si>
    <t>COLOR BLITZ</t>
  </si>
  <si>
    <t>Gore and Strap Sublimated Ombre Sparkle Mesh Sneaker</t>
  </si>
  <si>
    <t>Gray Textile/Multi Trim</t>
  </si>
  <si>
    <t>https://image.skechers.com/img/productimages/xlarge/303599L_LPMT_A.jpg</t>
  </si>
  <si>
    <t>303599LLPMT-46B</t>
  </si>
  <si>
    <t>303599LLPMT</t>
  </si>
  <si>
    <t>Light Pink Textile W/ Multi Trim</t>
  </si>
  <si>
    <t>https://image.skechers.com/img/productimages/xlarge/303599L_LVMT_A.jpg</t>
  </si>
  <si>
    <t>303599LLVMT-46B</t>
  </si>
  <si>
    <t>303599LLVMT</t>
  </si>
  <si>
    <t>Lavender Textile W/Multi Trim</t>
  </si>
  <si>
    <t>https://image.skechers.com/img/productimages/xlarge/303599L_NTMT_A.jpg</t>
  </si>
  <si>
    <t>303599LNTMT-46B</t>
  </si>
  <si>
    <t>303599LNTMT</t>
  </si>
  <si>
    <t>Natural Textile W/ Multi Trim</t>
  </si>
  <si>
    <t>https://image.skechers.com/img/productimages/xlarge/303622L_BLK_A.jpg</t>
  </si>
  <si>
    <t>303622LBLK-46B</t>
  </si>
  <si>
    <t>303622L</t>
  </si>
  <si>
    <t>303622LBLK</t>
  </si>
  <si>
    <t>BOUNDER</t>
  </si>
  <si>
    <t>FREE AND EASY</t>
  </si>
  <si>
    <t>Lightweight Gore &amp; Strap Engineered Mesh Sneaker</t>
  </si>
  <si>
    <t>Engineered mesh upper
Fixed stretch laces and adjustable instep strap
Lightweight shock-absorbing midsole
Flexible traction outsole
Machine washable
Skechers® logo detail</t>
  </si>
  <si>
    <t>Adaptive Closure
Engineered Mesh
Machine Washable</t>
  </si>
  <si>
    <t>https://image.skechers.com/img/productimages/xlarge/303622L_LAV_A.jpg</t>
  </si>
  <si>
    <t>303622LLAV-46B</t>
  </si>
  <si>
    <t>303622LLAV</t>
  </si>
  <si>
    <t>https://image.skechers.com/img/productimages/xlarge/303622L_LTGY_A.jpg</t>
  </si>
  <si>
    <t>303622LLTGY-46B</t>
  </si>
  <si>
    <t>303622LLTGY</t>
  </si>
  <si>
    <t>Light Gray Textile/Trim</t>
  </si>
  <si>
    <t>https://image.skechers.com/img/productimages/xlarge/303622L_LTPK_A.jpg</t>
  </si>
  <si>
    <t>303622LLTPK-46B</t>
  </si>
  <si>
    <t>303622LLTPK</t>
  </si>
  <si>
    <t>https://image.skechers.com/img/productimages/xlarge/303622L_MNT_A.jpg</t>
  </si>
  <si>
    <t>303622LMNT-46B</t>
  </si>
  <si>
    <t>303622LMNT</t>
  </si>
  <si>
    <t>Mint Textile/Trim</t>
  </si>
  <si>
    <t>https://image.skechers.com/img/productimages/xlarge/303622N_LAV_A.jpg</t>
  </si>
  <si>
    <t>303622NLAV-47N</t>
  </si>
  <si>
    <t>303622N</t>
  </si>
  <si>
    <t>303622NLAV</t>
  </si>
  <si>
    <t>Lightweight Gore &amp; Strap Mesh Sneaker</t>
  </si>
  <si>
    <t>Adaptive Closure</t>
  </si>
  <si>
    <t>https://image.skechers.com/img/productimages/xlarge/303622N_LTPK_A.jpg</t>
  </si>
  <si>
    <t>303622NLTPK-47N</t>
  </si>
  <si>
    <t>303622NLTPK</t>
  </si>
  <si>
    <t>https://image.skechers.com/img/productimages/xlarge/303622N_MNT_A.jpg</t>
  </si>
  <si>
    <t>303622NMNT-47N</t>
  </si>
  <si>
    <t>303622NMNT</t>
  </si>
  <si>
    <t>https://image.skechers.com/img/productimages/xlarge/303642L_BKMT_A.jpg</t>
  </si>
  <si>
    <t>303642LBKMT-46B</t>
  </si>
  <si>
    <t>303642L</t>
  </si>
  <si>
    <t>303642LBKMT</t>
  </si>
  <si>
    <t>MICROSPEC TREAD</t>
  </si>
  <si>
    <t>Gore And Strap Mesh Sneaker W/ Overlays W/ Bottom Plate</t>
  </si>
  <si>
    <t>Black Synthetic/Multi Trim</t>
  </si>
  <si>
    <t>Mesh and synthetic overlay upper
Fixed stretch laces and adjustable instep strap
Flexible traction outsole
Machine washable
Skechers® logo detail</t>
  </si>
  <si>
    <t>https://image.skechers.com/img/productimages/xlarge/303642L_GYMT_A.jpg</t>
  </si>
  <si>
    <t>303642LGYMT-46B</t>
  </si>
  <si>
    <t>303642LGYMT</t>
  </si>
  <si>
    <t>Gray Synthetic/Multi Trim</t>
  </si>
  <si>
    <t>https://image.skechers.com/img/productimages/xlarge/303642L_NTLP_A.jpg</t>
  </si>
  <si>
    <t>303642LNTLP-46B</t>
  </si>
  <si>
    <t>NTLP</t>
  </si>
  <si>
    <t>303642LNTLP</t>
  </si>
  <si>
    <t>Natural Synthetic/Light Pink Trim</t>
  </si>
  <si>
    <t>https://image.skechers.com/img/productimages/xlarge/303654L_BKMT_A.jpg</t>
  </si>
  <si>
    <t>303654LBKMT-46B</t>
  </si>
  <si>
    <t>303654L</t>
  </si>
  <si>
    <t>303654LBKMT</t>
  </si>
  <si>
    <t>GLIDE-STEP +</t>
  </si>
  <si>
    <t>VISTA LANE</t>
  </si>
  <si>
    <t>Slip-Ins Bungee Sneaker W/ Air-Cooled Memory Foam W/ Rubber Bottom Plate</t>
  </si>
  <si>
    <t>Skechers Hands Free Slip-ins® for an easy fit
Heel Pillow® holds your foot securely in place
Glide-Step® geometric midsole designed to provide natural momentum with every step
Skechers Air-Cooled Memory Foam® comfort insole
Skechers easy-on, easy-off adaptive closure for a customized fit
Skechers Elite Sport™ styles are made for play, with shock-absorbing foam midsoles and durable bottoms for enhanced grip</t>
  </si>
  <si>
    <t>Synthetic and mesh upper with stretch laces
Flexible rubber traction outsole
Machine washable
1 1/4-inch heel height
Skechers® logo detail</t>
  </si>
  <si>
    <t>Adaptive Closure
Air-Cooled MF
Elite-Sport
Glide-Step
Heel Pillow
Machine Washable
Rubber Outsole
Skechers Youth
Slip-Ins</t>
  </si>
  <si>
    <t>https://image.skechers.com/img/productimages/xlarge/303654L_GYPK_A.jpg</t>
  </si>
  <si>
    <t>303654LGYPK-46B</t>
  </si>
  <si>
    <t>303654LGYPK</t>
  </si>
  <si>
    <t>Gray Synthetic/Pink Trim</t>
  </si>
  <si>
    <t>https://image.skechers.com/img/productimages/xlarge/303654L_LTPK_A.jpg</t>
  </si>
  <si>
    <t>303654LLTPK-46B</t>
  </si>
  <si>
    <t>303654LLTPK</t>
  </si>
  <si>
    <t>Light Pink Synthetic/Slate Trim</t>
  </si>
  <si>
    <t>https://image.skechers.com/img/productimages/xlarge/303654L_NAT_A.jpg</t>
  </si>
  <si>
    <t>303654LNAT-46B</t>
  </si>
  <si>
    <t>303654LNAT</t>
  </si>
  <si>
    <t>https://image.skechers.com/img/productimages/xlarge/303654L_WHT_A.jpg</t>
  </si>
  <si>
    <t>303654LWHT-46B</t>
  </si>
  <si>
    <t>303654LWHT</t>
  </si>
  <si>
    <t>White Synthetic/White Trim</t>
  </si>
  <si>
    <t>https://image.skechers.com/img/productimages/xlarge/303657L_AQMT_A.jpg</t>
  </si>
  <si>
    <t>303657LAQMT-46B</t>
  </si>
  <si>
    <t>303657L</t>
  </si>
  <si>
    <t>AQMT</t>
  </si>
  <si>
    <t>303657LAQMT</t>
  </si>
  <si>
    <t>MICROSPEC ADVANCE</t>
  </si>
  <si>
    <t>OASIS POINT</t>
  </si>
  <si>
    <t>Gore And Strap W/ 3D Print W/ Ombre Sparkle Mesh</t>
  </si>
  <si>
    <t>Aqua Textile/Multi Trim</t>
  </si>
  <si>
    <t>Ombré sparkle mesh upper with 3D-print overlays
Fixed stretch laces and adjustable instep strap
Flexible traction outsole
1-inch heel height
Skechers® logo detail</t>
  </si>
  <si>
    <t>https://image.skechers.com/img/productimages/xlarge/303657L_BKMT_A.jpg</t>
  </si>
  <si>
    <t>303657LBKMT-46B</t>
  </si>
  <si>
    <t>303657LBKMT</t>
  </si>
  <si>
    <t>Black Pu/Multi Mesh</t>
  </si>
  <si>
    <t>https://image.skechers.com/img/productimages/xlarge/303657L_HPMT_A.jpg</t>
  </si>
  <si>
    <t>303657LHPMT-46B</t>
  </si>
  <si>
    <t>303657LHPMT</t>
  </si>
  <si>
    <t>Hot Pink Pu/Multi Mesh</t>
  </si>
  <si>
    <t>https://image.skechers.com/img/productimages/xlarge/303657L_LVMT_A.jpg</t>
  </si>
  <si>
    <t>303657LLVMT-46B</t>
  </si>
  <si>
    <t>303657LLVMT</t>
  </si>
  <si>
    <t>Lavender Pu/Multi Mesh</t>
  </si>
  <si>
    <t>https://image.skechers.com/img/productimages/xlarge/303657N_AQMT_A.jpg</t>
  </si>
  <si>
    <t>303657NAQMT-47N</t>
  </si>
  <si>
    <t>303657N</t>
  </si>
  <si>
    <t>303657NAQMT</t>
  </si>
  <si>
    <t>https://image.skechers.com/img/productimages/xlarge/303657N_HPMT_A.jpg</t>
  </si>
  <si>
    <t>303657NHPMT-47N</t>
  </si>
  <si>
    <t>303657NHPMT</t>
  </si>
  <si>
    <t>Hot Pink Pu/Multi Textile</t>
  </si>
  <si>
    <t>https://image.skechers.com/img/productimages/xlarge/303657N_LVMT_A.jpg</t>
  </si>
  <si>
    <t>303657NLVMT-47N</t>
  </si>
  <si>
    <t>303657NLVMT</t>
  </si>
  <si>
    <t>Lavender Pu/Multi Textile</t>
  </si>
  <si>
    <t>https://image.skechers.com/img/productimages/xlarge/303675L_LBMT_A.jpg</t>
  </si>
  <si>
    <t>303675LLBMT-46B</t>
  </si>
  <si>
    <t>303675L</t>
  </si>
  <si>
    <t>303675LLBMT</t>
  </si>
  <si>
    <t>MAX CUSHIONING ASCEND</t>
  </si>
  <si>
    <t>SMOOTHIE PACK</t>
  </si>
  <si>
    <t>Gore And Strap Sparkle Ombre Mesh Sneaker W/Satin No-Sew Overlays</t>
  </si>
  <si>
    <t>Light Blue Textile/Multi Trim</t>
  </si>
  <si>
    <t>Adaptive Closure
Air Cooled Goga Mat
Elite-Sport
Machine Washable</t>
  </si>
  <si>
    <t>PERFORMANCE</t>
  </si>
  <si>
    <t>https://image.skechers.com/img/productimages/xlarge/303675L_LPMT_A.jpg</t>
  </si>
  <si>
    <t>303675LLPMT-46B</t>
  </si>
  <si>
    <t>303675LLPMT</t>
  </si>
  <si>
    <t>Light Pink Textile/ Multi Trim</t>
  </si>
  <si>
    <t>https://image.skechers.com/img/productimages/xlarge/303675L_LVMT_A.jpg</t>
  </si>
  <si>
    <t>303675LLVMT-46B</t>
  </si>
  <si>
    <t>303675LLVMT</t>
  </si>
  <si>
    <t>https://image.skechers.com/img/productimages/xlarge/303677L_BLK_A.jpg</t>
  </si>
  <si>
    <t>303677LBLK-46B</t>
  </si>
  <si>
    <t>303677L</t>
  </si>
  <si>
    <t>303677LBLK</t>
  </si>
  <si>
    <t>SKECHERS GLIDE-STEP FLOW</t>
  </si>
  <si>
    <t>Lightweight Strap Mesh Sneaker/W Bungees</t>
  </si>
  <si>
    <t>Black Textle/Trim</t>
  </si>
  <si>
    <t>Glide-Step® geometric midsole designed to provide natural momentum with every step
Skechers easy-on, easy-off adaptive closure for a customized fit
Cushioned comfort insole</t>
  </si>
  <si>
    <t>Mesh upper with stretch laces and adjustable instep strap
Super flexible traction outsole
1 1/4-inch heel height
Machine washable
Skechers® logo detail</t>
  </si>
  <si>
    <t>Adaptive Closure
Glide-Step
Machine Washable</t>
  </si>
  <si>
    <t>https://image.skechers.com/img/productimages/xlarge/303677L_LGY_A.jpg</t>
  </si>
  <si>
    <t>303677LLGY-46B</t>
  </si>
  <si>
    <t>LGY</t>
  </si>
  <si>
    <t>303677LLGY</t>
  </si>
  <si>
    <t>https://image.skechers.com/img/productimages/xlarge/303677L_LTPK_A.jpg</t>
  </si>
  <si>
    <t>303677LLTPK-46B</t>
  </si>
  <si>
    <t>303677LLTPK</t>
  </si>
  <si>
    <t>https://image.skechers.com/img/productimages/xlarge/303682L_BKMT_A.jpg</t>
  </si>
  <si>
    <t>303682LBKMT-46B</t>
  </si>
  <si>
    <t>303682L</t>
  </si>
  <si>
    <t>303682LBKMT</t>
  </si>
  <si>
    <t>SKECHERS GLIDE-STEP DRIFT</t>
  </si>
  <si>
    <t>Lightweight Gore And Strap Mesh Sneaker W/Air-Cooled Memory Foam</t>
  </si>
  <si>
    <t>Glide-Step® geometric midsole designed to provide natural momentum with every step
Skechers Air-Cooled Memory Foam® cushioned comfort insole
Skechers easy-on, easy-off adaptive closure for a customized fit</t>
  </si>
  <si>
    <t>Mesh upper
Fixed stretch laces and an adjustable instep strap
Flexible traction outsole
1 3/4-inch heel height
Skechers® logo detail</t>
  </si>
  <si>
    <t>Adaptive Closure
Air-Cooled MF
Glide-Step</t>
  </si>
  <si>
    <t>https://image.skechers.com/img/productimages/xlarge/303682L_LBMT_A.jpg</t>
  </si>
  <si>
    <t>303682LLBMT-46B</t>
  </si>
  <si>
    <t>303682LLBMT</t>
  </si>
  <si>
    <t>https://image.skechers.com/img/productimages/xlarge/303682L_LVMT_A.jpg</t>
  </si>
  <si>
    <t>303682LLVMT-46B</t>
  </si>
  <si>
    <t>303682LLVMT</t>
  </si>
  <si>
    <t>Lavender Textile/Multi Trim</t>
  </si>
  <si>
    <t>https://image.skechers.com/img/productimages/xlarge/303682L_NTMT_A.jpg</t>
  </si>
  <si>
    <t>303682LNTMT-46B</t>
  </si>
  <si>
    <t>303682LNTMT</t>
  </si>
  <si>
    <t>Natural Textile/Multi Trim</t>
  </si>
  <si>
    <t>https://image.skechers.com/img/productimages/xlarge/303686L_MTMT_A.jpg</t>
  </si>
  <si>
    <t>303686LMTMT-46B</t>
  </si>
  <si>
    <t>303686L</t>
  </si>
  <si>
    <t>303686LMTMT</t>
  </si>
  <si>
    <t>SPRINT LINES</t>
  </si>
  <si>
    <t>Sublimated Mesh Strap and Bungee Sneaker W/Air-Cooled Memory Foam W/Rubber Bottom W/3D Print</t>
  </si>
  <si>
    <t>Mint Synthetic/Multi Trim</t>
  </si>
  <si>
    <t>Adaptive Closure
Air-Cooled MF
Elite-Sport
Glide-Step
Machine Washable
Rubber Outsole</t>
  </si>
  <si>
    <t>https://image.skechers.com/img/productimages/xlarge/303686L_NTMT_A.jpg</t>
  </si>
  <si>
    <t>303686LNTMT-46B</t>
  </si>
  <si>
    <t>303686LNTMT</t>
  </si>
  <si>
    <t>Natural Synthetic/ Multi Trim</t>
  </si>
  <si>
    <t>https://image.skechers.com/img/productimages/xlarge/303686L_NVMT_A.jpg</t>
  </si>
  <si>
    <t>303686LNVMT-46B</t>
  </si>
  <si>
    <t>NVMT</t>
  </si>
  <si>
    <t>303686LNVMT</t>
  </si>
  <si>
    <t>Navy Synthetic/Multi Trim</t>
  </si>
  <si>
    <t>https://image.skechers.com/img/productimages/xlarge/303688L_BLK_A.jpg</t>
  </si>
  <si>
    <t>303688LBLK-46B</t>
  </si>
  <si>
    <t>303688L</t>
  </si>
  <si>
    <t>303688LBLK</t>
  </si>
  <si>
    <t>MICROSPEC MAX VELOCITY</t>
  </si>
  <si>
    <t>FLOW RUNNERS</t>
  </si>
  <si>
    <t>Gore And Strap Mesh Sneaker W/3D print W/Heel Air Bag</t>
  </si>
  <si>
    <t>https://image.skechers.com/img/productimages/xlarge/303688L_LTPK_A.jpg</t>
  </si>
  <si>
    <t>303688LLTPK-46B</t>
  </si>
  <si>
    <t>303688LLTPK</t>
  </si>
  <si>
    <t>Light Pink Mesh/Trim</t>
  </si>
  <si>
    <t>https://image.skechers.com/img/productimages/xlarge/303690L_BLK_A.jpg</t>
  </si>
  <si>
    <t>303690LBLK-46B</t>
  </si>
  <si>
    <t>303690L</t>
  </si>
  <si>
    <t>303690LBLK</t>
  </si>
  <si>
    <t>BOUNDER PRO</t>
  </si>
  <si>
    <t>Slip-Ins Mesh Sneaker W/ Air-Cooled MF</t>
  </si>
  <si>
    <t>Adaptive Closure
Air-Cooled MF
Heel Pillow
Machine Washable</t>
  </si>
  <si>
    <t>https://image.skechers.com/img/productimages/xlarge/303690L_LAV_A.jpg</t>
  </si>
  <si>
    <t>303690LLAV-46B</t>
  </si>
  <si>
    <t>303690LLAV</t>
  </si>
  <si>
    <t>Lavender Synthetic/Textile Trim</t>
  </si>
  <si>
    <t>https://image.skechers.com/img/productimages/xlarge/303690L_LTPK_A.jpg</t>
  </si>
  <si>
    <t>303690LLTPK-46B</t>
  </si>
  <si>
    <t>303690LLTPK</t>
  </si>
  <si>
    <t>Light Pink Synthetic/Textile Trim</t>
  </si>
  <si>
    <t>https://image.skechers.com/img/productimages/xlarge/303690L_MNT_A.jpg</t>
  </si>
  <si>
    <t>303690LMNT-46B</t>
  </si>
  <si>
    <t>303690LMNT</t>
  </si>
  <si>
    <t>Mint Synthetic/Textile Trim</t>
  </si>
  <si>
    <t>https://image.skechers.com/img/productimages/xlarge/303690N_BLK_A.jpg</t>
  </si>
  <si>
    <t>303690NBLK-47N</t>
  </si>
  <si>
    <t>303690N</t>
  </si>
  <si>
    <t>303690NBLK</t>
  </si>
  <si>
    <t>STEP ONE</t>
  </si>
  <si>
    <t>Black Synthetic/Trim</t>
  </si>
  <si>
    <t>https://image.skechers.com/img/productimages/xlarge/303690N_LTPK_A.jpg</t>
  </si>
  <si>
    <t>303690NLTPK-47N</t>
  </si>
  <si>
    <t>303690NLTPK</t>
  </si>
  <si>
    <t>Light Pink Synthetic/Trim</t>
  </si>
  <si>
    <t>https://image.skechers.com/img/productimages/xlarge/303727L_BKMT_A.jpg</t>
  </si>
  <si>
    <t>303727LBKMT-46B</t>
  </si>
  <si>
    <t>303727L</t>
  </si>
  <si>
    <t>303727LBKMT</t>
  </si>
  <si>
    <t>SKECHERS SOLA GLOW</t>
  </si>
  <si>
    <t>NEON DASH</t>
  </si>
  <si>
    <t>Lighted Slip-Ins Sneaker W/ Air Cooled Memory Foam</t>
  </si>
  <si>
    <t>Black Synthetic / Textile /Multi Trim</t>
  </si>
  <si>
    <t>Adaptive Closure
Air-Cooled MF
Lights
On/Off Button</t>
  </si>
  <si>
    <t>https://image.skechers.com/img/productimages/xlarge/303727L_NVMT_A.jpg</t>
  </si>
  <si>
    <t>303727LNVMT-46B</t>
  </si>
  <si>
    <t>303727LNVMT</t>
  </si>
  <si>
    <t>https://image.skechers.com/img/productimages/xlarge/303727L_PKMT_A.jpg</t>
  </si>
  <si>
    <t>303727LPKMT-46B</t>
  </si>
  <si>
    <t>303727LPKMT</t>
  </si>
  <si>
    <t>Pink Synthetic/Multi Trim</t>
  </si>
  <si>
    <t>https://image.skechers.com/img/productimages/xlarge/303729L_GYPK_A.jpg</t>
  </si>
  <si>
    <t>303729LGYPK-46B</t>
  </si>
  <si>
    <t>303729L</t>
  </si>
  <si>
    <t>303729LGYPK</t>
  </si>
  <si>
    <t>SKECHERS SOLA GLOW 2.0</t>
  </si>
  <si>
    <t>DAZZLE STEPS</t>
  </si>
  <si>
    <t>Lighted Ombre Upper W/ Gore &amp; Strap</t>
  </si>
  <si>
    <t>Gray Sparkle Mesh/Pink Trim</t>
  </si>
  <si>
    <t>https://image.skechers.com/img/productimages/xlarge/303729L_LVAQ_A.jpg</t>
  </si>
  <si>
    <t>303729LLVAQ-46B</t>
  </si>
  <si>
    <t>LVAQ</t>
  </si>
  <si>
    <t>303729LLVAQ</t>
  </si>
  <si>
    <t>Lavender Sparkle Mesh/Aqua Trim</t>
  </si>
  <si>
    <t>https://image.skechers.com/img/productimages/xlarge/303729L_NVPK_A.jpg</t>
  </si>
  <si>
    <t>303729LNVPK-46B</t>
  </si>
  <si>
    <t>303729LNVPK</t>
  </si>
  <si>
    <t>Navy Sparkle Mesh/Pink Trim</t>
  </si>
  <si>
    <t>https://image.skechers.com/img/productimages/xlarge/303729L_PKLV_A.jpg</t>
  </si>
  <si>
    <t>303729LPKLV-46B</t>
  </si>
  <si>
    <t>PKLV</t>
  </si>
  <si>
    <t>303729LPKLV</t>
  </si>
  <si>
    <t>Pink Sparkle Mesh/Lavender Trim</t>
  </si>
  <si>
    <t>https://image.skechers.com/img/productimages/xlarge/303729N_GYPK_A.jpg</t>
  </si>
  <si>
    <t>303729NGYPK-47N</t>
  </si>
  <si>
    <t>303729N</t>
  </si>
  <si>
    <t>303729NGYPK</t>
  </si>
  <si>
    <t>Adaptive Closure
Lights</t>
  </si>
  <si>
    <t>https://image.skechers.com/img/productimages/xlarge/303729N_LVAQ_A.jpg</t>
  </si>
  <si>
    <t>303729NLVAQ-47N</t>
  </si>
  <si>
    <t>303729NLVAQ</t>
  </si>
  <si>
    <t>https://image.skechers.com/img/productimages/xlarge/303729N_PKLV_A.jpg</t>
  </si>
  <si>
    <t>303729NPKLV-47N</t>
  </si>
  <si>
    <t>303729NPKLV</t>
  </si>
  <si>
    <t>Pink Sparkle Mesh/ Lavander Trim</t>
  </si>
  <si>
    <t>https://image.skechers.com/img/productimages/xlarge/303730L_BLK_A.jpg</t>
  </si>
  <si>
    <t>303730LBLK-46B</t>
  </si>
  <si>
    <t>303730L</t>
  </si>
  <si>
    <t>303730LBLK</t>
  </si>
  <si>
    <t>GLIDE-STEP LIGHTS</t>
  </si>
  <si>
    <t>Lighted Gore Blocked Upper W/ Gore &amp; Strap</t>
  </si>
  <si>
    <t>Black Synthetic / Textile /Trim</t>
  </si>
  <si>
    <t>Glide-Step® geometric midsole designed to provide natural momentum with every step
Lighted gore upper
Bigger kids' sizes feature on/off light switch
Skechers easy-on, easy-off adaptive closure for a customized fit
Cushioned comfort insole</t>
  </si>
  <si>
    <t>Color-blocked mesh and synthetic upper
Fixed stretch laces and adjustable instep strap
Flexible traction outsole
1 1/4-inch heel height
Skechers® logo detail</t>
  </si>
  <si>
    <t>Adaptive Closure
Glide-Step
Lights
On/Off Button</t>
  </si>
  <si>
    <t>https://image.skechers.com/img/productimages/xlarge/303730L_LTPK_A.jpg</t>
  </si>
  <si>
    <t>303730LLTPK-46B</t>
  </si>
  <si>
    <t>303730LLTPK</t>
  </si>
  <si>
    <t>Light Pink Synthetic/ Trim</t>
  </si>
  <si>
    <t>https://image.skechers.com/img/productimages/xlarge/303730L_LVMT_A.jpg</t>
  </si>
  <si>
    <t>303730LLVMT-46B</t>
  </si>
  <si>
    <t>303730LLVMT</t>
  </si>
  <si>
    <t>Lavender Synthetic/Multi Trim</t>
  </si>
  <si>
    <t>https://image.skechers.com/img/productimages/xlarge/303737L_BKMT_A.jpg</t>
  </si>
  <si>
    <t>303737LBKMT-46B</t>
  </si>
  <si>
    <t>303737L</t>
  </si>
  <si>
    <t>303737LBKMT</t>
  </si>
  <si>
    <t>COSMIC GLOW 2.0</t>
  </si>
  <si>
    <t>Glitter Upper Mesh Lighted Sneaker W/ Gore &amp; Strap</t>
  </si>
  <si>
    <t>Black Synthetic/ Sparkle Textile / Multi Trim</t>
  </si>
  <si>
    <t>https://image.skechers.com/img/productimages/xlarge/303737L_PKMT_A.jpg</t>
  </si>
  <si>
    <t>303737LPKMT-46B</t>
  </si>
  <si>
    <t>303737LPKMT</t>
  </si>
  <si>
    <t>Pink Synthetic/ Sparkle Textile/ Multi Trim</t>
  </si>
  <si>
    <t>https://image.skechers.com/img/productimages/xlarge/303852L_BKAQ_A.jpg</t>
  </si>
  <si>
    <t>303852LBKAQ-46B</t>
  </si>
  <si>
    <t>303852L</t>
  </si>
  <si>
    <t>303852LBKAQ</t>
  </si>
  <si>
    <t>TRACE TRACK</t>
  </si>
  <si>
    <t>Gore And Strap Color Blocked Mesh Sneaker W/ 3d Print Details</t>
  </si>
  <si>
    <t>Black Synthetic/Aqua Mesh</t>
  </si>
  <si>
    <t>Colorblocked mesh and 3D printed synthetic upper
Low-top style with fixed stretch laces and adjustable instep strap
Flexible traction outsole
Skechers® logo detail</t>
  </si>
  <si>
    <t>https://image.skechers.com/img/productimages/xlarge/303852L_LTPL_A.jpg</t>
  </si>
  <si>
    <t>303852LLTPL-46B</t>
  </si>
  <si>
    <t>LTPL</t>
  </si>
  <si>
    <t>303852LLTPL</t>
  </si>
  <si>
    <t>Light Pink Synthetic/Purple Mesh</t>
  </si>
  <si>
    <t>https://image.skechers.com/img/productimages/xlarge/303852L_NTLP_A.jpg</t>
  </si>
  <si>
    <t>303852LNTLP-46B</t>
  </si>
  <si>
    <t>303852LNTLP</t>
  </si>
  <si>
    <t>Natural Synthetic/Light Pink Mesh</t>
  </si>
  <si>
    <t>https://image.skechers.com/img/productimages/xlarge/303852L_PRBK_A.jpg</t>
  </si>
  <si>
    <t>303852LPRBK-46B</t>
  </si>
  <si>
    <t>PRBK</t>
  </si>
  <si>
    <t>303852LPRBK</t>
  </si>
  <si>
    <t>Purple Synthetic/Black Mesh</t>
  </si>
  <si>
    <t>https://image.skechers.com/img/productimages/xlarge/303854N_NTLP_A.jpg</t>
  </si>
  <si>
    <t>303854NNTLP-47N</t>
  </si>
  <si>
    <t>303854N</t>
  </si>
  <si>
    <t>303854NNTLP</t>
  </si>
  <si>
    <t>DYNA-LITE</t>
  </si>
  <si>
    <t>TRACING TRACKS</t>
  </si>
  <si>
    <t>https://image.skechers.com/img/productimages/xlarge/303854N_PRBK_A.jpg</t>
  </si>
  <si>
    <t>303854NPRBK-47N</t>
  </si>
  <si>
    <t>303854NPRBK</t>
  </si>
  <si>
    <t>https://image.skechers.com/img/productimages/xlarge/303865L_BLK_A.jpg</t>
  </si>
  <si>
    <t>303865LBLK-46B</t>
  </si>
  <si>
    <t>303865L</t>
  </si>
  <si>
    <t>303865LBLK</t>
  </si>
  <si>
    <t>CORE STEPS</t>
  </si>
  <si>
    <t>Gore And Strap Sparkle Mesh Sneaker</t>
  </si>
  <si>
    <t>Adaptive Closure
Machine Washable
Skechers Youth</t>
  </si>
  <si>
    <t>https://image.skechers.com/img/productimages/xlarge/303865L_LAV_A.jpg</t>
  </si>
  <si>
    <t>303865LLAV-46B</t>
  </si>
  <si>
    <t>303865LLAV</t>
  </si>
  <si>
    <t>https://image.skechers.com/img/productimages/xlarge/303865L_LTGY_A.jpg</t>
  </si>
  <si>
    <t>303865LLTGY-46B</t>
  </si>
  <si>
    <t>303865LLTGY</t>
  </si>
  <si>
    <t>https://image.skechers.com/img/productimages/xlarge/303865L_LTPK_A.jpg</t>
  </si>
  <si>
    <t>303865LLTPK-46B</t>
  </si>
  <si>
    <t>303865LLTPK</t>
  </si>
  <si>
    <t>https://image.skechers.com/img/productimages/xlarge/303880L_BLK_A.jpg</t>
  </si>
  <si>
    <t>303880LBLK-46B</t>
  </si>
  <si>
    <t>303880L</t>
  </si>
  <si>
    <t>303880LBLK</t>
  </si>
  <si>
    <t>SKECH-AIR 5.0</t>
  </si>
  <si>
    <t>Gore And Strap Sneaker W/Forefoot Airbag W/Durable Bottom</t>
  </si>
  <si>
    <t>Black Textile/Synthetic Trim</t>
  </si>
  <si>
    <t>Skechers easy-on, easy-off adaptive closure for a customized fit
Skech-Air® visible airbag midsole
Cushioned comfort insole</t>
  </si>
  <si>
    <t>Mesh and synthetic upper
Stretch laces and adjustable instep strap
Durable traction outsole
1 1/2-inch heel height
Skechers® logo detail</t>
  </si>
  <si>
    <t>https://image.skechers.com/img/productimages/xlarge/303880L_GRY_A.jpg</t>
  </si>
  <si>
    <t>303880LGRY-46B</t>
  </si>
  <si>
    <t>303880LGRY</t>
  </si>
  <si>
    <t>Gray Textile W/Synthetic Trim</t>
  </si>
  <si>
    <t>https://image.skechers.com/img/productimages/xlarge/303880L_LAV_A.jpg</t>
  </si>
  <si>
    <t>303880LLAV-46B</t>
  </si>
  <si>
    <t>303880LLAV</t>
  </si>
  <si>
    <t>Lavender Textile/Synthetic Trim</t>
  </si>
  <si>
    <t>https://image.skechers.com/img/productimages/xlarge/303880L_PERI_A.jpg</t>
  </si>
  <si>
    <t>303880LPERI-46B</t>
  </si>
  <si>
    <t>PERI</t>
  </si>
  <si>
    <t>303880LPERI</t>
  </si>
  <si>
    <t>Peri Textile/Synthetic Trim</t>
  </si>
  <si>
    <t>https://image.skechers.com/img/productimages/xlarge/303882L_LPMT_A.jpg</t>
  </si>
  <si>
    <t>303882LLPMT-46B</t>
  </si>
  <si>
    <t>303882L</t>
  </si>
  <si>
    <t>303882LLPMT</t>
  </si>
  <si>
    <t>HYPER SPEED</t>
  </si>
  <si>
    <t>Gore and Strap Sparkle Mesh Sneaker W/ Multi 3D Print W//Durable Bottom</t>
  </si>
  <si>
    <t>Light Pink Synthetic/Multi Trim</t>
  </si>
  <si>
    <t>ALL-KIDS UNISEX SPORT-U-148215</t>
  </si>
  <si>
    <t>https://image.skechers.com/img/productimages/xlarge/303882L_NVMT_A.jpg</t>
  </si>
  <si>
    <t>303882LNVMT-46B</t>
  </si>
  <si>
    <t>303882LNVMT</t>
  </si>
  <si>
    <t>https://image.skechers.com/img/productimages/xlarge/303949L_NTTP_A.jpg</t>
  </si>
  <si>
    <t>303949LNTTP-46B</t>
  </si>
  <si>
    <t>303949L</t>
  </si>
  <si>
    <t>303949LNTTP</t>
  </si>
  <si>
    <t>Natural Mesh/Taupe Synthetic</t>
  </si>
  <si>
    <t>Skechers Hands Free Slip-ins® for an easy fit
Heel Pillow® holds your foot securely in place
Our Contour Foam™ super lightweight midsole adapts to your foot's unique shape, softening every step you take
Cozy Fit® premium soft quilted materials wrap your feet in luxury, providing a cozy, natural fit for ultimate comfort
Skechers Air-Cooled Memory Foam® cushioned comfort insole
Skechers Elite Sport™ styles are made for play, with shock-absorbing foam midsoles and durable bottoms for enhanced grip</t>
  </si>
  <si>
    <t>Air-quilted fabric and synthetic overlay upper with tied-off stretch laces
Skechers easy-on, easy-off adaptive closure for a customized fit
Flexible traction outsole
1 1/3-inch heel height
Machine washable
Skechers® logo detail</t>
  </si>
  <si>
    <t>Adaptive Closure
Air-Cooled MF
Contour Foam
Cozy Fit
Elite-Sport
Machine Washable
Skechers Youth
Slip-Ins</t>
  </si>
  <si>
    <t>https://image.skechers.com/img/productimages/xlarge/303949L_WLV_A.jpg</t>
  </si>
  <si>
    <t>303949LWLV-46B</t>
  </si>
  <si>
    <t>303949LWLV</t>
  </si>
  <si>
    <t>White Mesh/Lavender Synthetic</t>
  </si>
  <si>
    <t>https://image.skechers.com/img/productimages/xlarge/303949L_WNV_A.jpg</t>
  </si>
  <si>
    <t>303949LWNV-46B</t>
  </si>
  <si>
    <t>303949LWNV</t>
  </si>
  <si>
    <t>White Mesh/Navy Synthetic</t>
  </si>
  <si>
    <t>https://image.skechers.com/img/productimages/xlarge/303949L_WTQ_A.jpg</t>
  </si>
  <si>
    <t>303949LWTQ-46B</t>
  </si>
  <si>
    <t>WTQ</t>
  </si>
  <si>
    <t>303949LWTQ</t>
  </si>
  <si>
    <t>White Mesh/Turquoise Synthetic</t>
  </si>
  <si>
    <t>https://image.skechers.com/img/productimages/xlarge/303963L_LAV_A.jpg</t>
  </si>
  <si>
    <t>303963LLAV-46B</t>
  </si>
  <si>
    <t>303963L</t>
  </si>
  <si>
    <t>303963LLAV</t>
  </si>
  <si>
    <t>HI LUXE</t>
  </si>
  <si>
    <t>Silver Metallic Leather Overlay Gore And Strap W/ Air Cooled Goga Mat</t>
  </si>
  <si>
    <t>Adaptive Closure
Air Cooled Goga Mat
Elite-Sport
Go Run</t>
  </si>
  <si>
    <t>https://image.skechers.com/img/productimages/xlarge/303963L_OFWT_A.jpg</t>
  </si>
  <si>
    <t>303963LOFWT-46B</t>
  </si>
  <si>
    <t>303963LOFWT</t>
  </si>
  <si>
    <t>https://image.skechers.com/img/productimages/xlarge/303979L_BKRG_A.jpg</t>
  </si>
  <si>
    <t>303979LBKRG-46B</t>
  </si>
  <si>
    <t>303979L</t>
  </si>
  <si>
    <t>303979LBKRG</t>
  </si>
  <si>
    <t>ADVANTAGE</t>
  </si>
  <si>
    <t>Gore And Strap Mesh Sneaker W/ Overlays W/ Air-Cooled Goga Mat W/ Bottom Plate</t>
  </si>
  <si>
    <t>Black Synthetic/Rose Gold Textile</t>
  </si>
  <si>
    <t>Adaptive Closure
Air Cooled Goga Mat
Elite-Sport
Go Run
Machine Washable</t>
  </si>
  <si>
    <t>https://image.skechers.com/img/productimages/xlarge/303979L_NAT_A.jpg</t>
  </si>
  <si>
    <t>303979LNAT-46B</t>
  </si>
  <si>
    <t>303979LNAT</t>
  </si>
  <si>
    <t>Natural Synthetic/Synthetic Textile</t>
  </si>
  <si>
    <t>https://image.skechers.com/img/productimages/xlarge/303979L_WSL_A.jpg</t>
  </si>
  <si>
    <t>303979LWSL-46B</t>
  </si>
  <si>
    <t>303979LWSL</t>
  </si>
  <si>
    <t>White Mesh/Silver Synthetic</t>
  </si>
  <si>
    <t>https://image.skechers.com/img/productimages/xlarge/303981L_BKPK_A.jpg</t>
  </si>
  <si>
    <t>303981LBKPK-46B</t>
  </si>
  <si>
    <t>303981L</t>
  </si>
  <si>
    <t>303981LBKPK</t>
  </si>
  <si>
    <t>SMOOTH JOURNEY</t>
  </si>
  <si>
    <t>Gore And Strap Mesh Sneaker W/ Bottom Plate</t>
  </si>
  <si>
    <t>Mesh upper with synthetic overlays
Stretch laces and adjustable instep strap
Durable rubber outsole
Bottom plate for enhanced durability
1 1/4-inch heel height
Machine washable
Skechers® logo detail</t>
  </si>
  <si>
    <t>https://image.skechers.com/img/productimages/xlarge/303981L_GRBL_A.jpg</t>
  </si>
  <si>
    <t>303981LGRBL-46B</t>
  </si>
  <si>
    <t>GRBL</t>
  </si>
  <si>
    <t>303981LGRBL</t>
  </si>
  <si>
    <t>Gray Textile/Blue Trim</t>
  </si>
  <si>
    <t>https://image.skechers.com/img/productimages/xlarge/303981L_HPTQ_A.jpg</t>
  </si>
  <si>
    <t>303981LHPTQ-46B</t>
  </si>
  <si>
    <t>HPTQ</t>
  </si>
  <si>
    <t>303981LHPTQ</t>
  </si>
  <si>
    <t>Hot Pink Textile/Turquoise Trim</t>
  </si>
  <si>
    <t>https://image.skechers.com/img/productimages/xlarge/303981L_LTBL_A.jpg</t>
  </si>
  <si>
    <t>303981LLTBL-46B</t>
  </si>
  <si>
    <t>303981LLTBL</t>
  </si>
  <si>
    <t>https://image.skechers.com/img/productimages/xlarge/303981L_NVLV_A.jpg</t>
  </si>
  <si>
    <t>303981LNVLV-46B</t>
  </si>
  <si>
    <t>NVLV</t>
  </si>
  <si>
    <t>303981LNVLV</t>
  </si>
  <si>
    <t>Navy Textile/Lavender Trim</t>
  </si>
  <si>
    <t>https://image.skechers.com/img/productimages/xlarge/303986L_BLK_A.jpg</t>
  </si>
  <si>
    <t>303986LBLK-46B</t>
  </si>
  <si>
    <t>303986L</t>
  </si>
  <si>
    <t>303986LBLK</t>
  </si>
  <si>
    <t>SKECH-LITE PRO</t>
  </si>
  <si>
    <t>DAY BREAK</t>
  </si>
  <si>
    <t>Gore and Strap Sneaker W/3D Print Overlays</t>
  </si>
  <si>
    <t>https://image.skechers.com/img/productimages/xlarge/303986L_LAV_A.jpg</t>
  </si>
  <si>
    <t>303986LLAV-46B</t>
  </si>
  <si>
    <t>303986LLAV</t>
  </si>
  <si>
    <t>https://image.skechers.com/img/productimages/xlarge/303986L_LTPK_A.jpg</t>
  </si>
  <si>
    <t>303986LLTPK-46B</t>
  </si>
  <si>
    <t>303986LLTPK</t>
  </si>
  <si>
    <t>https://image.skechers.com/img/productimages/xlarge/303986L_MNT_A.jpg</t>
  </si>
  <si>
    <t>303986LMNT-46B</t>
  </si>
  <si>
    <t>303986LMNT</t>
  </si>
  <si>
    <t>https://image.skechers.com/img/productimages/xlarge/304053L_LPMT_A.jpg</t>
  </si>
  <si>
    <t>304053LLPMT-46B</t>
  </si>
  <si>
    <t>304053L</t>
  </si>
  <si>
    <t>304053LLPMT</t>
  </si>
  <si>
    <t>Slip-Ins Sneaker W/Air-Cooled Memory Foam</t>
  </si>
  <si>
    <t>Adaptive Closure
Air-Cooled MF
Machine Washable</t>
  </si>
  <si>
    <t>https://image.skechers.com/img/productimages/xlarge/304053L_LVMT_A.jpg</t>
  </si>
  <si>
    <t>304053LLVMT-46B</t>
  </si>
  <si>
    <t>304053LLVMT</t>
  </si>
  <si>
    <t>https://image.skechers.com/img/productimages/xlarge/304154L_BKW_A.jpg</t>
  </si>
  <si>
    <t>304154LBKW-46B</t>
  </si>
  <si>
    <t>304154L</t>
  </si>
  <si>
    <t>304154LBKW</t>
  </si>
  <si>
    <t>Layered Gore &amp; Strap Sneaker W/Air-Cooled Memory Foam</t>
  </si>
  <si>
    <t>Adaptive Closure
Air-Cooled MF
Machine Washable
Skechers Youth</t>
  </si>
  <si>
    <t>https://image.skechers.com/img/productimages/xlarge/304154L_WSL_A.jpg</t>
  </si>
  <si>
    <t>304154LWSL-46B</t>
  </si>
  <si>
    <t>304154LWSL</t>
  </si>
  <si>
    <t>White Synthetic/Silver Trim</t>
  </si>
  <si>
    <t>https://image.skechers.com/img/productimages/xlarge/304208L_BKPK_A.jpg</t>
  </si>
  <si>
    <t>304208LBKPK-46B</t>
  </si>
  <si>
    <t>304208L</t>
  </si>
  <si>
    <t>304208LBKPK</t>
  </si>
  <si>
    <t>SKECHERS STREAMLINE</t>
  </si>
  <si>
    <t>Gore And Strap Sneaker W/Overlays</t>
  </si>
  <si>
    <t>https://image.skechers.com/img/productimages/xlarge/304208L_LIGHT PINK_A.jpg</t>
  </si>
  <si>
    <t>304208LLPK-46B</t>
  </si>
  <si>
    <t>LIGHT PINK</t>
  </si>
  <si>
    <t>304208LLPK</t>
  </si>
  <si>
    <t>https://image.skechers.com/img/productimages/xlarge/304210L_BKHP_A.jpg</t>
  </si>
  <si>
    <t>304210LBKHP-46B</t>
  </si>
  <si>
    <t>304210L</t>
  </si>
  <si>
    <t>BKHP</t>
  </si>
  <si>
    <t>304210LBKHP</t>
  </si>
  <si>
    <t>SKECHERS ELITE SPORT PULSE</t>
  </si>
  <si>
    <t>Gore and Strap Mesh Sneaker W/Embroidery Details</t>
  </si>
  <si>
    <t>Black Synthetic/Hot Pink Trim</t>
  </si>
  <si>
    <t>https://image.skechers.com/img/productimages/xlarge/304210L_LTPK_A.jpg</t>
  </si>
  <si>
    <t>304210LLTPK-46B</t>
  </si>
  <si>
    <t>304210LLTPK</t>
  </si>
  <si>
    <t>https://image.skechers.com/img/productimages/xlarge/304210L_NVPW_A.jpg</t>
  </si>
  <si>
    <t>304210LNVPW-46B</t>
  </si>
  <si>
    <t>NVPW</t>
  </si>
  <si>
    <t>304210LNVPW</t>
  </si>
  <si>
    <t>Navy Synthetic/Periwinkle Trim</t>
  </si>
  <si>
    <t>https://image.skechers.com/img/productimages/xlarge/310239L_NTPK_A.jpg</t>
  </si>
  <si>
    <t>310239LNTPK-46B</t>
  </si>
  <si>
    <t>310239L</t>
  </si>
  <si>
    <t>310239LNTPK</t>
  </si>
  <si>
    <t>QUICK STREET</t>
  </si>
  <si>
    <t>STAR CHARM</t>
  </si>
  <si>
    <t>Gore &amp; Strap Sneaker W/ Colorpop &amp;  Suede Overlay Detail</t>
  </si>
  <si>
    <t>Natural Synthetic/ Pink Trim</t>
  </si>
  <si>
    <t>ESS - STREET GIRLS</t>
  </si>
  <si>
    <t>SST- BLANK HOLOGRAM BOX</t>
  </si>
  <si>
    <t>https://image.skechers.com/img/productimages/xlarge/310239L_NTSL_A.jpg</t>
  </si>
  <si>
    <t>310239LNTSL-46B</t>
  </si>
  <si>
    <t>310239LNTSL</t>
  </si>
  <si>
    <t>Natural Synthetic/ Silver Trim</t>
  </si>
  <si>
    <t>https://image.skechers.com/img/productimages/xlarge/310241L_BKWP_A.jpg</t>
  </si>
  <si>
    <t>310241LBKWP-46B</t>
  </si>
  <si>
    <t>310241L</t>
  </si>
  <si>
    <t>BKWP</t>
  </si>
  <si>
    <t>310241LBKWP</t>
  </si>
  <si>
    <t>STYLE STRIDE</t>
  </si>
  <si>
    <t>Gore &amp; Strap Sneaker W/Qtr Perf Detail</t>
  </si>
  <si>
    <t>Black Synthetic/ White &amp; Pink Trim</t>
  </si>
  <si>
    <t>Smooth duraleather upper with quarter and toe cap perforations
Court style low-top with stretch-laces and adjustable instep strap
3/4-inch heel height
Machine washable
Skechers® logo detail</t>
  </si>
  <si>
    <t>https://image.skechers.com/img/productimages/xlarge/310241L_PKW_A.jpg</t>
  </si>
  <si>
    <t>310241LPKW-46B</t>
  </si>
  <si>
    <t>PKW</t>
  </si>
  <si>
    <t>310241LPKW</t>
  </si>
  <si>
    <t>Pink Synthetic/ White Trim</t>
  </si>
  <si>
    <t>https://image.skechers.com/img/productimages/xlarge/310241L_RSGD_A.jpg</t>
  </si>
  <si>
    <t>310241LRSGD-46B</t>
  </si>
  <si>
    <t>310241LRSGD</t>
  </si>
  <si>
    <t>Rose Gold Synthetic/ Trim</t>
  </si>
  <si>
    <t>https://image.skechers.com/img/productimages/xlarge/310241L_SLW_A.jpg</t>
  </si>
  <si>
    <t>310241LSLW-46B</t>
  </si>
  <si>
    <t>SLW</t>
  </si>
  <si>
    <t>310241LSLW</t>
  </si>
  <si>
    <t>Silver Synthetic/ White Trim</t>
  </si>
  <si>
    <t>https://image.skechers.com/img/productimages/xlarge/310241L_WLV_A.jpg</t>
  </si>
  <si>
    <t>310241LWLV-46B</t>
  </si>
  <si>
    <t>310241LWLV</t>
  </si>
  <si>
    <t>White Synthetic/ Lavender Trim</t>
  </si>
  <si>
    <t>https://image.skechers.com/img/productimages/xlarge/310287L_BLK_A.jpg</t>
  </si>
  <si>
    <t>310287LBLK-46B</t>
  </si>
  <si>
    <t>310287L</t>
  </si>
  <si>
    <t>310287LBLK</t>
  </si>
  <si>
    <t>UNO GEN1</t>
  </si>
  <si>
    <t>TRENDY WAVE</t>
  </si>
  <si>
    <t>Gore &amp; Strap Fashion Sneaker W/ Metallic Heel Trim</t>
  </si>
  <si>
    <t>Black Synthetic/ Rose Gold Trim</t>
  </si>
  <si>
    <t>Adaptive Closure
Air-Cooled MF
Skech-Air</t>
  </si>
  <si>
    <t>https://image.skechers.com/img/productimages/xlarge/310287L_WHT_A.jpg</t>
  </si>
  <si>
    <t>310287LWHT-46B</t>
  </si>
  <si>
    <t>310287LWHT</t>
  </si>
  <si>
    <t>White Synthetic/ Trim</t>
  </si>
  <si>
    <t>https://image.skechers.com/img/productimages/xlarge/310370L_BKMT_A.jpg</t>
  </si>
  <si>
    <t>310370LBKMT-46B</t>
  </si>
  <si>
    <t>310370L</t>
  </si>
  <si>
    <t>310370LBKMT</t>
  </si>
  <si>
    <t>VIVID SPLASH</t>
  </si>
  <si>
    <t>Lace Up Sneaker W/Qtr Zip Detail &amp; Speckle Paint Outsole</t>
  </si>
  <si>
    <t>Black Synthetic/ Multi Trim</t>
  </si>
  <si>
    <t>Skechers Air-Cooled Memory Foam® comfort insole
Skechers easy-on, easy-off adaptive closure for a customized fit</t>
  </si>
  <si>
    <t>Monochromatic durabuck upper with quarter zip detail
Lace-up fashion sneaker
Shock-absorbing wedge midsole
Flexible traction outsole
1 1/2-inch heel height
Skechers® logo detail</t>
  </si>
  <si>
    <t>https://image.skechers.com/img/productimages/xlarge/310370L_WMLT_A.jpg</t>
  </si>
  <si>
    <t>310370LWMLT-46B</t>
  </si>
  <si>
    <t>310370LWMLT</t>
  </si>
  <si>
    <t>White Synthetic/ Multi Trim</t>
  </si>
  <si>
    <t>https://image.skechers.com/img/productimages/xlarge/310376L_WLPK_A.jpg</t>
  </si>
  <si>
    <t>310376LWLPK-46B</t>
  </si>
  <si>
    <t>310376L</t>
  </si>
  <si>
    <t>310376LWLPK</t>
  </si>
  <si>
    <t>SUEDE POP</t>
  </si>
  <si>
    <t>Gore Sneaker W/Suede Mustache Pop Detail</t>
  </si>
  <si>
    <t>White Synthetic/ Pink Suede Trim</t>
  </si>
  <si>
    <t>Adaptive Closure
Air-Cooled MF</t>
  </si>
  <si>
    <t>https://image.skechers.com/img/productimages/xlarge/310376L_WPWL_A.jpg</t>
  </si>
  <si>
    <t>310376LWPWL-46B</t>
  </si>
  <si>
    <t>WPWL</t>
  </si>
  <si>
    <t>310376LWPWL</t>
  </si>
  <si>
    <t>White Synthetic/ Periwinkle Suede Trim</t>
  </si>
  <si>
    <t>https://image.skechers.com/img/productimages/xlarge/310379N_PNK_A.jpg</t>
  </si>
  <si>
    <t>310379NPNK-47N</t>
  </si>
  <si>
    <t>310379N</t>
  </si>
  <si>
    <t>310379NPNK</t>
  </si>
  <si>
    <t>PRECIOUS SHIMMER</t>
  </si>
  <si>
    <t>Gore &amp; Strap Sneaker W/Metallic Heel Trim Detail</t>
  </si>
  <si>
    <t>Pink Synthetic/ Trim</t>
  </si>
  <si>
    <t>Durabuck upper with metallic trim
Stretch-lace front and adjustable instep strap
Shock-absorbing platform wedge midsole
Flexible traction outsole
Skechers® logo detail</t>
  </si>
  <si>
    <t>https://image.skechers.com/img/productimages/xlarge/310379N_WHT_A.jpg</t>
  </si>
  <si>
    <t>310379NWHT-47N</t>
  </si>
  <si>
    <t>310379NWHT</t>
  </si>
  <si>
    <t>https://image.skechers.com/img/productimages/xlarge/310384L_BLK_A.jpg</t>
  </si>
  <si>
    <t>310384LBLK-46B</t>
  </si>
  <si>
    <t>310384L</t>
  </si>
  <si>
    <t>310384LBLK</t>
  </si>
  <si>
    <t>Embossed Sneaker W/Gore Closure &amp; Metallic Heel Detail</t>
  </si>
  <si>
    <t>Black Synthetic/ Trim</t>
  </si>
  <si>
    <t>Skechers Air-Cooled Memory Foam® cushioned comfort insole
Skechers easy-on, easy-off adaptive closure for a customized fit</t>
  </si>
  <si>
    <t>Durabuck upper with metallic trim
Stretch-laced fashion sneaker
Shock-absorbing wedge midsole
Flexible traction outsole
1 1/2-inch heel height
Skechers® logo detail</t>
  </si>
  <si>
    <t>https://image.skechers.com/img/productimages/xlarge/310384L_LAV_A.jpg</t>
  </si>
  <si>
    <t>310384LLAV-46B</t>
  </si>
  <si>
    <t>310384LLAV</t>
  </si>
  <si>
    <t>Lavender Synthetic/ Trim</t>
  </si>
  <si>
    <t>https://image.skechers.com/img/productimages/xlarge/310384L_PKSL_A.jpg</t>
  </si>
  <si>
    <t>310384LPKSL-46B</t>
  </si>
  <si>
    <t>PKSL</t>
  </si>
  <si>
    <t>310384LPKSL</t>
  </si>
  <si>
    <t>Pink Synthetic/ Silver Trim</t>
  </si>
  <si>
    <t>https://image.skechers.com/img/productimages/xlarge/310384L_WHT_A.jpg</t>
  </si>
  <si>
    <t>310384LWHT-46B</t>
  </si>
  <si>
    <t>310384LWHT</t>
  </si>
  <si>
    <t>https://image.skechers.com/img/productimages/xlarge/310387L_BKRG_A.jpg</t>
  </si>
  <si>
    <t>310387LBKRG-46B</t>
  </si>
  <si>
    <t>310387L</t>
  </si>
  <si>
    <t>310387LBKRG</t>
  </si>
  <si>
    <t>EASY ZIP</t>
  </si>
  <si>
    <t>Monochromatic Lace Up Sneaker W/ Quarter Zip Detail</t>
  </si>
  <si>
    <t>Skechers Air-Cooled Memory Foam® comfort insole</t>
  </si>
  <si>
    <t>Air-Cooled MF
Lateral Zipper
Machine Washable</t>
  </si>
  <si>
    <t>https://image.skechers.com/img/productimages/xlarge/310387L_LTPK_A.jpg</t>
  </si>
  <si>
    <t>310387LLTPK-46B</t>
  </si>
  <si>
    <t>310387LLTPK</t>
  </si>
  <si>
    <t>https://image.skechers.com/img/productimages/xlarge/310387L_NAT_A.jpg</t>
  </si>
  <si>
    <t>310387LNAT-46B</t>
  </si>
  <si>
    <t>310387LNAT</t>
  </si>
  <si>
    <t>Natural Synthetic/ Trim</t>
  </si>
  <si>
    <t>https://image.skechers.com/img/productimages/xlarge/310387L_ROS_A.jpg</t>
  </si>
  <si>
    <t>310387LROS-46B</t>
  </si>
  <si>
    <t>310387LROS</t>
  </si>
  <si>
    <t>Rose Synthetic/ Trim</t>
  </si>
  <si>
    <t>https://image.skechers.com/img/productimages/xlarge/310387L_SAGE_A.jpg</t>
  </si>
  <si>
    <t>310387LSAGE-46B</t>
  </si>
  <si>
    <t>310387LSAGE</t>
  </si>
  <si>
    <t>Sage Synthetic/ Trim</t>
  </si>
  <si>
    <t>https://image.skechers.com/img/productimages/xlarge/310387L_WHPK_A.jpg</t>
  </si>
  <si>
    <t>310387LWHPK-46B</t>
  </si>
  <si>
    <t>310387LWHPK</t>
  </si>
  <si>
    <t>White Synthetic/ Hot Pink Trim</t>
  </si>
  <si>
    <t>https://image.skechers.com/img/productimages/xlarge/310391L_WMN_A.jpg</t>
  </si>
  <si>
    <t>310391LWMN-46B</t>
  </si>
  <si>
    <t>310391L</t>
  </si>
  <si>
    <t>WMN</t>
  </si>
  <si>
    <t>310391LWMN</t>
  </si>
  <si>
    <t>MY DRIP</t>
  </si>
  <si>
    <t>Star &amp; Heart Printed Lace Up Sneaker</t>
  </si>
  <si>
    <t>White Synthetic/ Neon Multi Trim</t>
  </si>
  <si>
    <t>Lace-up synthetic upper with a dripping paint star and hearts allover print
Shock-absorbing wedge midsole
Flexible traction outsole
1 1/2-inch heel height
Skechers® logo detail</t>
  </si>
  <si>
    <t>Air-Cooled MF
Machine Washable</t>
  </si>
  <si>
    <t>https://image.skechers.com/img/productimages/xlarge/310425L_LAV_A.jpg</t>
  </si>
  <si>
    <t>310425LLAV-46B</t>
  </si>
  <si>
    <t>310425L</t>
  </si>
  <si>
    <t>310425LLAV</t>
  </si>
  <si>
    <t>UNO LITE EASE</t>
  </si>
  <si>
    <t>Skechers Slip-Ins Iridescent Lace Up Sneaker</t>
  </si>
  <si>
    <t>https://image.skechers.com/img/productimages/xlarge/310425L_LTPK_A.jpg</t>
  </si>
  <si>
    <t>310425LLTPK-46B</t>
  </si>
  <si>
    <t>310425LLTPK</t>
  </si>
  <si>
    <t>https://image.skechers.com/img/productimages/xlarge/310425L_WHT_A.jpg</t>
  </si>
  <si>
    <t>310425LWHT-46B</t>
  </si>
  <si>
    <t>310425LWHT</t>
  </si>
  <si>
    <t>https://image.skechers.com/img/productimages/xlarge/310429L_BKRG_A.jpg</t>
  </si>
  <si>
    <t>310429LBKRG-46B</t>
  </si>
  <si>
    <t>310429L</t>
  </si>
  <si>
    <t>310429LBKRG</t>
  </si>
  <si>
    <t>STAR ICON</t>
  </si>
  <si>
    <t>Embossed Gore &amp; Strap Fashion Sneaker</t>
  </si>
  <si>
    <t>https://image.skechers.com/img/productimages/xlarge/310429L_LTPK_A.jpg</t>
  </si>
  <si>
    <t>310429LLTPK-46B</t>
  </si>
  <si>
    <t>310429LLTPK</t>
  </si>
  <si>
    <t>https://image.skechers.com/img/productimages/xlarge/310429L_WHP_A.jpg</t>
  </si>
  <si>
    <t>310429LWHP-46B</t>
  </si>
  <si>
    <t>WHP</t>
  </si>
  <si>
    <t>310429LWHP</t>
  </si>
  <si>
    <t>White Synthetic/ Pink Trim</t>
  </si>
  <si>
    <t>https://image.skechers.com/img/productimages/xlarge/310435L_BKMT_A.jpg</t>
  </si>
  <si>
    <t>310435LBKMT-46B</t>
  </si>
  <si>
    <t>310435L</t>
  </si>
  <si>
    <t>310435LBKMT</t>
  </si>
  <si>
    <t>UNO LITE 2.0</t>
  </si>
  <si>
    <t>VIVID METALLIC</t>
  </si>
  <si>
    <t>Gore &amp; Strap Embossed Sneaker W/Metallic Ombre Mustache</t>
  </si>
  <si>
    <t>Skechers easy-on, easy-off adaptive closure for a customized fit
Skechers Air-Cooled Memory Foam® cushioned comfort insole</t>
  </si>
  <si>
    <t>Durabuck upper with metallic trim, stretch laces and adjustable instep strap
Flexible traction outsole
Machine washable
Skechers ® logo detail</t>
  </si>
  <si>
    <t>Adaptive Closure
Air-Cooled MF
Lightweight
Machine Washable</t>
  </si>
  <si>
    <t>https://image.skechers.com/img/productimages/xlarge/310435L_WMLT_A.jpg</t>
  </si>
  <si>
    <t>310435LWMLT-46B</t>
  </si>
  <si>
    <t>310435LWMLT</t>
  </si>
  <si>
    <t>https://image.skechers.com/img/productimages/xlarge/310451L_BKRG_A.jpg</t>
  </si>
  <si>
    <t>310451LBKRG-46B</t>
  </si>
  <si>
    <t>310451L</t>
  </si>
  <si>
    <t>310451LBKRG</t>
  </si>
  <si>
    <t>Gore &amp; Strap Fashion Embossed Sneaker</t>
  </si>
  <si>
    <t>Black Synthetic/Rose Gold Trim</t>
  </si>
  <si>
    <t>Perforated smooth synthetic upper with embossed details
Stretch-lace front and adjustable instep strap
Shock-absorbing platform wedge midsole
Flexible traction outsole
Machine washable
Skechers® logo detail</t>
  </si>
  <si>
    <t>https://image.skechers.com/img/productimages/xlarge/310451L_LAV_A.jpg</t>
  </si>
  <si>
    <t>310451LLAV-46B</t>
  </si>
  <si>
    <t>310451LLAV</t>
  </si>
  <si>
    <t>https://image.skechers.com/img/productimages/xlarge/310451L_LTPK_A.jpg</t>
  </si>
  <si>
    <t>310451LLTPK-46B</t>
  </si>
  <si>
    <t>310451LLTPK</t>
  </si>
  <si>
    <t>https://image.skechers.com/img/productimages/xlarge/310451L_NPNK_A.jpg</t>
  </si>
  <si>
    <t>310451LNPNK-46B</t>
  </si>
  <si>
    <t>NPNK</t>
  </si>
  <si>
    <t>310451LNPNK</t>
  </si>
  <si>
    <t>Neon Pink Synthetic/Trim</t>
  </si>
  <si>
    <t>https://image.skechers.com/img/productimages/xlarge/310451L_SAGE_A.jpg</t>
  </si>
  <si>
    <t>310451LSAGE-46B</t>
  </si>
  <si>
    <t>310451LSAGE</t>
  </si>
  <si>
    <t>https://image.skechers.com/img/productimages/xlarge/310451L_WHPK_A.jpg</t>
  </si>
  <si>
    <t>310451LWHPK-46B</t>
  </si>
  <si>
    <t>310451LWHPK</t>
  </si>
  <si>
    <t>https://image.skechers.com/img/productimages/xlarge/310451N_BKRG_A.jpg</t>
  </si>
  <si>
    <t>310451NBKRG-47N</t>
  </si>
  <si>
    <t>310451N</t>
  </si>
  <si>
    <t>310451NBKRG</t>
  </si>
  <si>
    <t>Machine Washable</t>
  </si>
  <si>
    <t>https://image.skechers.com/img/productimages/xlarge/310451N_LAV_A.jpg</t>
  </si>
  <si>
    <t>310451NLAV-47N</t>
  </si>
  <si>
    <t>310451NLAV</t>
  </si>
  <si>
    <t>https://image.skechers.com/img/productimages/xlarge/310451N_WHPK_A.jpg</t>
  </si>
  <si>
    <t>310451NWHPK-47N</t>
  </si>
  <si>
    <t>310451NWHPK</t>
  </si>
  <si>
    <t>https://image.skechers.com/img/productimages/xlarge/310562L_BKRG_A.jpg</t>
  </si>
  <si>
    <t>310562LBKRG-46B</t>
  </si>
  <si>
    <t>310562L</t>
  </si>
  <si>
    <t>310562LBKRG</t>
  </si>
  <si>
    <t>TRENDY JEWELS</t>
  </si>
  <si>
    <t>Lace Up Embossed Sneaker W/Charm Detail</t>
  </si>
  <si>
    <t>Lace-up embossed durabuck upper with charm detail
Flexible traction outsole
1 1/2-inch heel height
Skechers ® logo detail</t>
  </si>
  <si>
    <t>https://image.skechers.com/img/productimages/xlarge/310562L_PKSL_A.jpg</t>
  </si>
  <si>
    <t>310562LPKSL-46B</t>
  </si>
  <si>
    <t>310562LPKSL</t>
  </si>
  <si>
    <t>https://image.skechers.com/img/productimages/xlarge/310562L_WGD_A.jpg</t>
  </si>
  <si>
    <t>310562LWGD-46B</t>
  </si>
  <si>
    <t>WGD</t>
  </si>
  <si>
    <t>310562LWGD</t>
  </si>
  <si>
    <t>White Synthetic/ Gold Trim</t>
  </si>
  <si>
    <t>https://image.skechers.com/img/productimages/xlarge/310581L_LBMT_A.jpg</t>
  </si>
  <si>
    <t>310581LLBMT-46B</t>
  </si>
  <si>
    <t>310581L</t>
  </si>
  <si>
    <t>310581LLBMT</t>
  </si>
  <si>
    <t>KICKOFF SQUAD</t>
  </si>
  <si>
    <t>Gore &amp; Strap Sneaker W/Qtr Swan "S" Logo</t>
  </si>
  <si>
    <t>Light Blue Synthetic/ Multi Trim</t>
  </si>
  <si>
    <t>Synthetic upper with stretch laces and adjustable instep strap
Contrast 'S' quarter logo detail
Flexible traction rubber outsole
3/4-inch heel height
Skechers® logo detail</t>
  </si>
  <si>
    <t>https://image.skechers.com/img/productimages/xlarge/310581L_NTLB_A.jpg</t>
  </si>
  <si>
    <t>310581LNTLB-46B</t>
  </si>
  <si>
    <t>310581LNTLB</t>
  </si>
  <si>
    <t>Natural Synthetic/ Light Blue Trim</t>
  </si>
  <si>
    <t>https://image.skechers.com/img/productimages/xlarge/310581L_NTMT_A.jpg</t>
  </si>
  <si>
    <t>310581LNTMT-46B</t>
  </si>
  <si>
    <t>310581LNTMT</t>
  </si>
  <si>
    <t>https://image.skechers.com/img/productimages/xlarge/310581L_NTPK_A.jpg</t>
  </si>
  <si>
    <t>310581LNTPK-46B</t>
  </si>
  <si>
    <t>310581LNTPK</t>
  </si>
  <si>
    <t>https://image.skechers.com/img/productimages/xlarge/310581L_WPK_A.jpg</t>
  </si>
  <si>
    <t>310581LWPK-46B</t>
  </si>
  <si>
    <t>310581LWPK</t>
  </si>
  <si>
    <t>White Synthetic/Pink Trim</t>
  </si>
  <si>
    <t>https://image.skechers.com/img/productimages/xlarge/310808L_GYMT_A.jpg</t>
  </si>
  <si>
    <t>310808LGYMT-46B</t>
  </si>
  <si>
    <t>310808L</t>
  </si>
  <si>
    <t>310808LGYMT</t>
  </si>
  <si>
    <t>VISTA STRIKE</t>
  </si>
  <si>
    <t>Gore &amp; Strap Sneaker W/ Overlay Detail</t>
  </si>
  <si>
    <t>Gray Synthetic/ Multi Trim</t>
  </si>
  <si>
    <t>https://image.skechers.com/img/productimages/xlarge/310808L_NTMT_A.jpg</t>
  </si>
  <si>
    <t>310808LNTMT-46B</t>
  </si>
  <si>
    <t>310808LNTMT</t>
  </si>
  <si>
    <t>https://image.skechers.com/img/productimages/xlarge/310808L_WMLT_A.jpg</t>
  </si>
  <si>
    <t>310808LWMLT-46B</t>
  </si>
  <si>
    <t>310808LWMLT</t>
  </si>
  <si>
    <t>https://image.skechers.com/img/productimages/xlarge/310814L_WGD_A.jpg</t>
  </si>
  <si>
    <t>310814LWGD-46B</t>
  </si>
  <si>
    <t>310814L</t>
  </si>
  <si>
    <t>310814LWGD</t>
  </si>
  <si>
    <t>HEARTDUST FOREVER</t>
  </si>
  <si>
    <t>Goldcrown Glitter Spray Lace Up Sneaker W/ Lace Keeper Detail</t>
  </si>
  <si>
    <t>Collab
Goldcrown</t>
  </si>
  <si>
    <t>https://image.skechers.com/img/productimages/xlarge/310819L_WMLT_A.jpg</t>
  </si>
  <si>
    <t>310819LWMLT-46B</t>
  </si>
  <si>
    <t>310819L</t>
  </si>
  <si>
    <t>310819LWMLT</t>
  </si>
  <si>
    <t>REIGNING LOVE</t>
  </si>
  <si>
    <t>Metallic Graffiti Hearts Lace Up Sneaker</t>
  </si>
  <si>
    <t>https://image.skechers.com/img/productimages/xlarge/314078N_WMN_A.jpg</t>
  </si>
  <si>
    <t>314078NWMN-47N</t>
  </si>
  <si>
    <t>314078N</t>
  </si>
  <si>
    <t>314078NWMN</t>
  </si>
  <si>
    <t>LOVE LEVITATE</t>
  </si>
  <si>
    <t>Goldcrown Graffiti Hearts Gore And Strap Sneaker</t>
  </si>
  <si>
    <t>White Synthetic/Neon Multi Trim</t>
  </si>
  <si>
    <t>From the Skechers x JGoldcrown collab featuring the muralist's iconic #Lovewall design
Skechers Air-Cooled Memory Foam® cushioned comfort insole
Skechers easy-on, easy-off adaptive closure for a customized fit</t>
  </si>
  <si>
    <t>Synthetic duraleather upper with graffiti 'drip hearts'
Fashion sneaker with stretch laces and adjustable instep strap
Shock-absorbing wedge midsole
Flexible traction outsole
1 1/2-inch heel height
Machine washable
Skechers® and JGoldcrown logo details</t>
  </si>
  <si>
    <t>Adaptive Closure
Collab
Goldcrown
Machine Washable</t>
  </si>
  <si>
    <t>https://image.skechers.com/img/productimages/xlarge/314091L_BKMT_A.jpg</t>
  </si>
  <si>
    <t>314091LBKMT-46B</t>
  </si>
  <si>
    <t>314091L</t>
  </si>
  <si>
    <t>314091LBKMT</t>
  </si>
  <si>
    <t>HEART CRAZE</t>
  </si>
  <si>
    <t>Goldcrown Heart Print Gore &amp; Strap Sneaker</t>
  </si>
  <si>
    <t>Synthetic durabuck upper with graffiti 'drip hearts'
Fashion sneaker with stretch laces and adjustable instep strap
Shock-absorbing wedge midsole
Flexible traction outsole
1 1/2-inch heel height
Machine washable
Skechers® and JGoldcrown logo details</t>
  </si>
  <si>
    <t>Adaptive Closure
Air-Cooled MF
Collab
Goldcrown
Machine Washable</t>
  </si>
  <si>
    <t>https://image.skechers.com/img/productimages/xlarge/314091L_LBMT_A.jpg</t>
  </si>
  <si>
    <t>314091LLBMT-46B</t>
  </si>
  <si>
    <t>314091LLBMT</t>
  </si>
  <si>
    <t>https://image.skechers.com/img/productimages/xlarge/314091L_WMLT_A.jpg</t>
  </si>
  <si>
    <t>314091LWMLT-46B</t>
  </si>
  <si>
    <t>314091LWMLT</t>
  </si>
  <si>
    <t>https://image.skechers.com/img/productimages/xlarge/314091N_LPMT_A.jpg</t>
  </si>
  <si>
    <t>314091NLPMT-47N</t>
  </si>
  <si>
    <t>314091N</t>
  </si>
  <si>
    <t>314091NLPMT</t>
  </si>
  <si>
    <t>Light Pink Synthetic/ Multi Trim</t>
  </si>
  <si>
    <t>JAMES GOLDCROWN</t>
  </si>
  <si>
    <t>https://image.skechers.com/img/productimages/xlarge/314091N_WMLT_A.jpg</t>
  </si>
  <si>
    <t>314091NWMLT-47N</t>
  </si>
  <si>
    <t>314091NWMLT</t>
  </si>
  <si>
    <t>https://image.skechers.com/img/productimages/xlarge/314098L_HPMT_A.jpg</t>
  </si>
  <si>
    <t>314098LHPMT-46B</t>
  </si>
  <si>
    <t>314098L</t>
  </si>
  <si>
    <t>314098LHPMT</t>
  </si>
  <si>
    <t>METALLIC JOY</t>
  </si>
  <si>
    <t>Goldcrown Rainbow Metallic Heart Print Lace Up Sneaker</t>
  </si>
  <si>
    <t>Hot Pink Synthetic/ Multi Trim</t>
  </si>
  <si>
    <t>From the Skechers x JGoldcrown collab featuring the muralist's iconic #Lovewall design
Skechers Air-Cooled Memory Foam® comfort insole</t>
  </si>
  <si>
    <t>Lace-up durabuck upper with metallic graffiti hearts
Fashion sneaker with wedge midsole
Flexible traction outsole
1 1/4-inch heel height
Machine washable
Skechers® and JGoldcrown logo details</t>
  </si>
  <si>
    <t>Air-Cooled MF
Collab
Goldcrown
Machine Washable</t>
  </si>
  <si>
    <t>https://image.skechers.com/img/productimages/xlarge/314098L_WMLT_A.jpg</t>
  </si>
  <si>
    <t>314098LWMLT-46B</t>
  </si>
  <si>
    <t>314098LWMLT</t>
  </si>
  <si>
    <t>https://image.skechers.com/img/productimages/xlarge/314099N_LPMT_A.jpg</t>
  </si>
  <si>
    <t>314099NLPMT-47N</t>
  </si>
  <si>
    <t>314099N</t>
  </si>
  <si>
    <t>314099NLPMT</t>
  </si>
  <si>
    <t>LIL METALLIC SHINE</t>
  </si>
  <si>
    <t>Goldcrown Rainbow Metallic Heart Print Gore &amp; Strap Sneaker</t>
  </si>
  <si>
    <t>Synthetic duraleather upper with metallic graffiti 'drip hearts'
Fashion sneaker with stretch laces and adjustable instep strap
Shock-absorbing wedge midsole
Flexible traction outsole
1 1/2-inch heel height
Machine washable
Skechers® and JGoldcrown logo details</t>
  </si>
  <si>
    <t>Adaptive Closure
Collab
Goldcrown</t>
  </si>
  <si>
    <t>https://image.skechers.com/img/productimages/xlarge/314099N_WMLT_A.jpg</t>
  </si>
  <si>
    <t>314099NWMLT-47N</t>
  </si>
  <si>
    <t>314099NWMLT</t>
  </si>
  <si>
    <t>https://image.skechers.com/img/productimages/xlarge/314976L_WHP_A.jpg</t>
  </si>
  <si>
    <t>314976LWHP-46B</t>
  </si>
  <si>
    <t>314976L</t>
  </si>
  <si>
    <t>314976LWHP</t>
  </si>
  <si>
    <t>James Goldcrown Lace Up Fashion Sneaker W/ Graffiti Heart Design Midsole</t>
  </si>
  <si>
    <t>White Synthetic/Hot Pink Trim</t>
  </si>
  <si>
    <t>From the Skechers x JGoldcrown collab featuring the muralist's iconic #Lovewall design
Skechers Air-Cooled Memory Foam® cushioned comfort insole</t>
  </si>
  <si>
    <t>Synthetic durabuck upper with a lace-up front
Flexible traction outsole
1 1/2-inch heel
Skechers® logo detail</t>
  </si>
  <si>
    <t>https://image.skechers.com/img/productimages/xlarge/314976L_WPTQ_A.jpg</t>
  </si>
  <si>
    <t>314976LWPTQ-46B</t>
  </si>
  <si>
    <t>WPTQ</t>
  </si>
  <si>
    <t>314976LWPTQ</t>
  </si>
  <si>
    <t>White Synthetic/Pink/Turquoise Trim</t>
  </si>
  <si>
    <t>https://image.skechers.com/img/productimages/xlarge/314976L_WRPK_A.jpg</t>
  </si>
  <si>
    <t>314976LWRPK-46B</t>
  </si>
  <si>
    <t>WRPK</t>
  </si>
  <si>
    <t>314976LWRPK</t>
  </si>
  <si>
    <t>White Synthetic/Red &amp; Pink Trim</t>
  </si>
  <si>
    <t>https://image.skechers.com/img/productimages/xlarge/319095L_LAV_A.jpg</t>
  </si>
  <si>
    <t>319095LLAV-46B</t>
  </si>
  <si>
    <t>319095L</t>
  </si>
  <si>
    <t>319095LLAV</t>
  </si>
  <si>
    <t>Gore And Strap Sneaker W/ Breathable Mesh</t>
  </si>
  <si>
    <t>Adaptive Closure
Air Cooled Goga Mat
Go Run</t>
  </si>
  <si>
    <t>https://image.skechers.com/img/productimages/xlarge/319095L_LTBL_A.jpg</t>
  </si>
  <si>
    <t>319095LLTBL-46B</t>
  </si>
  <si>
    <t>319095LLTBL</t>
  </si>
  <si>
    <t>https://image.skechers.com/img/productimages/xlarge/319095L_WLV_A.jpg</t>
  </si>
  <si>
    <t>319095LWLV-46B</t>
  </si>
  <si>
    <t>319095LWLV</t>
  </si>
  <si>
    <t>https://image.skechers.com/img/productimages/xlarge/400137N_BKRB_A.jpg</t>
  </si>
  <si>
    <t>400137NBKRB-47N</t>
  </si>
  <si>
    <t>400137N</t>
  </si>
  <si>
    <t>BKRB</t>
  </si>
  <si>
    <t>400137NBKRB</t>
  </si>
  <si>
    <t>FLEX-GLOW ELITE</t>
  </si>
  <si>
    <t>VORLO</t>
  </si>
  <si>
    <t>BOYS-N</t>
  </si>
  <si>
    <t>Gore &amp; Strap Lighted Sneaker W/ 3d Print Upper</t>
  </si>
  <si>
    <t>Black Synthetic / Red &amp; Blue Trim</t>
  </si>
  <si>
    <t>On/off button
Cushioned comfort insole</t>
  </si>
  <si>
    <t>Synthetic mesh overlay and ombre fabric upper
Stretch-lace front with hook-and-loop instep strap
Flexible traction outsole
1-inch heel height
Skechers® logo detail</t>
  </si>
  <si>
    <t>J - SKECHERS BOYS</t>
  </si>
  <si>
    <t>Lights
On/Off Button</t>
  </si>
  <si>
    <t>BOYS S-LIGHTS</t>
  </si>
  <si>
    <t>https://image.skechers.com/img/productimages/xlarge/400137N_BKSL_A.jpg</t>
  </si>
  <si>
    <t>400137NBKSL-47N</t>
  </si>
  <si>
    <t>400137NBKSL</t>
  </si>
  <si>
    <t>Black Synthetic / Silver Trim</t>
  </si>
  <si>
    <t>https://image.skechers.com/img/productimages/xlarge/400141L_BBLM_A.jpg</t>
  </si>
  <si>
    <t>400141LBBLM-46B</t>
  </si>
  <si>
    <t>400141L</t>
  </si>
  <si>
    <t>BBLM</t>
  </si>
  <si>
    <t>400141LBBLM</t>
  </si>
  <si>
    <t>FLEX-GLOW ULTRA</t>
  </si>
  <si>
    <t>BOYS-L</t>
  </si>
  <si>
    <t>Lighted Gore &amp; Strap Sneaker</t>
  </si>
  <si>
    <t>Black &amp; Blue Synthetic / Textile / Lime Trim</t>
  </si>
  <si>
    <t>https://image.skechers.com/img/productimages/xlarge/400141L_BKCC_A.jpg</t>
  </si>
  <si>
    <t>400141LBKCC-46B</t>
  </si>
  <si>
    <t>400141LBKCC</t>
  </si>
  <si>
    <t>Black &amp; Charcoal Synthetic / Textile / Red Trim</t>
  </si>
  <si>
    <t>https://image.skechers.com/img/productimages/xlarge/400141L_BKSL_A.jpg</t>
  </si>
  <si>
    <t>400141LBKSL-46B</t>
  </si>
  <si>
    <t>400141LBKSL</t>
  </si>
  <si>
    <t>Black &amp; Silver Synthetic / Textile / Silver Trim</t>
  </si>
  <si>
    <t>https://image.skechers.com/img/productimages/xlarge/400240L_BLK_A.jpg</t>
  </si>
  <si>
    <t>400240LBLK-46B</t>
  </si>
  <si>
    <t>400240L</t>
  </si>
  <si>
    <t>400240LBLK</t>
  </si>
  <si>
    <t>Black Synthetic / Textile / Red Trim</t>
  </si>
  <si>
    <t>Glide-Step® geometric midsole designed to provide natural momentum with every step
Skechers easy-on, easy-off adaptive closure for a customized fit
Bigger kids' sizes feature on/off light button
Cushioned comfort insole</t>
  </si>
  <si>
    <t>Mesh knit and synthetic upper
Fixed stretch laces and adjustable instep strap
Flexible traction outsole
1 1/4-inch heel height
Skechers® logo detail</t>
  </si>
  <si>
    <t>https://image.skechers.com/img/productimages/xlarge/400240L_GYLM_A.jpg</t>
  </si>
  <si>
    <t>400240LGYLM-46B</t>
  </si>
  <si>
    <t>GYLM</t>
  </si>
  <si>
    <t>400240LGYLM</t>
  </si>
  <si>
    <t>Gray Synthetic / Textile / Lime Trim</t>
  </si>
  <si>
    <t>https://image.skechers.com/img/productimages/xlarge/400240L_NVY_A.jpg</t>
  </si>
  <si>
    <t>400240LNVY-46B</t>
  </si>
  <si>
    <t>400240LNVY</t>
  </si>
  <si>
    <t>Navy &amp; Black Synthetic / Textile / Orange Trim</t>
  </si>
  <si>
    <t>https://image.skechers.com/img/productimages/xlarge/401490L_BLBK_A.jpg</t>
  </si>
  <si>
    <t>401490LBLBK-46B</t>
  </si>
  <si>
    <t>401490L</t>
  </si>
  <si>
    <t>BLBK</t>
  </si>
  <si>
    <t>401490LBLBK</t>
  </si>
  <si>
    <t>SKECHERS METEOR-LIGHTS 2.0</t>
  </si>
  <si>
    <t>Lighted Gore &amp; Strap Sneaker with Textured Midsole</t>
  </si>
  <si>
    <t>Blue Textile / Synthetic / Black &amp; Lime Trim</t>
  </si>
  <si>
    <t>Sculpted light-up midsole
Bigger kids' sizes feature on/off light button
Skechers easy-on, easy-off adaptive closure for a customized fit
Cushioned comfort insole</t>
  </si>
  <si>
    <t>Mesh and synthetic upper with stretch laces and adjustable instep strap
Well-cushioned midsole
Flexible traction outsole
1 1/2-inch heel height
Skechers® logo detail</t>
  </si>
  <si>
    <t>https://image.skechers.com/img/productimages/xlarge/401490L_GYBK_A.jpg</t>
  </si>
  <si>
    <t>401490LGYBK-46B</t>
  </si>
  <si>
    <t>401490LGYBK</t>
  </si>
  <si>
    <t>Gray Textile / Synthetic / Black &amp; Lime Trim</t>
  </si>
  <si>
    <t>https://image.skechers.com/img/productimages/xlarge/401495N_CCGY_A.jpg</t>
  </si>
  <si>
    <t>401495NCCGY-47N</t>
  </si>
  <si>
    <t>401495N</t>
  </si>
  <si>
    <t>CCGY</t>
  </si>
  <si>
    <t>401495NCCGY</t>
  </si>
  <si>
    <t>SKECHERS METEOR-LIGHTS</t>
  </si>
  <si>
    <t>KRENDOX</t>
  </si>
  <si>
    <t>https://image.skechers.com/img/productimages/xlarge/401497L_GURD_A.jpg</t>
  </si>
  <si>
    <t>401497LGURD-46B</t>
  </si>
  <si>
    <t>401497L</t>
  </si>
  <si>
    <t>GURD</t>
  </si>
  <si>
    <t>401497LGURD</t>
  </si>
  <si>
    <t>GLOW-STRIDER</t>
  </si>
  <si>
    <t>Lighted Gore &amp; Strap Sneaker W/ Overlays</t>
  </si>
  <si>
    <t>Gunmetal Synthetic / Black Textile / Red Trim</t>
  </si>
  <si>
    <t>Skechers easy-on, easy-off adaptive closure for a customized fit
Big kids' sizes feature on/off light button
Cushioned comfort insole</t>
  </si>
  <si>
    <t>Color-blocked mesh and synthetic overlay upper with stretch laces and adjustable instep strap
Sporty action sneaker with a well-cushioned light-up midsole
Flexible traction outsole
1-inch heel height
Skechers® logo detail</t>
  </si>
  <si>
    <t>https://image.skechers.com/img/productimages/xlarge/401497L_SLBK_A.jpg</t>
  </si>
  <si>
    <t>401497LSLBK-46B</t>
  </si>
  <si>
    <t>SLBK</t>
  </si>
  <si>
    <t>401497LSLBK</t>
  </si>
  <si>
    <t>Silver Synthetic / Gray Textile / Black Trim</t>
  </si>
  <si>
    <t>https://image.skechers.com/img/productimages/xlarge/401498N_NVLM_A.jpg</t>
  </si>
  <si>
    <t>401498NNVLM-47N</t>
  </si>
  <si>
    <t>401498N</t>
  </si>
  <si>
    <t>NVLM</t>
  </si>
  <si>
    <t>401498NNVLM</t>
  </si>
  <si>
    <t>GLOW SPIKE</t>
  </si>
  <si>
    <t>U-Strap Lighted Gore &amp; Strap Sneaker</t>
  </si>
  <si>
    <t>Navy Synthetic / Blue Textile / Lime Trim</t>
  </si>
  <si>
    <t>Skechers easy-on, easy-off adaptive closure for a customized fit
Sculpted light-up midsole
Cushioned comfort insole</t>
  </si>
  <si>
    <t>Mesh and synthetic upper with adjustable U-strap closure
Flexible traction outsole
Skechers® logo detail</t>
  </si>
  <si>
    <t>https://image.skechers.com/img/productimages/xlarge/401498N_SLBK_A.jpg</t>
  </si>
  <si>
    <t>401498NSLBK-47N</t>
  </si>
  <si>
    <t>401498NSLBK</t>
  </si>
  <si>
    <t>https://image.skechers.com/img/productimages/xlarge/401498N_SLOR_A.jpg</t>
  </si>
  <si>
    <t>401498NSLOR-47N</t>
  </si>
  <si>
    <t>SLOR</t>
  </si>
  <si>
    <t>401498NSLOR</t>
  </si>
  <si>
    <t>Silver Synthetic / Navy Textile / Orange Trim</t>
  </si>
  <si>
    <t>https://image.skechers.com/img/productimages/xlarge/401661L_BKSL_A.jpg</t>
  </si>
  <si>
    <t>401661LBKSL-46B</t>
  </si>
  <si>
    <t>401661L</t>
  </si>
  <si>
    <t>401661LBKSL</t>
  </si>
  <si>
    <t>TRI-NAMICS 2.0</t>
  </si>
  <si>
    <t>Lighted Gore &amp; Strap Sneaker W/ Midsole Techpiece</t>
  </si>
  <si>
    <t>Black Textile / Synthetic / Silver Trim</t>
  </si>
  <si>
    <t>Skechers easy-on, easy-off adaptive closure for a customized fit
Light-up midsole with geometric design
Bigger kids' sizes feature on/off light switch
Cushioned comfort insole</t>
  </si>
  <si>
    <t>Mesh and synthetic upper with haptic print
Stretch-laces and adjustable instep strap
Shock-absorbing midsole
Flexible traction outsole
Skechers® logo detail</t>
  </si>
  <si>
    <t>BOYS S LIGHTS</t>
  </si>
  <si>
    <t>https://image.skechers.com/img/productimages/xlarge/401661L_BLMT_A.jpg</t>
  </si>
  <si>
    <t>401661LBLMT-46B</t>
  </si>
  <si>
    <t>BLMT</t>
  </si>
  <si>
    <t>401661LBLMT</t>
  </si>
  <si>
    <t>Blue Textile / Synthetic / Mutli Trim</t>
  </si>
  <si>
    <t>https://image.skechers.com/img/productimages/xlarge/401675N_BKGY_A.jpg</t>
  </si>
  <si>
    <t>401675NBKGY-47N</t>
  </si>
  <si>
    <t>401675N</t>
  </si>
  <si>
    <t>401675NBKGY</t>
  </si>
  <si>
    <t>https://image.skechers.com/img/productimages/xlarge/402130L_CHAR_A.jpg</t>
  </si>
  <si>
    <t>402130LCHAR-46B</t>
  </si>
  <si>
    <t>402130L</t>
  </si>
  <si>
    <t>402130LCHAR</t>
  </si>
  <si>
    <t>MEGA-FLEX LITE</t>
  </si>
  <si>
    <t>SKECHERS TUFF TOOLZ</t>
  </si>
  <si>
    <t>Lightweight Gore &amp; Strap Sneaker W/ Construction Themed Upper</t>
  </si>
  <si>
    <t>Charcoal Synthetic / Charcoal Textile / Silver Trim</t>
  </si>
  <si>
    <t>Skechers Tuff Toolz™ construction-themed design
Skechers Mega-Flex® ultra flexible midsole design
Skechers easy-on, easy-off adaptive closure for a customized fit
Cushioned comfort insole</t>
  </si>
  <si>
    <t>Mesh and synthetic overlay upper
Fixed stretch laces and adjustable instep strap
Removable wrench and hammer shoe accessories
Super flexible traction outsole
Machine washable - remove tool accessories before washing
1 1/3-inch heel height
Skechers Tuff Toolz™ logo details</t>
  </si>
  <si>
    <t>Lightweight
Machine Washable
Thematic</t>
  </si>
  <si>
    <t>https://image.skechers.com/img/productimages/xlarge/402130L_RDBK_A.jpg</t>
  </si>
  <si>
    <t>402130LRDBK-46B</t>
  </si>
  <si>
    <t>RDBK</t>
  </si>
  <si>
    <t>402130LRDBK</t>
  </si>
  <si>
    <t>Red Synthetic / Black Textile / Silver Trim</t>
  </si>
  <si>
    <t>https://image.skechers.com/img/productimages/xlarge/402130L_YLBK_A.jpg</t>
  </si>
  <si>
    <t>402130LYLBK-46B</t>
  </si>
  <si>
    <t>YLBK</t>
  </si>
  <si>
    <t>402130LYLBK</t>
  </si>
  <si>
    <t>Yellow &amp; Black Synthetic / Charcoal Textile / Silver Trim</t>
  </si>
  <si>
    <t>https://image.skechers.com/img/productimages/xlarge/402150L_BBOR_A.jpg</t>
  </si>
  <si>
    <t>402150LBBOR-46B</t>
  </si>
  <si>
    <t>402150L</t>
  </si>
  <si>
    <t>BBOR</t>
  </si>
  <si>
    <t>402150LBBOR</t>
  </si>
  <si>
    <t>SKECHERS GARAGE</t>
  </si>
  <si>
    <t>Gore &amp; Strap Sneaker W/ Midsole Compartment &amp; Two Toy Cars</t>
  </si>
  <si>
    <t>Black, Blue, &amp; Orange Synthetic / Textile / Yellow Trim</t>
  </si>
  <si>
    <t>Skechers Garage car-themed design
Includes two toy cars
Skechers easy-on, easy-off adaptive closure for a customized fit
Cushioned comfort insole</t>
  </si>
  <si>
    <t>Mesh and synthetic overlay upper
Fixed stretch laces and adjustable instep strap
Flexible traction outsole
1 1/3-inch heel height
Skechers® logo detail</t>
  </si>
  <si>
    <t>Skechers Garage
Thematic
Two Toy Cars</t>
  </si>
  <si>
    <t>https://image.skechers.com/img/productimages/xlarge/402150L_RDCC_A.jpg</t>
  </si>
  <si>
    <t>402150LRDCC-46B</t>
  </si>
  <si>
    <t>RDCC</t>
  </si>
  <si>
    <t>402150LRDCC</t>
  </si>
  <si>
    <t>Red &amp; Charcoal Synthetic / Textile / Yellow Trim</t>
  </si>
  <si>
    <t>https://image.skechers.com/img/productimages/xlarge/402150L_SLBK_A.jpg</t>
  </si>
  <si>
    <t>402150LSLBK-46B</t>
  </si>
  <si>
    <t>402150LSLBK</t>
  </si>
  <si>
    <t>Charcoal &amp; Silver Synthetic / Black Textile / Yellow Trim</t>
  </si>
  <si>
    <t>https://image.skechers.com/img/productimages/xlarge/403640L_BBK_A.jpg</t>
  </si>
  <si>
    <t>403640LBBK-46B</t>
  </si>
  <si>
    <t>403640L</t>
  </si>
  <si>
    <t>403640LBBK</t>
  </si>
  <si>
    <t>ECHO SURGE</t>
  </si>
  <si>
    <t>Low Top Gore &amp; Strap Sneaker W/ Wavy Overlays</t>
  </si>
  <si>
    <t>Black Synthetic/ Black Trim</t>
  </si>
  <si>
    <t>Synthetic upper with stretch laces and adjustable instep strap
Shock-absorbing midsole
Flexible traction outsole
1 1/2-inch heel height
Machine washable
Skechers® logo detail</t>
  </si>
  <si>
    <t>JST - STREET BOYS</t>
  </si>
  <si>
    <t>https://image.skechers.com/img/productimages/xlarge/403640L_LGMT_A.jpg</t>
  </si>
  <si>
    <t>403640LLGMT-46B</t>
  </si>
  <si>
    <t>403640LLGMT</t>
  </si>
  <si>
    <t>Light Gray Synthetic/ Blue &amp; Orange Trim</t>
  </si>
  <si>
    <t>https://image.skechers.com/img/productimages/xlarge/403640N_BKW_A.jpg</t>
  </si>
  <si>
    <t>403640NBKW-47N</t>
  </si>
  <si>
    <t>403640N</t>
  </si>
  <si>
    <t>403640NBKW</t>
  </si>
  <si>
    <t>Black Synthetic/ Charcoal Trim</t>
  </si>
  <si>
    <t>Adaptive Closure
Lightweight
Machine Washable</t>
  </si>
  <si>
    <t>https://image.skechers.com/img/productimages/xlarge/403640N_WHT_A.jpg</t>
  </si>
  <si>
    <t>403640NWHT-47N</t>
  </si>
  <si>
    <t>403640NWHT</t>
  </si>
  <si>
    <t>White Synthetic/ White Trim</t>
  </si>
  <si>
    <t>https://image.skechers.com/img/productimages/xlarge/403659L_BLK_A.jpg</t>
  </si>
  <si>
    <t>403659LBLK-J-46G</t>
  </si>
  <si>
    <t>403659L</t>
  </si>
  <si>
    <t>403659LBLK-J</t>
  </si>
  <si>
    <t>RETRO-GROOVE</t>
  </si>
  <si>
    <t>BOYS-J</t>
  </si>
  <si>
    <t>Lace Up Sneaker W/ Overlay Details &amp; Heel Air Bag</t>
  </si>
  <si>
    <t>Black Synthetic / Black Textile / White Trim</t>
  </si>
  <si>
    <t>Lace-up mesh and synthetic upper
Shock-absorbing midsole
Durable rubber outsole
Skechers® logo detail</t>
  </si>
  <si>
    <t>Air-Cooled MF
Durable Rubber Outsole
Skech-Air</t>
  </si>
  <si>
    <t>https://image.skechers.com/img/productimages/xlarge/403659L_OLV_A.jpg</t>
  </si>
  <si>
    <t>403659LOLV-J-46G</t>
  </si>
  <si>
    <t>403659LOLV-J</t>
  </si>
  <si>
    <t>Olive Synthetic/ Sage Textile/ Lime Trim</t>
  </si>
  <si>
    <t>https://image.skechers.com/img/productimages/xlarge/403659L_WGY_A.jpg</t>
  </si>
  <si>
    <t>403659LWGY-J-46G</t>
  </si>
  <si>
    <t>403659LWGY-J</t>
  </si>
  <si>
    <t>White Synthetic/ Gray Textile/ Black Trim</t>
  </si>
  <si>
    <t>https://image.skechers.com/img/productimages/xlarge/403804L_BLK_A.jpg</t>
  </si>
  <si>
    <t>403804LBLK-J-46L</t>
  </si>
  <si>
    <t>403804L</t>
  </si>
  <si>
    <t>403804LBLK-J</t>
  </si>
  <si>
    <t>https://image.skechers.com/img/productimages/xlarge/403857L_NVY_A.jpg</t>
  </si>
  <si>
    <t>403857LNVY-46B</t>
  </si>
  <si>
    <t>403857L</t>
  </si>
  <si>
    <t>403857LNVY</t>
  </si>
  <si>
    <t>RETRO-GRAPH</t>
  </si>
  <si>
    <t>Gore &amp; Strap Sneaker  W/ Overlay Details &amp; Bottom Plate</t>
  </si>
  <si>
    <t>Navy Synthetic / Textile / Silver Trim</t>
  </si>
  <si>
    <t>Synthetic and mesh upper
Athletic style with fixed stretch laces and adjustable instep strap
Flexible traction outsole
Skechers® logo detail</t>
  </si>
  <si>
    <t>https://image.skechers.com/img/productimages/xlarge/403857L_OLV_A.jpg</t>
  </si>
  <si>
    <t>403857LOLV-46B</t>
  </si>
  <si>
    <t>403857LOLV</t>
  </si>
  <si>
    <t>Olive Synthetic / Textile / Silver Trim</t>
  </si>
  <si>
    <t>https://image.skechers.com/img/productimages/xlarge/403857L_WNVY_A.jpg</t>
  </si>
  <si>
    <t>403857LWNVY-46B</t>
  </si>
  <si>
    <t>WNVY</t>
  </si>
  <si>
    <t>403857LWNVY</t>
  </si>
  <si>
    <t>White Synthetic / Textile / Navy Trim</t>
  </si>
  <si>
    <t>https://image.skechers.com/img/productimages/xlarge/403879L_CCBK_A.jpg</t>
  </si>
  <si>
    <t>403879LCCBK-46B</t>
  </si>
  <si>
    <t>403879L</t>
  </si>
  <si>
    <t>403879LCCBK</t>
  </si>
  <si>
    <t>SKECH FAST</t>
  </si>
  <si>
    <t>SOLAR-SQUAD</t>
  </si>
  <si>
    <t>Lightweight Gore &amp; Strap Sneaker</t>
  </si>
  <si>
    <t>Charcoal &amp; Black Textile / Synthetic / Silver Trim</t>
  </si>
  <si>
    <t>Lightweight stretch-laced front with instep strap
Cushioned comfort insole</t>
  </si>
  <si>
    <t>Mesh and synthetic upper
Shock-absorbing midsole
Flexible traction outsole
Machine washable
Skechers® logo detail</t>
  </si>
  <si>
    <t>Lightweight
Machine Washable</t>
  </si>
  <si>
    <t>https://image.skechers.com/img/productimages/xlarge/403879L_RDBK_A.jpg</t>
  </si>
  <si>
    <t>403879LRDBK-46B</t>
  </si>
  <si>
    <t>403879LRDBK</t>
  </si>
  <si>
    <t>Red &amp; Black Textile / Synthetic / Yellow &amp; White Trim</t>
  </si>
  <si>
    <t>https://image.skechers.com/img/productimages/xlarge/403879L_RYBK_A.jpg</t>
  </si>
  <si>
    <t>403879LRYBK-46B</t>
  </si>
  <si>
    <t>RYBK</t>
  </si>
  <si>
    <t>403879LRYBK</t>
  </si>
  <si>
    <t>Royal &amp; Black Textile / Synthetic / Red &amp; White Trim</t>
  </si>
  <si>
    <t>https://image.skechers.com/img/productimages/xlarge/403892L_BKW_A.jpg</t>
  </si>
  <si>
    <t>403892LBKW-46B</t>
  </si>
  <si>
    <t>403892L</t>
  </si>
  <si>
    <t>403892LBKW</t>
  </si>
  <si>
    <t>Cozy Fit Slip-Ins Quilted Upper Sneaker W/ Air-Cooled Memory Foam</t>
  </si>
  <si>
    <t>Black Textile / Black Synthetic / White Trim</t>
  </si>
  <si>
    <t>Skechers Hands Free Slip-ins® for an easy fit
Heel Pillow® holds your foot securely in place
Cozy Fit® premium soft quilted materials wrap your feet in luxury, providing a cozy, natural fit for ultimate comfort
Our Contour Foam™ super lightweight midsole adapts to your foot's unique shape, softening every step you take
Skechers Air-Cooled Memory Foam® cushioned comfort insole</t>
  </si>
  <si>
    <t>Air-Cooled MF
Cozy Fit
Machine Washable
Skechers Youth
Slip-Ins
Vapor Foam</t>
  </si>
  <si>
    <t>https://image.skechers.com/img/productimages/xlarge/403892L_WNV_A.jpg</t>
  </si>
  <si>
    <t>403892LWNV-46B</t>
  </si>
  <si>
    <t>403892LWNV</t>
  </si>
  <si>
    <t>White Textile / Navy Synthetic / Charcoal Trim</t>
  </si>
  <si>
    <t>https://image.skechers.com/img/productimages/xlarge/403899L_BBK_A.jpg</t>
  </si>
  <si>
    <t>403899LBBK-46B</t>
  </si>
  <si>
    <t>403899L</t>
  </si>
  <si>
    <t>403899LBBK</t>
  </si>
  <si>
    <t>TURBO-BRISK</t>
  </si>
  <si>
    <t>Slip-Ins Sneaker W/ Tongue Webbing</t>
  </si>
  <si>
    <t>Black Synthetic / Textile / Black Trim</t>
  </si>
  <si>
    <t>Skechers Hands Free Slip-ins® for an easy fit
Heel Pillow® holds your foot securely in place
Skechers easy-on, easy-off adaptive closure for a customized fit
Skechers Air-Cooled Memory Foam® cushioned comfort insole</t>
  </si>
  <si>
    <t>Mesh and synthetic upper with fixed stretch laces
Lightweight sporty slip-on sneaker with tongue webbing
Flexible traction outsole
1-inch heel height
Machine washable
Skechers® logo detail</t>
  </si>
  <si>
    <t>Adaptive Closure
Air-Cooled MF
Heel Pillow
Lightweight
Machine Washable
Slip-Ins</t>
  </si>
  <si>
    <t>https://image.skechers.com/img/productimages/xlarge/403899L_BKRY_A.jpg</t>
  </si>
  <si>
    <t>403899LBKRY-46B</t>
  </si>
  <si>
    <t>BKRY</t>
  </si>
  <si>
    <t>403899LBKRY</t>
  </si>
  <si>
    <t>Black Synthetic / Textile / Royal Trim</t>
  </si>
  <si>
    <t>https://image.skechers.com/img/productimages/xlarge/403899L_BLLM_A.jpg</t>
  </si>
  <si>
    <t>403899LBLLM-46B</t>
  </si>
  <si>
    <t>403899LBLLM</t>
  </si>
  <si>
    <t>Blue Synthetic / Textile / Lime Trim</t>
  </si>
  <si>
    <t>https://image.skechers.com/img/productimages/xlarge/403905L_BBK_A.jpg</t>
  </si>
  <si>
    <t>403905LBBK-46B</t>
  </si>
  <si>
    <t>403905L</t>
  </si>
  <si>
    <t>403905LBBK</t>
  </si>
  <si>
    <t>QUANTARUN</t>
  </si>
  <si>
    <t>Black Textile / Synthetic / Black Trim</t>
  </si>
  <si>
    <t>Mesh and synthetic upper with stretch laces and adjustable instep strap
Lightweight shock-absorbing midsole
Flexible traction outsole
Machine washable
Skechers® logo detail</t>
  </si>
  <si>
    <t>https://image.skechers.com/img/productimages/xlarge/403905L_BLK_A.jpg</t>
  </si>
  <si>
    <t>403905LBLK-46B</t>
  </si>
  <si>
    <t>403905LBLK</t>
  </si>
  <si>
    <t>Black Textile / Synthetic / Lime Trim</t>
  </si>
  <si>
    <t>https://image.skechers.com/img/productimages/xlarge/403905L_CHAR_A.jpg</t>
  </si>
  <si>
    <t>403905LCHAR-46B</t>
  </si>
  <si>
    <t>403905LCHAR</t>
  </si>
  <si>
    <t>Charcoal Textile / Synthetic / Orange Trim</t>
  </si>
  <si>
    <t>https://image.skechers.com/img/productimages/xlarge/403905L_GRY_A.jpg</t>
  </si>
  <si>
    <t>403905LGRY-46B</t>
  </si>
  <si>
    <t>403905LGRY</t>
  </si>
  <si>
    <t>Gray Textile / Synthetic / Black Trim</t>
  </si>
  <si>
    <t>https://image.skechers.com/img/productimages/xlarge/403905L_NVY_A.jpg</t>
  </si>
  <si>
    <t>403905LNVY-46B</t>
  </si>
  <si>
    <t>403905LNVY</t>
  </si>
  <si>
    <t>Navy Textile / Synthetic / Yellow Trim</t>
  </si>
  <si>
    <t>https://image.skechers.com/img/productimages/xlarge/403905L_RED_A.jpg</t>
  </si>
  <si>
    <t>403905LRED-46B</t>
  </si>
  <si>
    <t>403905LRED</t>
  </si>
  <si>
    <t>Red Textile / Synthetic / Black Trim</t>
  </si>
  <si>
    <t>https://image.skechers.com/img/productimages/xlarge/403905N_BBK_A.jpg</t>
  </si>
  <si>
    <t>403905NBBK-47N</t>
  </si>
  <si>
    <t>403905N</t>
  </si>
  <si>
    <t>403905NBBK</t>
  </si>
  <si>
    <t>https://image.skechers.com/img/productimages/xlarge/403905N_BLK_A.jpg</t>
  </si>
  <si>
    <t>403905NBLK-47N</t>
  </si>
  <si>
    <t>403905NBLK</t>
  </si>
  <si>
    <t>https://image.skechers.com/img/productimages/xlarge/403905N_CHAR_A.jpg</t>
  </si>
  <si>
    <t>403905NCHAR-47N</t>
  </si>
  <si>
    <t>403905NCHAR</t>
  </si>
  <si>
    <t>https://image.skechers.com/img/productimages/xlarge/403905N_NVY_A.jpg</t>
  </si>
  <si>
    <t>403905NNVY-47N</t>
  </si>
  <si>
    <t>403905NNVY</t>
  </si>
  <si>
    <t>https://image.skechers.com/img/productimages/xlarge/403905N_RED_A.jpg</t>
  </si>
  <si>
    <t>403905NRED-47N</t>
  </si>
  <si>
    <t>403905NRED</t>
  </si>
  <si>
    <t>https://image.skechers.com/img/productimages/xlarge/403916L_BBK_A.jpg</t>
  </si>
  <si>
    <t>403916LBBK-J-46L</t>
  </si>
  <si>
    <t>403916L</t>
  </si>
  <si>
    <t>403916LBBK-J</t>
  </si>
  <si>
    <t>QUANTA-PACER</t>
  </si>
  <si>
    <t>Lightweight Lace Up Sneaker</t>
  </si>
  <si>
    <t>https://image.skechers.com/img/productimages/xlarge/403916L_BLK_A.jpg</t>
  </si>
  <si>
    <t>403916LBLK-J-46L</t>
  </si>
  <si>
    <t>403916LBLK-J</t>
  </si>
  <si>
    <t>https://image.skechers.com/img/productimages/xlarge/403916L_GRY_A.jpg</t>
  </si>
  <si>
    <t>403916LGRY-J-46L</t>
  </si>
  <si>
    <t>403916LGRY-J</t>
  </si>
  <si>
    <t>https://image.skechers.com/img/productimages/xlarge/403916L_NVY_A.jpg</t>
  </si>
  <si>
    <t>403916LNVY-J-46L</t>
  </si>
  <si>
    <t>403916LNVY-J</t>
  </si>
  <si>
    <t>https://image.skechers.com/img/productimages/xlarge/403987L_BKLM_A.jpg</t>
  </si>
  <si>
    <t>403987LBKLM-46B</t>
  </si>
  <si>
    <t>403987L</t>
  </si>
  <si>
    <t>403987LBKLM</t>
  </si>
  <si>
    <t>GO RUN ELEVATE</t>
  </si>
  <si>
    <t>DELEVOR</t>
  </si>
  <si>
    <t>Lightweight Slip On Sneaker W/ Bungee Cord Detail</t>
  </si>
  <si>
    <t>Skechers Air-Cooled Goga Mat™ breathable insole with high-rebound cushioning
Skechers easy-on, easy-off adaptive closure for a customized fit</t>
  </si>
  <si>
    <t>Athletic mesh and synthetic upper with stretch lace detail and gore heel band
Flexible traction outsole
1-inch heel height
Machine washable
Skechers® and GO RUN® logo details</t>
  </si>
  <si>
    <t>Adaptive Closure
Air Cooled Goga Mat
Lightweight
Machine Washable</t>
  </si>
  <si>
    <t>https://image.skechers.com/img/productimages/xlarge/403987L_NVOR_A.jpg</t>
  </si>
  <si>
    <t>403987LNVOR-46B</t>
  </si>
  <si>
    <t>403987LNVOR</t>
  </si>
  <si>
    <t>Navy Textile / Synthetic / Orange Trim</t>
  </si>
  <si>
    <t>https://image.skechers.com/img/productimages/xlarge/404018L_BLK_A.jpg</t>
  </si>
  <si>
    <t>404018LBLK-46B</t>
  </si>
  <si>
    <t>404018L</t>
  </si>
  <si>
    <t>404018LBLK</t>
  </si>
  <si>
    <t>Black Synthetic / Textile / Sliver Trim</t>
  </si>
  <si>
    <t>Adaptive Closure
Lightweight
Machine Washable
Skechers Youth</t>
  </si>
  <si>
    <t>https://image.skechers.com/img/productimages/xlarge/404018L_BLU_A.jpg</t>
  </si>
  <si>
    <t>404018LBLU-46B</t>
  </si>
  <si>
    <t>404018LBLU</t>
  </si>
  <si>
    <t>https://image.skechers.com/img/productimages/xlarge/404018L_NVY_A.jpg</t>
  </si>
  <si>
    <t>404018LNVY-46B</t>
  </si>
  <si>
    <t>404018LNVY</t>
  </si>
  <si>
    <t>Navy Synthetic / Textile / Orange Trim</t>
  </si>
  <si>
    <t>https://image.skechers.com/img/productimages/xlarge/404040L_BKDN_A.jpg</t>
  </si>
  <si>
    <t>404040LBKDN-46B</t>
  </si>
  <si>
    <t>404040L</t>
  </si>
  <si>
    <t>BKDN</t>
  </si>
  <si>
    <t>404040LBKDN</t>
  </si>
  <si>
    <t>TIDAL-TECH</t>
  </si>
  <si>
    <t>Lightweight Gore &amp; Strap Sneaker W / Ombre Upper &amp; Paint Details</t>
  </si>
  <si>
    <t>Black &amp; Denim Textile/ Synthetic / White &amp; Silver Trim</t>
  </si>
  <si>
    <t>Cushioned comfort insole
Skechers easy-on, easy-off adaptive closure for a customized fit</t>
  </si>
  <si>
    <t>Ombre mesh and hotmelt overlay upper
Stretch laces and adjustable instep strap
Painted midsole with air window and sculpting detail
Flexible traction outsole
1 1/4-inch heel height
Machine washable
Skechers® logo detail</t>
  </si>
  <si>
    <t>https://image.skechers.com/img/productimages/xlarge/404040L_BLMT_A.jpg</t>
  </si>
  <si>
    <t>404040LBLMT-46B</t>
  </si>
  <si>
    <t>404040LBLMT</t>
  </si>
  <si>
    <t>Blue Textile / Synthetic / Multi Trim</t>
  </si>
  <si>
    <t>https://image.skechers.com/img/productimages/xlarge/404095L_BKRD_A.jpg</t>
  </si>
  <si>
    <t>404095LBKRD-46B</t>
  </si>
  <si>
    <t>404095L</t>
  </si>
  <si>
    <t>404095LBKRD</t>
  </si>
  <si>
    <t>Gore And Strap Sneaker W/ Forefoot Airbag &amp; Durable Rubber Bottom Plate</t>
  </si>
  <si>
    <t>Black Textile / Synthetic / Red Trim</t>
  </si>
  <si>
    <t>Mesh and synthetic upper with stretch laces and adjustable instep strap
Durable rubber traction outsole
1 1/4-inch heel height
Skechers® logo detail</t>
  </si>
  <si>
    <t>Adaptive Closure
Durable Rubber Outsole
Skech-Air</t>
  </si>
  <si>
    <t>https://image.skechers.com/img/productimages/xlarge/404095L_CCBL_A.jpg</t>
  </si>
  <si>
    <t>404095LCCBL-46B</t>
  </si>
  <si>
    <t>404095LCCBL</t>
  </si>
  <si>
    <t>Charcoal Textile / Synthetic / Blue Trim</t>
  </si>
  <si>
    <t>https://image.skechers.com/img/productimages/xlarge/404095L_NVYL_A.jpg</t>
  </si>
  <si>
    <t>404095LNVYL-46B</t>
  </si>
  <si>
    <t>404095LNVYL</t>
  </si>
  <si>
    <t>https://image.skechers.com/img/productimages/xlarge/404105L_BBK_A.jpg</t>
  </si>
  <si>
    <t>404105LBBK-46B</t>
  </si>
  <si>
    <t>404105L</t>
  </si>
  <si>
    <t>404105LBBK</t>
  </si>
  <si>
    <t>SQUAD-PACER</t>
  </si>
  <si>
    <t>Lightweight Gore &amp; Strap Sneaker w/ Midsole Tech Piece</t>
  </si>
  <si>
    <t>Mesh and synthetic upper with stretch laces
Adjustable instep strap
Flexible traction outsole
1 1/4-inch heel height
Skechers® logo detail</t>
  </si>
  <si>
    <t>https://image.skechers.com/img/productimages/xlarge/404105L_BLK_A.jpg</t>
  </si>
  <si>
    <t>404105LBLK-46B</t>
  </si>
  <si>
    <t>404105LBLK</t>
  </si>
  <si>
    <t>https://image.skechers.com/img/productimages/xlarge/404105L_CCBK_A.jpg</t>
  </si>
  <si>
    <t>404105LCCBK-46B</t>
  </si>
  <si>
    <t>404105LCCBK</t>
  </si>
  <si>
    <t>Charcoal Textile / Synthetic / Black &amp; Red Trim</t>
  </si>
  <si>
    <t>https://image.skechers.com/img/productimages/xlarge/404106L_BBLM_A.jpg</t>
  </si>
  <si>
    <t>404106LBBLM-J-46L</t>
  </si>
  <si>
    <t>404106L</t>
  </si>
  <si>
    <t>404106LBBLM-J</t>
  </si>
  <si>
    <t>Lightweight Lace Up Sneaker W/ Midsole Tech Piece</t>
  </si>
  <si>
    <t>Black Textile / Synthetic / Blue &amp; Lime Trim</t>
  </si>
  <si>
    <t>Lightweight
Skech-Air</t>
  </si>
  <si>
    <t>https://image.skechers.com/img/productimages/xlarge/404106L_BLK_A.jpg</t>
  </si>
  <si>
    <t>404106LBLK-J-46L</t>
  </si>
  <si>
    <t>404106LBLK-J</t>
  </si>
  <si>
    <t>https://image.skechers.com/img/productimages/xlarge/404106L_CCBK_A.jpg</t>
  </si>
  <si>
    <t>404106LCCBK-J-46L</t>
  </si>
  <si>
    <t>404106LCCBK-J</t>
  </si>
  <si>
    <t>https://image.skechers.com/img/productimages/xlarge/404115L_BBK_A.jpg</t>
  </si>
  <si>
    <t>404115LBBK-46B</t>
  </si>
  <si>
    <t>404115L</t>
  </si>
  <si>
    <t>404115LBBK</t>
  </si>
  <si>
    <t>Lightweight Gore &amp; Strap Sneaker  W/ Overlays &amp; Bottom Plate</t>
  </si>
  <si>
    <t>Black Synthetic / Black Textile / Black Trim</t>
  </si>
  <si>
    <t>Mesh and synthetic overlay upper
Fixed stretch laces and adjustable instep strap
Bottom plate
Flexible traction outsole
1 1/4-inch heel height
Machine washable
Skechers® logo detail</t>
  </si>
  <si>
    <t>https://image.skechers.com/img/productimages/xlarge/404115L_BKSR_A.jpg</t>
  </si>
  <si>
    <t>404115LBKSR-46B</t>
  </si>
  <si>
    <t>BKSR</t>
  </si>
  <si>
    <t>404115LBKSR</t>
  </si>
  <si>
    <t>Black &amp; Silver Synthetic / Black Textile / Red Trim</t>
  </si>
  <si>
    <t>https://image.skechers.com/img/productimages/xlarge/404115L_GYBL_A.jpg</t>
  </si>
  <si>
    <t>404115LGYBL-46B</t>
  </si>
  <si>
    <t>404115LGYBL</t>
  </si>
  <si>
    <t>Grey &amp; Charcoal Synthetic / Grey Textile / Blue &amp; Silver Trim</t>
  </si>
  <si>
    <t>https://image.skechers.com/img/productimages/xlarge/404125L_LMBL_A.jpg</t>
  </si>
  <si>
    <t>404125LLMBL-46B</t>
  </si>
  <si>
    <t>404125L</t>
  </si>
  <si>
    <t>LMBL</t>
  </si>
  <si>
    <t>404125LLMBL</t>
  </si>
  <si>
    <t>MICROSPEC VELOCITY</t>
  </si>
  <si>
    <t>Lime &amp; Blue Synthetic / Textile / Navy Trim</t>
  </si>
  <si>
    <t>Mesh and synthetic overlay upper
Fixed stretch laces and adjustable instep strap
Sculpted shock-absorbing midsole
Flexible traction outsole
1 1/4-inch heel height
Machine washable
Skechers® logo detail</t>
  </si>
  <si>
    <t>https://image.skechers.com/img/productimages/xlarge/404125L_NVSL_A.jpg</t>
  </si>
  <si>
    <t>404125LNVSL-46B</t>
  </si>
  <si>
    <t>NVSL</t>
  </si>
  <si>
    <t>404125LNVSL</t>
  </si>
  <si>
    <t>Navy &amp; Silver Synthetic / Textile / Black Trim</t>
  </si>
  <si>
    <t>https://image.skechers.com/img/productimages/xlarge/404125L_SLBK_A.jpg</t>
  </si>
  <si>
    <t>404125LSLBK-46B</t>
  </si>
  <si>
    <t>404125LSLBK</t>
  </si>
  <si>
    <t>Silver &amp; Black Synthetic / Textile / Trim</t>
  </si>
  <si>
    <t>https://image.skechers.com/img/productimages/xlarge/404162L_BKW_A.jpg</t>
  </si>
  <si>
    <t>404162LBKW-46B</t>
  </si>
  <si>
    <t>404162L</t>
  </si>
  <si>
    <t>404162LBKW</t>
  </si>
  <si>
    <t>GLIDE-STEP PLUS</t>
  </si>
  <si>
    <t>FLUX-BLAST</t>
  </si>
  <si>
    <t>Gore &amp; Strap Sneaker W/ Durable Rubber Bottom Plate</t>
  </si>
  <si>
    <t>Black Synthetic / Textile / White &amp; Blue Trim</t>
  </si>
  <si>
    <t>Adaptive Closure
Air-Cooled MF
Elite-Sport
Glide-Step
Machine Washable</t>
  </si>
  <si>
    <t>https://image.skechers.com/img/productimages/xlarge/404162L_NVBL_A.jpg</t>
  </si>
  <si>
    <t>404162LNVBL-46B</t>
  </si>
  <si>
    <t>404162LNVBL</t>
  </si>
  <si>
    <t>Yellow Synthetic / Textile / Blue &amp; Lime Trim</t>
  </si>
  <si>
    <t>https://image.skechers.com/img/productimages/xlarge/404162L_SLNV_A.jpg</t>
  </si>
  <si>
    <t>404162LSLNV-46B</t>
  </si>
  <si>
    <t>404162LSLNV</t>
  </si>
  <si>
    <t>Silver Synthetic / Navy Textile / Red Trim</t>
  </si>
  <si>
    <t>https://image.skechers.com/img/productimages/xlarge/404172L_BBK_A.jpg</t>
  </si>
  <si>
    <t>404172LBBK-46B</t>
  </si>
  <si>
    <t>404172L</t>
  </si>
  <si>
    <t>404172LBBK</t>
  </si>
  <si>
    <t>Lightweight Gore &amp; Strap Sneaker W/ Midsole Holes in the Heel</t>
  </si>
  <si>
    <t>Glide-Step
Lightweight
Machine Washable</t>
  </si>
  <si>
    <t>https://image.skechers.com/img/productimages/xlarge/404172L_BLK_A.jpg</t>
  </si>
  <si>
    <t>404172LBLK-46B</t>
  </si>
  <si>
    <t>404172LBLK</t>
  </si>
  <si>
    <t>Black Textile / Synthetic / White Trim</t>
  </si>
  <si>
    <t>https://image.skechers.com/img/productimages/xlarge/404172L_LTGY_A.jpg</t>
  </si>
  <si>
    <t>404172LLTGY-46B</t>
  </si>
  <si>
    <t>404172LLTGY</t>
  </si>
  <si>
    <t>Gray Textile / Synthetic / Silver Trim</t>
  </si>
  <si>
    <t>https://image.skechers.com/img/productimages/xlarge/404172L_NVW_A.jpg</t>
  </si>
  <si>
    <t>404172LNVW-46B</t>
  </si>
  <si>
    <t>404172LNVW</t>
  </si>
  <si>
    <t>Navy Textile / Synthetic / White Trim</t>
  </si>
  <si>
    <t>https://image.skechers.com/img/productimages/xlarge/404203L_BBK_A.jpg</t>
  </si>
  <si>
    <t>404203LBBK-46B</t>
  </si>
  <si>
    <t>404203L</t>
  </si>
  <si>
    <t>404203LBBK</t>
  </si>
  <si>
    <t>VISTA-LANE</t>
  </si>
  <si>
    <t>Slip-Ins Sneaker w/ Air-Cooled Memory Foam &amp; Durable Rubber Bottom Plate</t>
  </si>
  <si>
    <t>404203LBBK-J-46L</t>
  </si>
  <si>
    <t>404203LBBK-J</t>
  </si>
  <si>
    <t>https://image.skechers.com/img/productimages/xlarge/404203L_CCBK_A.jpg</t>
  </si>
  <si>
    <t>404203LCCBK-46B</t>
  </si>
  <si>
    <t>404203LCCBK</t>
  </si>
  <si>
    <t>Charcoal Synthetic / Textile / Black Trim</t>
  </si>
  <si>
    <t>Skechers Hands Free Slip-ins® for an easy fit
Heel Pillow® holds your foot securely in place
Skechers Elite Sport™ styles are made for play, with shock-absorbing foam midsoles and durable bottoms for enhanced grip
Skechers Air-Cooled Memory Foam® cushioned comfort insole
Glide-Step® geometric midsole designed to provide natural momentum with every step</t>
  </si>
  <si>
    <t>Synthetic and mesh underlay upper with stretch laces
'S' quarter logo detail
Durable traction rubber outsole
1 1/2-inch heel height
Skechers® logo detail</t>
  </si>
  <si>
    <t>Air-Cooled MF
Durable Rubber Outsole
Elite-Sport
Glide-Step
Heel Pillow
Skechers Youth
Slip-Ins</t>
  </si>
  <si>
    <t>404203LCCBK-J-46L</t>
  </si>
  <si>
    <t>404203LCCBK-J</t>
  </si>
  <si>
    <t>https://image.skechers.com/img/productimages/xlarge/404203L_WBKR_A.jpg</t>
  </si>
  <si>
    <t>404203LWBKR-46B</t>
  </si>
  <si>
    <t>WBKR</t>
  </si>
  <si>
    <t>404203LWBKR</t>
  </si>
  <si>
    <t>White Synthetic / Textile / Black &amp; Red Trim</t>
  </si>
  <si>
    <t>404203LWBKR-J-46L</t>
  </si>
  <si>
    <t>404203LWBKR-J</t>
  </si>
  <si>
    <t>https://image.skechers.com/img/productimages/xlarge/404205L_BLK_A.jpg</t>
  </si>
  <si>
    <t>404205LBLK-46B</t>
  </si>
  <si>
    <t>404205L</t>
  </si>
  <si>
    <t>404205LBLK</t>
  </si>
  <si>
    <t>GO RUN ELEVATE 2.0</t>
  </si>
  <si>
    <t>Slip-Ins Sneaker W/ Air Cooled Memory Foam &amp; Find My Skechers Technology</t>
  </si>
  <si>
    <t>Black Textile / Synthetic / Blue &amp; Yellow Trim</t>
  </si>
  <si>
    <t>Air-Cooled MF
Durable Rubber Outsole
Heel Pillow
Skechers Youth
Slip-Ins
Where's My Skechers</t>
  </si>
  <si>
    <t>https://image.skechers.com/img/productimages/xlarge/404205L_CCBK_A.jpg</t>
  </si>
  <si>
    <t>404205LCCBK-46B</t>
  </si>
  <si>
    <t>404205LCCBK</t>
  </si>
  <si>
    <t>Charcoal Textile / Synthetic / Lime Trim</t>
  </si>
  <si>
    <t>https://image.skechers.com/img/productimages/xlarge/404205L_NVCC_A.jpg</t>
  </si>
  <si>
    <t>404205LNVCC-46B</t>
  </si>
  <si>
    <t>NVCC</t>
  </si>
  <si>
    <t>404205LNVCC</t>
  </si>
  <si>
    <t>Navy Textile / Synthetic / Charcoal, Red, &amp; Silver Trim</t>
  </si>
  <si>
    <t>https://image.skechers.com/img/productimages/xlarge/404205L_WBK_A.jpg</t>
  </si>
  <si>
    <t>404205LWBK-46B</t>
  </si>
  <si>
    <t>404205LWBK</t>
  </si>
  <si>
    <t>White Textile / Synthetic / Red, Blue &amp; Yellow Trim</t>
  </si>
  <si>
    <t>https://image.skechers.com/img/productimages/xlarge/404208L_BBK_A.jpg</t>
  </si>
  <si>
    <t>404208LBBK-46B</t>
  </si>
  <si>
    <t>404208L</t>
  </si>
  <si>
    <t>404208LBBK</t>
  </si>
  <si>
    <t>Lightweight Slip-Ins Sneaker W/ Air-Cooled Memory Foam</t>
  </si>
  <si>
    <t>Black Synthetic / Black Textile / Trim</t>
  </si>
  <si>
    <t>Adaptive Closure
Air-Cooled MF
Heel Pillow
Machine Washable
Slip-Ins</t>
  </si>
  <si>
    <t>https://image.skechers.com/img/productimages/xlarge/404208L_BLK_A.jpg</t>
  </si>
  <si>
    <t>404208LBLK-46B</t>
  </si>
  <si>
    <t>404208LBLK</t>
  </si>
  <si>
    <t>https://image.skechers.com/img/productimages/xlarge/404208L_CHAR_A.jpg</t>
  </si>
  <si>
    <t>404208LCHAR-46B</t>
  </si>
  <si>
    <t>404208LCHAR</t>
  </si>
  <si>
    <t>Charcoal Synthetic / Textile / Orange Trim</t>
  </si>
  <si>
    <t>https://image.skechers.com/img/productimages/xlarge/404208L_NVY_A.jpg</t>
  </si>
  <si>
    <t>404208LNVY-46B</t>
  </si>
  <si>
    <t>404208LNVY</t>
  </si>
  <si>
    <t>Navy Synthetic / Textile / Lime Trim</t>
  </si>
  <si>
    <t>https://image.skechers.com/img/productimages/xlarge/404208L_RED_A.jpg</t>
  </si>
  <si>
    <t>404208LRED-46B</t>
  </si>
  <si>
    <t>404208LRED</t>
  </si>
  <si>
    <t>Red Synthetic / Textile / Black Trim</t>
  </si>
  <si>
    <t>https://image.skechers.com/img/productimages/xlarge/404208N_BLK_A.jpg</t>
  </si>
  <si>
    <t>404208NBLK-47N</t>
  </si>
  <si>
    <t>404208N</t>
  </si>
  <si>
    <t>404208NBLK</t>
  </si>
  <si>
    <t>https://image.skechers.com/img/productimages/xlarge/404208N_CHAR_A.jpg</t>
  </si>
  <si>
    <t>404208NCHAR-47N</t>
  </si>
  <si>
    <t>404208NCHAR</t>
  </si>
  <si>
    <t>https://image.skechers.com/img/productimages/xlarge/404208N_NVY_A.jpg</t>
  </si>
  <si>
    <t>404208NNVY-47N</t>
  </si>
  <si>
    <t>404208NNVY</t>
  </si>
  <si>
    <t>Navy Synthetic / Textile  / Lime Trim</t>
  </si>
  <si>
    <t>https://image.skechers.com/img/productimages/xlarge/404220L_BBLM_A.jpg</t>
  </si>
  <si>
    <t>404220LBBLM-46B</t>
  </si>
  <si>
    <t>404220L</t>
  </si>
  <si>
    <t>404220LBBLM</t>
  </si>
  <si>
    <t>Slip-Ins Sneaker W/ Air-Cooled Memory Foam</t>
  </si>
  <si>
    <t>Black Synthetic / Textile / Blue &amp; Lime Trim</t>
  </si>
  <si>
    <t>https://image.skechers.com/img/productimages/xlarge/404220L_BKSL_A.jpg</t>
  </si>
  <si>
    <t>404220LBKSL-46B</t>
  </si>
  <si>
    <t>404220LBKSL</t>
  </si>
  <si>
    <t>Black Synthetic / Textile / Silver &amp; White Trim</t>
  </si>
  <si>
    <t>https://image.skechers.com/img/productimages/xlarge/404220L_CCOR_A.jpg</t>
  </si>
  <si>
    <t>404220LCCOR-46B</t>
  </si>
  <si>
    <t>CCOR</t>
  </si>
  <si>
    <t>404220LCCOR</t>
  </si>
  <si>
    <t>Charcoal Synthetic / Textile / Orange &amp; Black Trim</t>
  </si>
  <si>
    <t>https://image.skechers.com/img/productimages/xlarge/404800L_BBK_A.jpg</t>
  </si>
  <si>
    <t>404800LBBK-46B</t>
  </si>
  <si>
    <t>404800L</t>
  </si>
  <si>
    <t>404800LBBK</t>
  </si>
  <si>
    <t>Mesh upper with synthetic overlays
Stretch laces and adjustable instep strap
Durable rubber outsole
1 1/4-inch heel height
Skechers® logo detail</t>
  </si>
  <si>
    <t>Adaptive Closure
Durable Rubber Outsole
Machine Washable
Skechers Youth</t>
  </si>
  <si>
    <t>https://image.skechers.com/img/productimages/xlarge/404800L_BLK_A.jpg</t>
  </si>
  <si>
    <t>404800LBLK-46B</t>
  </si>
  <si>
    <t>404800LBLK</t>
  </si>
  <si>
    <t>https://image.skechers.com/img/productimages/xlarge/404800L_CHAR_A.jpg</t>
  </si>
  <si>
    <t>404800LCHAR-46B</t>
  </si>
  <si>
    <t>404800LCHAR</t>
  </si>
  <si>
    <t>https://image.skechers.com/img/productimages/xlarge/404800L_NVY_A.jpg</t>
  </si>
  <si>
    <t>404800LNVY-46B</t>
  </si>
  <si>
    <t>404800LNVY</t>
  </si>
  <si>
    <t>https://image.skechers.com/img/productimages/xlarge/404801L_BBK_A.jpg</t>
  </si>
  <si>
    <t>404801LBBK-J-46L</t>
  </si>
  <si>
    <t>404801L</t>
  </si>
  <si>
    <t>404801LBBK-J</t>
  </si>
  <si>
    <t>REKZE</t>
  </si>
  <si>
    <t>Lace Up Sneaker W/ Durable Rubber Bottom Plate</t>
  </si>
  <si>
    <t>Cushioned comfort insole</t>
  </si>
  <si>
    <t>Mesh and synthetic overlay upper with a lace-up front
Durable rubber outsole
Bottom plate for enhanced durability
1 1/4-inch heel height
Machine washable
Skechers® logo detail</t>
  </si>
  <si>
    <t>Durable Rubber Outsole
Machine Washable
Skechers Youth</t>
  </si>
  <si>
    <t>https://image.skechers.com/img/productimages/xlarge/404801L_BLK_A.jpg</t>
  </si>
  <si>
    <t>404801LBLK-J-46L</t>
  </si>
  <si>
    <t>404801LBLK-J</t>
  </si>
  <si>
    <t>Black Textile / Synthetic / White &amp; Silver Trim</t>
  </si>
  <si>
    <t>https://image.skechers.com/img/productimages/xlarge/404801L_CHAR_A.jpg</t>
  </si>
  <si>
    <t>404801LCHAR-J-46L</t>
  </si>
  <si>
    <t>404801LCHAR-J</t>
  </si>
  <si>
    <t>https://image.skechers.com/img/productimages/xlarge/404801L_NVY_A.jpg</t>
  </si>
  <si>
    <t>404801LNVY-J-46L</t>
  </si>
  <si>
    <t>404801LNVY-J</t>
  </si>
  <si>
    <t>https://image.skechers.com/img/productimages/xlarge/404900L_BBK_A.jpg</t>
  </si>
  <si>
    <t>404900LBBK-46B</t>
  </si>
  <si>
    <t>404900L</t>
  </si>
  <si>
    <t>404900LBBK</t>
  </si>
  <si>
    <t>STUDY BUDDIEZ</t>
  </si>
  <si>
    <t>https://image.skechers.com/img/productimages/xlarge/405046L_BKCC_A.jpg</t>
  </si>
  <si>
    <t>405046LBKCC-J-46G</t>
  </si>
  <si>
    <t>405046L</t>
  </si>
  <si>
    <t>405046LBKCC-J</t>
  </si>
  <si>
    <t>MILE MARKER</t>
  </si>
  <si>
    <t>Lace Up Sneaker W/ Engineered Mesh Upper</t>
  </si>
  <si>
    <t>Black Textile / Black Synthetic / Charcoal &amp; Red Trim</t>
  </si>
  <si>
    <t>Skechers Air-Cooled Goga Mat™ breathable insole with high-rebound cushioning</t>
  </si>
  <si>
    <t>Lace-up engineered mesh upper
Flexible traction outsole
Machine washable
Skechers GO RUN® logo detail</t>
  </si>
  <si>
    <t>Air Cooled Goga Mat
Machine Washable</t>
  </si>
  <si>
    <t>https://image.skechers.com/img/productimages/xlarge/405046L_GRY_A.jpg</t>
  </si>
  <si>
    <t>405046LGRY-J-46G</t>
  </si>
  <si>
    <t>405046LGRY-J</t>
  </si>
  <si>
    <t>Gray Textile / Gray Synthetic / Red Trim</t>
  </si>
  <si>
    <t>https://image.skechers.com/img/productimages/xlarge/405084L_BBK_A.jpg</t>
  </si>
  <si>
    <t>405084LBBK-46B</t>
  </si>
  <si>
    <t>405084L</t>
  </si>
  <si>
    <t>405084LBBK</t>
  </si>
  <si>
    <t>QUANTA-STRIDE</t>
  </si>
  <si>
    <t>https://image.skechers.com/img/productimages/xlarge/405084L_BLK_A.jpg</t>
  </si>
  <si>
    <t>405084LBLK-46B</t>
  </si>
  <si>
    <t>405084LBLK</t>
  </si>
  <si>
    <t>https://image.skechers.com/img/productimages/xlarge/405084L_BLU_A.jpg</t>
  </si>
  <si>
    <t>405084LBLU-46B</t>
  </si>
  <si>
    <t>405084LBLU</t>
  </si>
  <si>
    <t>https://image.skechers.com/img/productimages/xlarge/405084L_GRY_A.jpg</t>
  </si>
  <si>
    <t>405084LGRY-46B</t>
  </si>
  <si>
    <t>405084LGRY</t>
  </si>
  <si>
    <t>Gray Synthetic / Textile / Yellow Trim</t>
  </si>
  <si>
    <t>https://image.skechers.com/img/productimages/xlarge/405084L_RED_A.jpg</t>
  </si>
  <si>
    <t>405084LRED-46B</t>
  </si>
  <si>
    <t>405084LRED</t>
  </si>
  <si>
    <t>Red Synthetic / Textile / Blue Trim</t>
  </si>
  <si>
    <t>https://image.skechers.com/img/productimages/xlarge/405085N_BLK_A.jpg</t>
  </si>
  <si>
    <t>405085NBLK-47N</t>
  </si>
  <si>
    <t>405085N</t>
  </si>
  <si>
    <t>405085NBLK</t>
  </si>
  <si>
    <t>LIL QUANTA-STRIDE</t>
  </si>
  <si>
    <t>Adaptive Closure
Lightweight</t>
  </si>
  <si>
    <t>https://image.skechers.com/img/productimages/xlarge/405085N_BLU_A.jpg</t>
  </si>
  <si>
    <t>405085NBLU-47N</t>
  </si>
  <si>
    <t>405085NBLU</t>
  </si>
  <si>
    <t>https://image.skechers.com/img/productimages/xlarge/405085N_GRY_A.jpg</t>
  </si>
  <si>
    <t>405085NGRY-47N</t>
  </si>
  <si>
    <t>405085NGRY</t>
  </si>
  <si>
    <t>https://image.skechers.com/img/productimages/xlarge/405085N_RED_A.jpg</t>
  </si>
  <si>
    <t>405085NRED-47N</t>
  </si>
  <si>
    <t>405085NRED</t>
  </si>
  <si>
    <t>https://image.skechers.com/img/productimages/xlarge/405086L_BBK_A.jpg</t>
  </si>
  <si>
    <t>405086LBBK-46B</t>
  </si>
  <si>
    <t>405086L</t>
  </si>
  <si>
    <t>405086LBBK</t>
  </si>
  <si>
    <t>TECHNIX-STUDIER</t>
  </si>
  <si>
    <t>Lightweight Gore &amp; Strap Sneaker W/ Overlay Details</t>
  </si>
  <si>
    <t>Black Synthetic / Black Trim</t>
  </si>
  <si>
    <t>https://image.skechers.com/img/productimages/xlarge/405086L_WHT_A.jpg</t>
  </si>
  <si>
    <t>405086LWHT-46B</t>
  </si>
  <si>
    <t>405086LWHT</t>
  </si>
  <si>
    <t>White Synthetic / White Trim</t>
  </si>
  <si>
    <t>https://image.skechers.com/img/productimages/xlarge/405087L_BBK_A.jpg</t>
  </si>
  <si>
    <t>405087LBBK-J-46L</t>
  </si>
  <si>
    <t>405087L</t>
  </si>
  <si>
    <t>405087LBBK-J</t>
  </si>
  <si>
    <t>TECHNIX-DASHER</t>
  </si>
  <si>
    <t>Lightweight Lace Up Sneaker W/ Overlay Details</t>
  </si>
  <si>
    <t>https://image.skechers.com/img/productimages/xlarge/405089L_BBK_A.jpg</t>
  </si>
  <si>
    <t>405089LBBK-J-46L</t>
  </si>
  <si>
    <t>405089L</t>
  </si>
  <si>
    <t>405089LBBK-J</t>
  </si>
  <si>
    <t>TECHNIX-PACER</t>
  </si>
  <si>
    <t>Color blocked mesh and synthetic overlay upper
Lightweight low-top with lace-up front
Flexible traction outsole
1-inch heel height
Skechers® logo detail</t>
  </si>
  <si>
    <t>Lightweight</t>
  </si>
  <si>
    <t>https://image.skechers.com/img/productimages/xlarge/405089L_GYBK_A.jpg</t>
  </si>
  <si>
    <t>405089LGYBK-J-46L</t>
  </si>
  <si>
    <t>405089LGYBK-J</t>
  </si>
  <si>
    <t>Grey &amp; Black Synthetic / Textile / Lime &amp; Blue Trim</t>
  </si>
  <si>
    <t>https://image.skechers.com/img/productimages/xlarge/405090L_BBK_A.jpg</t>
  </si>
  <si>
    <t>405090LBBK-46B</t>
  </si>
  <si>
    <t>405090L</t>
  </si>
  <si>
    <t>405090LBBK</t>
  </si>
  <si>
    <t>TECHNIX</t>
  </si>
  <si>
    <t>Lightweight Gore &amp; Strap Sneaker W/ Overlay Upper Details</t>
  </si>
  <si>
    <t>Color blocked mesh and synthetic overlay upper
Lightweight low-top with fixed stretch laces and adjustable instep strap
Flexible traction outsole
1-inch heel height
Skechers® logo detail</t>
  </si>
  <si>
    <t>https://image.skechers.com/img/productimages/xlarge/405090L_BLNV_A.jpg</t>
  </si>
  <si>
    <t>405090LBLNV-46B</t>
  </si>
  <si>
    <t>BLNV</t>
  </si>
  <si>
    <t>405090LBLNV</t>
  </si>
  <si>
    <t>Blue &amp; Navy Synthetic / Textile / Red Trim</t>
  </si>
  <si>
    <t>https://image.skechers.com/img/productimages/xlarge/405090L_GYBK_A.jpg</t>
  </si>
  <si>
    <t>405090LGYBK-46B</t>
  </si>
  <si>
    <t>405090LGYBK</t>
  </si>
  <si>
    <t>https://image.skechers.com/img/productimages/xlarge/405092L_BKLM_A.jpg</t>
  </si>
  <si>
    <t>405092LBKLM-46B</t>
  </si>
  <si>
    <t>405092L</t>
  </si>
  <si>
    <t>405092LBKLM</t>
  </si>
  <si>
    <t>TUFF-STRIDE</t>
  </si>
  <si>
    <t>Lightweight Gore &amp; Strap Sneaker  W/ Tuff Tech Toe &amp; Upper</t>
  </si>
  <si>
    <t>Black Synthetic / Textile / Lime Trim</t>
  </si>
  <si>
    <t>Adaptive Closure
Tuff-Tech</t>
  </si>
  <si>
    <t>https://image.skechers.com/img/productimages/xlarge/405092L_NVOR_A.jpg</t>
  </si>
  <si>
    <t>405092LNVOR-46B</t>
  </si>
  <si>
    <t>405092LNVOR</t>
  </si>
  <si>
    <t>https://image.skechers.com/img/productimages/xlarge/405104L_BKRD_A.jpg</t>
  </si>
  <si>
    <t>405104LBKRD-46B</t>
  </si>
  <si>
    <t>405104L</t>
  </si>
  <si>
    <t>405104LBKRD</t>
  </si>
  <si>
    <t>WATIX</t>
  </si>
  <si>
    <t>Gore &amp; Strap Sneaker W/ 3d Print</t>
  </si>
  <si>
    <t>Charcoal Synthetic / Red &amp; Black Trim</t>
  </si>
  <si>
    <t>Mesh and synthetic 3-D printed upper with stretch laces and an instep strap
Athletic training design ideal for gym class and sports
Lightweight flexible midsole and traction outsole
Machine washable
Skechers® logo detail</t>
  </si>
  <si>
    <t>Air Cooled Goga Mat
Lightweight
Machine Washable</t>
  </si>
  <si>
    <t>BOYS GO</t>
  </si>
  <si>
    <t>https://image.skechers.com/img/productimages/xlarge/405104L_BKSL_A.jpg</t>
  </si>
  <si>
    <t>405104LBKSL-46B</t>
  </si>
  <si>
    <t>405104LBKSL</t>
  </si>
  <si>
    <t>https://image.skechers.com/img/productimages/xlarge/405104L_LVBL_A.jpg</t>
  </si>
  <si>
    <t>405104LLVBL-46B</t>
  </si>
  <si>
    <t>LVBL</t>
  </si>
  <si>
    <t>405104LLVBL</t>
  </si>
  <si>
    <t>https://image.skechers.com/img/productimages/xlarge/405104L_NVBL_A.jpg</t>
  </si>
  <si>
    <t>405104LNVBL-46B</t>
  </si>
  <si>
    <t>405104LNVBL</t>
  </si>
  <si>
    <t>Blue Synthetic / Navy Textile / Yellow Trim</t>
  </si>
  <si>
    <t>https://image.skechers.com/img/productimages/xlarge/405145L_BKLM_A.jpg</t>
  </si>
  <si>
    <t>405145LBKLM-46B</t>
  </si>
  <si>
    <t>405145L</t>
  </si>
  <si>
    <t>405145LBKLM</t>
  </si>
  <si>
    <t>Lightweight Gore &amp; Strap Sneaker w/ Air Cooled Goga Mat</t>
  </si>
  <si>
    <t>Mesh and synthetic upper
Stretch laces and adjustable instep strap
Flexible traction outsole
1 1/2-inch heel height
Skechers® logo detail</t>
  </si>
  <si>
    <t>Adaptive Closure
Air Cooled Goga Mat
Lightweight
Skechers Youth</t>
  </si>
  <si>
    <t>https://image.skechers.com/img/productimages/xlarge/405145L_BLOR_A.jpg</t>
  </si>
  <si>
    <t>405145LBLOR-46B</t>
  </si>
  <si>
    <t>405145LBLOR</t>
  </si>
  <si>
    <t>Blue Textile / Synthetic / Orange Trim</t>
  </si>
  <si>
    <t>https://image.skechers.com/img/productimages/xlarge/405145L_NVYL_A.jpg</t>
  </si>
  <si>
    <t>405145LNVYL-46B</t>
  </si>
  <si>
    <t>405145LNVYL</t>
  </si>
  <si>
    <t>Navy Textile / Synthetic / Yellow &amp; Black Trim</t>
  </si>
  <si>
    <t>https://image.skechers.com/img/productimages/xlarge/405375L_BBK_A.jpg</t>
  </si>
  <si>
    <t>405375LBBK-J-46G</t>
  </si>
  <si>
    <t>405375L</t>
  </si>
  <si>
    <t>405375LBBK-J</t>
  </si>
  <si>
    <t>SKECHERS ELITE SPORT</t>
  </si>
  <si>
    <t>Lace Up Sneaker w/ Emboss Upper Details</t>
  </si>
  <si>
    <t>Air-Cooled MF
Back to School
Durable Rubber Outsole
Elite-Sport
Machine Washable</t>
  </si>
  <si>
    <t>https://image.skechers.com/img/productimages/xlarge/405627L_BBK_A.jpg</t>
  </si>
  <si>
    <t>405627LBBK-J-46L</t>
  </si>
  <si>
    <t>405627L</t>
  </si>
  <si>
    <t>405627LBBK-J</t>
  </si>
  <si>
    <t>Lace Up Lightweight Sneaker</t>
  </si>
  <si>
    <t>Clean smooth single-color design ideal for school uniform wear
Cushioned comfort insole</t>
  </si>
  <si>
    <t>Lace-up synthetic upper
Lightweight ribbed midsole
Flexible traction outsole
1 1/4-inch heel height
Machine washable
Skechers® logo detail</t>
  </si>
  <si>
    <t>UNISEX KIDS RECYCLED BOX</t>
  </si>
  <si>
    <t>https://image.skechers.com/img/productimages/xlarge/405638L_B_A.jpg</t>
  </si>
  <si>
    <t>405638LB-46B</t>
  </si>
  <si>
    <t>405638L</t>
  </si>
  <si>
    <t>405638LB</t>
  </si>
  <si>
    <t>Gore &amp; Strap Sneaker W/ Qtr Perfs</t>
  </si>
  <si>
    <t>Smooth duraleather upper with quarter perforations
Court style low-top with stretch-laces and adjustable instep strap
3/4-inch heel height
Machine washable
Skechers® logo detail</t>
  </si>
  <si>
    <t>https://image.skechers.com/img/productimages/xlarge/405638L_BBK_A.jpg</t>
  </si>
  <si>
    <t>405638LBBK-46B</t>
  </si>
  <si>
    <t>405638LBBK</t>
  </si>
  <si>
    <t>https://image.skechers.com/img/productimages/xlarge/405638L_LGW_A.jpg</t>
  </si>
  <si>
    <t>405638LLGW-46B</t>
  </si>
  <si>
    <t>LGW</t>
  </si>
  <si>
    <t>405638LLGW</t>
  </si>
  <si>
    <t>Light Gray Synthetic/ White Trim</t>
  </si>
  <si>
    <t>https://image.skechers.com/img/productimages/xlarge/405638L_SAGE_A.jpg</t>
  </si>
  <si>
    <t>405638LSAGE-46B</t>
  </si>
  <si>
    <t>405638LSAGE</t>
  </si>
  <si>
    <t>Sage Synthetic/ White Trim</t>
  </si>
  <si>
    <t>https://image.skechers.com/img/productimages/xlarge/405638L_WHT_A.jpg</t>
  </si>
  <si>
    <t>405638LWHT-46B</t>
  </si>
  <si>
    <t>405638LWHT</t>
  </si>
  <si>
    <t>https://image.skechers.com/img/productimages/xlarge/405638N_B_A.jpg</t>
  </si>
  <si>
    <t>405638NB-47N</t>
  </si>
  <si>
    <t>405638N</t>
  </si>
  <si>
    <t>405638NB</t>
  </si>
  <si>
    <t>Low Top Gore &amp; Strap Sneaker W/ Qtr Perfs</t>
  </si>
  <si>
    <t>Smooth duraleather upper with quarter perforations
Court style low-top with stretch laces and adjustable instep strap
3/4-inch heel height
Machine washable
Skechers® logo detail</t>
  </si>
  <si>
    <t>https://image.skechers.com/img/productimages/xlarge/405638N_SAGE_A.jpg</t>
  </si>
  <si>
    <t>405638NSAGE-47N</t>
  </si>
  <si>
    <t>405638NSAGE</t>
  </si>
  <si>
    <t>https://image.skechers.com/img/productimages/xlarge/405638N_WHT_A.jpg</t>
  </si>
  <si>
    <t>405638NWHT-47N</t>
  </si>
  <si>
    <t>405638NWHT</t>
  </si>
  <si>
    <t>https://image.skechers.com/img/productimages/xlarge/405639L_B_A.jpg</t>
  </si>
  <si>
    <t>405639LB-J-46L</t>
  </si>
  <si>
    <t>405639L</t>
  </si>
  <si>
    <t>405639LB-J</t>
  </si>
  <si>
    <t>VORTON</t>
  </si>
  <si>
    <t>Lace Sneaker W/ Qtr Perfs</t>
  </si>
  <si>
    <t>Smooth duraleather upper with quarter perforations
Court style low-top with lace-up front
3/4-inch heel height
Machine washable
Skechers® logo detail</t>
  </si>
  <si>
    <t>https://image.skechers.com/img/productimages/xlarge/405639L_WHT_A.jpg</t>
  </si>
  <si>
    <t>405639LWHT-J-46L</t>
  </si>
  <si>
    <t>405639LWHT-J</t>
  </si>
  <si>
    <t>https://image.skechers.com/img/productimages/xlarge/407625N_BKSL_A.jpg</t>
  </si>
  <si>
    <t>407625NBKSL-47N</t>
  </si>
  <si>
    <t>407625N</t>
  </si>
  <si>
    <t>407625NBKSL</t>
  </si>
  <si>
    <t>PLAY SCENE</t>
  </si>
  <si>
    <t>POWER SCOUTS</t>
  </si>
  <si>
    <t>Slip-Ins Sneaker W/ Thematic Sidewall</t>
  </si>
  <si>
    <t>Black &amp; Silver Synthetic/ Textile/ Multi Trim</t>
  </si>
  <si>
    <t>Adaptive Closure
Air-Cooled MF
Slip-Ins
Thematic</t>
  </si>
  <si>
    <t>https://image.skechers.com/img/productimages/xlarge/417004L_BBK_A.jpg</t>
  </si>
  <si>
    <t>417004LBBK-J-46G</t>
  </si>
  <si>
    <t>417004L</t>
  </si>
  <si>
    <t>417004LBBK-J</t>
  </si>
  <si>
    <t>CLASS EDGE</t>
  </si>
  <si>
    <t>Monochromatic Lace Up Sneaker W/ Overlays</t>
  </si>
  <si>
    <t>Monochromatic synthetic overlay upper with lace-up front
Flexible traction outsole
1 1/2-inch heel height
Skechers ® logo detail</t>
  </si>
  <si>
    <t>https://image.skechers.com/img/productimages/xlarge/417004L_GRY_A.jpg</t>
  </si>
  <si>
    <t>417004LGRY-J-46G</t>
  </si>
  <si>
    <t>417004LGRY-J</t>
  </si>
  <si>
    <t>Gray Synthetic</t>
  </si>
  <si>
    <t>https://image.skechers.com/img/productimages/xlarge/417016L_BKW_A.jpg</t>
  </si>
  <si>
    <t>417016LBKW-46B</t>
  </si>
  <si>
    <t>417016L</t>
  </si>
  <si>
    <t>417016LBKW</t>
  </si>
  <si>
    <t>PILLAR DUO</t>
  </si>
  <si>
    <t>Smooth faux leather upper with quarter perforations
Stretch laces and an adjustable instep strap
Shock-absorbing midsole with cutout detail
Flexible traction outsole
1 1/2-inch heel height
Machine washable
Skechers® logo detail</t>
  </si>
  <si>
    <t>https://image.skechers.com/img/productimages/xlarge/417016L_LTGY_A.jpg</t>
  </si>
  <si>
    <t>417016LLTGY-46B</t>
  </si>
  <si>
    <t>417016LLTGY</t>
  </si>
  <si>
    <t>Light Gray Synthetic/ Gray Trim</t>
  </si>
  <si>
    <t>https://image.skechers.com/img/productimages/xlarge/417132L_BKW_A.jpg</t>
  </si>
  <si>
    <t>417132LBKW-46B</t>
  </si>
  <si>
    <t>417132L</t>
  </si>
  <si>
    <t>417132LBKW</t>
  </si>
  <si>
    <t>REVIVAL-EDGE</t>
  </si>
  <si>
    <t>Gore &amp; Strap Sneaker W/ Shield S Logo</t>
  </si>
  <si>
    <t>Black &amp; White Synthetic/ Gray Trim</t>
  </si>
  <si>
    <t>Adaptive Closure
Air-Cooled MF
Lightweight</t>
  </si>
  <si>
    <t>https://image.skechers.com/img/productimages/xlarge/417132L_GYLM_A.jpg</t>
  </si>
  <si>
    <t>417132LGYLM-46B</t>
  </si>
  <si>
    <t>417132LGYLM</t>
  </si>
  <si>
    <t>Light Gray Synthetic/ Lime Trim</t>
  </si>
  <si>
    <t>https://image.skechers.com/img/productimages/xlarge/417132L_OFWT_A.jpg</t>
  </si>
  <si>
    <t>417132LOFWT-46B</t>
  </si>
  <si>
    <t>417132LOFWT</t>
  </si>
  <si>
    <t>Off White Synthetic/ Sage Trim</t>
  </si>
  <si>
    <t>https://image.skechers.com/img/productimages/xlarge/417132L_WBL_A.jpg</t>
  </si>
  <si>
    <t>417132LWBL-46B</t>
  </si>
  <si>
    <t>417132LWBL</t>
  </si>
  <si>
    <t>White Synthetic/ Blue Trim</t>
  </si>
  <si>
    <t>https://image.skechers.com/img/productimages/xlarge/417132L_WBRD_A.jpg</t>
  </si>
  <si>
    <t>417132LWBRD-46B</t>
  </si>
  <si>
    <t>WBRD</t>
  </si>
  <si>
    <t>417132LWBRD</t>
  </si>
  <si>
    <t>White Synthetic/ Black &amp; Red Trim</t>
  </si>
  <si>
    <t>https://image.skechers.com/img/productimages/xlarge/418006L_BKW_A.jpg</t>
  </si>
  <si>
    <t>418006LBKW-46B</t>
  </si>
  <si>
    <t>418006L</t>
  </si>
  <si>
    <t>418006LBKW</t>
  </si>
  <si>
    <t>VARSITY TEAM</t>
  </si>
  <si>
    <t>Gore &amp; Strap T-Toe Sneaker W/ Swan S</t>
  </si>
  <si>
    <t>Black Synthetic/ White Leather/ White Trim</t>
  </si>
  <si>
    <t>Adaptive Closure
Durable Rubber Outsole
Skechers Youth</t>
  </si>
  <si>
    <t>https://image.skechers.com/img/productimages/xlarge/418006L_WBK_A.jpg</t>
  </si>
  <si>
    <t>418006LWBK-46B</t>
  </si>
  <si>
    <t>418006LWBK</t>
  </si>
  <si>
    <t>White Synthetic/ Black Leather/ Black Trim</t>
  </si>
  <si>
    <t>https://image.skechers.com/img/productimages/xlarge/418032L_BKW_A.jpg</t>
  </si>
  <si>
    <t>418032LBKW-46B</t>
  </si>
  <si>
    <t>418032L</t>
  </si>
  <si>
    <t>418032LBKW</t>
  </si>
  <si>
    <t>QUICK STREET LITE</t>
  </si>
  <si>
    <t>Lightweight Gore &amp; Strap Sneaker W/ QTR Perfs</t>
  </si>
  <si>
    <t>Black Synthetic/ White Trim</t>
  </si>
  <si>
    <t>https://image.skechers.com/img/productimages/xlarge/418032L_NVY_A.jpg</t>
  </si>
  <si>
    <t>418032LNVY-46B</t>
  </si>
  <si>
    <t>418032LNVY</t>
  </si>
  <si>
    <t>Navy Synthetic/ Black Trim</t>
  </si>
  <si>
    <t>https://image.skechers.com/img/productimages/xlarge/418032L_WHT_A.jpg</t>
  </si>
  <si>
    <t>418032LWHT-46B</t>
  </si>
  <si>
    <t>418032LWHT</t>
  </si>
  <si>
    <t>White Synthetic/ Gray Trim</t>
  </si>
  <si>
    <t>https://image.skechers.com/img/productimages/xlarge/418070L_BBK_A.jpg</t>
  </si>
  <si>
    <t>418070LBBK-46B</t>
  </si>
  <si>
    <t>418070L</t>
  </si>
  <si>
    <t>418070LBBK</t>
  </si>
  <si>
    <t>COURT TECH</t>
  </si>
  <si>
    <t>Gore &amp; Strap Sneaker W/ Midsole Air Tech Piece &amp; Stacked Overlays</t>
  </si>
  <si>
    <t>https://image.skechers.com/img/productimages/xlarge/52458_LTGY_A.jpg</t>
  </si>
  <si>
    <t>52458LTGY-43R</t>
  </si>
  <si>
    <t>52458LTGY</t>
  </si>
  <si>
    <t>STAND ON AIR</t>
  </si>
  <si>
    <t>Durabuck Lace Up Fashion Sneaker</t>
  </si>
  <si>
    <t>Light Grey Durabuck / Mesh</t>
  </si>
  <si>
    <t>Smooth synthetic 'durabuck' perforated upper
Classic lace-up fashion sneaker design
Flexible traction outsole
1 1/2 inch heel height
Skechers® logo detail</t>
  </si>
  <si>
    <t>https://image.skechers.com/img/productimages/xlarge/52458_NVY_A.jpg</t>
  </si>
  <si>
    <t>52458NVY-43R</t>
  </si>
  <si>
    <t>52458NVY</t>
  </si>
  <si>
    <t>Navy Durabuck/Trim</t>
  </si>
  <si>
    <t>https://image.skechers.com/img/productimages/xlarge/52458_OLV_A.jpg</t>
  </si>
  <si>
    <t>52458OLV-43R</t>
  </si>
  <si>
    <t>52458OLV</t>
  </si>
  <si>
    <t>Olive Durabuck/Trim</t>
  </si>
  <si>
    <t>https://image.skechers.com/img/productimages/xlarge/52458_TAN_A.jpg</t>
  </si>
  <si>
    <t>52458TAN-43R</t>
  </si>
  <si>
    <t>52458TAN</t>
  </si>
  <si>
    <t>Tan Durabuck/Trim</t>
  </si>
  <si>
    <t>https://image.skechers.com/img/productimages/xlarge/52458_W_A.jpg</t>
  </si>
  <si>
    <t>52458W-43R</t>
  </si>
  <si>
    <t>52458W</t>
  </si>
  <si>
    <t>White Durabuck / Mesh</t>
  </si>
  <si>
    <t>https://image.skechers.com/img/productimages/xlarge/52458W_BBK_A.jpg</t>
  </si>
  <si>
    <t>52458WBBK-43R</t>
  </si>
  <si>
    <t>52458WBBK</t>
  </si>
  <si>
    <t>Black Durabuck/Trim</t>
  </si>
  <si>
    <t>https://image.skechers.com/img/productimages/xlarge/52458W_BLK_A.jpg</t>
  </si>
  <si>
    <t>52458WBLK-43R</t>
  </si>
  <si>
    <t>52458WBLK</t>
  </si>
  <si>
    <t>https://image.skechers.com/img/productimages/xlarge/52458_WHT_A.jpg</t>
  </si>
  <si>
    <t>52458WHT-43R</t>
  </si>
  <si>
    <t>52458WHT</t>
  </si>
  <si>
    <t>White Durabuck/Trim</t>
  </si>
  <si>
    <t>https://image.skechers.com/img/productimages/xlarge/52458W_LGBK_A.jpg</t>
  </si>
  <si>
    <t>52458WLGBK-43R</t>
  </si>
  <si>
    <t>52458WLGBK</t>
  </si>
  <si>
    <t>Light Gray Durabuck/Black Trim</t>
  </si>
  <si>
    <t>https://image.skechers.com/img/productimages/xlarge/73690_BLK_A.jpg</t>
  </si>
  <si>
    <t>73690BLK-45E</t>
  </si>
  <si>
    <t>73690BLK</t>
  </si>
  <si>
    <t>Black Durabuck/ Mesh</t>
  </si>
  <si>
    <t>Wedge fit with hidden 1-inch heel
Smooth synthetic 'durabuck' perforated upper
Flexible rubber traction outsole
1 1/2-inch heel
Skechers® logo detail</t>
  </si>
  <si>
    <t>https://image.skechers.com/img/productimages/xlarge/73690_BRN_A.jpg</t>
  </si>
  <si>
    <t>73690BRN-45E</t>
  </si>
  <si>
    <t>73690BRN</t>
  </si>
  <si>
    <t>Brown Duraleather/ Mesh</t>
  </si>
  <si>
    <t>https://image.skechers.com/img/productimages/xlarge/73690_DKMV_A.jpg</t>
  </si>
  <si>
    <t>73690DKMV-45E</t>
  </si>
  <si>
    <t>DKMV</t>
  </si>
  <si>
    <t>73690DKMV</t>
  </si>
  <si>
    <t>Dk. Mauve Durabuck/Mesh</t>
  </si>
  <si>
    <t>https://image.skechers.com/img/productimages/xlarge/73690_DKNV_A.jpg</t>
  </si>
  <si>
    <t>73690DKNV-45E</t>
  </si>
  <si>
    <t>73690DKNV</t>
  </si>
  <si>
    <t>Dark Navy Durabuck/ Mesh</t>
  </si>
  <si>
    <t>https://image.skechers.com/img/productimages/xlarge/73690_GYBL_A.jpg</t>
  </si>
  <si>
    <t>73690GYBL-45E</t>
  </si>
  <si>
    <t>73690GYBL</t>
  </si>
  <si>
    <t>Gray Blue Durabuck/ Mesh</t>
  </si>
  <si>
    <t>https://image.skechers.com/img/productimages/xlarge/73690_OLV_A.jpg</t>
  </si>
  <si>
    <t>73690OLV-45E</t>
  </si>
  <si>
    <t>73690OLV</t>
  </si>
  <si>
    <t>Olive Durabuck/ Mesh</t>
  </si>
  <si>
    <t>https://image.skechers.com/img/productimages/xlarge/73690_OWHT_A.jpg</t>
  </si>
  <si>
    <t>73690OWHT-45E</t>
  </si>
  <si>
    <t>OWHT</t>
  </si>
  <si>
    <t>73690OWHT</t>
  </si>
  <si>
    <t>Off White Durabuck/ Mesh</t>
  </si>
  <si>
    <t>https://image.skechers.com/img/productimages/xlarge/73690_RDS_A.jpg</t>
  </si>
  <si>
    <t>73690RDS-45E</t>
  </si>
  <si>
    <t>RDS</t>
  </si>
  <si>
    <t>73690RDS</t>
  </si>
  <si>
    <t>Red Durabuck/ Mesh/ Silver Trim</t>
  </si>
  <si>
    <t>https://image.skechers.com/img/productimages/xlarge/73690_SAGE_A.jpg</t>
  </si>
  <si>
    <t>73690SAGE-45E</t>
  </si>
  <si>
    <t>73690SAGE</t>
  </si>
  <si>
    <t>Sage Durabuck/ Mesh</t>
  </si>
  <si>
    <t>https://image.skechers.com/img/productimages/xlarge/73690_SAND_A.jpg</t>
  </si>
  <si>
    <t>73690SAND-45E</t>
  </si>
  <si>
    <t>SAND</t>
  </si>
  <si>
    <t>73690SAND</t>
  </si>
  <si>
    <t>https://image.skechers.com/img/productimages/xlarge/73690_W_A.jpg</t>
  </si>
  <si>
    <t>73690W-45E</t>
  </si>
  <si>
    <t>73690W</t>
  </si>
  <si>
    <t>White Durabuck/Mesh</t>
  </si>
  <si>
    <t>https://image.skechers.com/img/productimages/xlarge/73690W_B_A.jpg</t>
  </si>
  <si>
    <t>73690WB-45E</t>
  </si>
  <si>
    <t>73690WB</t>
  </si>
  <si>
    <t>https://image.skechers.com/img/productimages/xlarge/73690W_BBK_A.jpg</t>
  </si>
  <si>
    <t>73690WBBK-45E</t>
  </si>
  <si>
    <t>73690WBBK</t>
  </si>
  <si>
    <t>Wide Fit Durabuck Lace Up Sneaker</t>
  </si>
  <si>
    <t>Air-Cooled MF
Wide Fit
Skech-Air
Wedge Fit</t>
  </si>
  <si>
    <t>https://image.skechers.com/img/productimages/xlarge/73690_WHT_A.jpg</t>
  </si>
  <si>
    <t>73690WHT-45E</t>
  </si>
  <si>
    <t>73690WHT</t>
  </si>
  <si>
    <t>White Durabuck/ Mesh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</si>
</sst>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6" formatCode="_ * #,##0_ ;_ * \-#,##0_ ;_ * &quot;-&quot;??_ ;_ @_ "/>
  </numFmts>
  <fonts count="7">
    <font>
      <sz val="11"/>
      <color theme="1"/>
      <name val="Calibri"/>
      <charset val="134"/>
      <scheme val="minor"/>
    </font>
    <font>
      <b/>
      <sz val="11"/>
      <name val="Arial"/>
      <charset val="134"/>
    </font>
    <font>
      <u/>
      <sz val="11"/>
      <color rgb="FF800080"/>
      <name val="Calibri"/>
      <scheme val="minor"/>
    </font>
    <font>
      <b/>
      <sz val="11"/>
      <name val="Calibri"/>
      <charset val="134"/>
    </font>
    <font>
      <b/>
      <sz val="11"/>
      <color theme="1"/>
      <name val="Calibri"/>
      <charset val="134"/>
      <scheme val="minor"/>
    </font>
    <font>
      <u/>
      <sz val="11"/>
      <color rgb="FF0000FF"/>
      <name val="Calibri"/>
      <scheme val="minor"/>
    </font>
    <font>
      <sz val="11"/>
      <color theme="1"/>
      <name val="Calibri"/>
      <charset val="134"/>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164" fontId="6" fillId="0" borderId="0" applyFont="0" applyFill="0" applyBorder="0" applyAlignment="0" applyProtection="0"/>
    <xf numFmtId="0" fontId="5" fillId="0" borderId="0" applyNumberFormat="0" applyFill="0" applyBorder="0" applyAlignment="0" applyProtection="0">
      <alignment vertical="center"/>
    </xf>
  </cellStyleXfs>
  <cellXfs count="19">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2" xfId="0" applyFont="1" applyBorder="1" applyAlignment="1">
      <alignment horizontal="center" vertical="center"/>
    </xf>
    <xf numFmtId="0" fontId="2" fillId="0" borderId="1" xfId="2"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166" fontId="0" fillId="0" borderId="1" xfId="1" applyNumberFormat="1" applyFont="1"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left"/>
    </xf>
    <xf numFmtId="0" fontId="5" fillId="0" borderId="1" xfId="2" applyBorder="1" applyAlignment="1">
      <alignment horizontal="center" vertical="center" wrapText="1"/>
    </xf>
    <xf numFmtId="0" fontId="0" fillId="0" borderId="1" xfId="0" applyBorder="1"/>
    <xf numFmtId="0" fontId="0" fillId="3" borderId="1" xfId="0" applyFill="1" applyBorder="1" applyAlignment="1">
      <alignment horizontal="center" vertical="center" wrapText="1"/>
    </xf>
    <xf numFmtId="0" fontId="0" fillId="0" borderId="3" xfId="0" applyBorder="1" applyAlignment="1">
      <alignment horizontal="center" vertical="center" wrapText="1"/>
    </xf>
  </cellXfs>
  <cellStyles count="3">
    <cellStyle name="Comma" xfId="1" builtinId="3"/>
    <cellStyle name="Hyperlink" xfId="2" builtinId="8"/>
    <cellStyle name="Normal" xfId="0" builtinId="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1">
          <cell r="A1" t="str">
            <v>SKU</v>
          </cell>
          <cell r="B1" t="str">
            <v>Sum of Qty</v>
          </cell>
          <cell r="C1" t="str">
            <v>carton</v>
          </cell>
        </row>
        <row r="2">
          <cell r="A2" t="str">
            <v>104494BKW</v>
          </cell>
          <cell r="B2">
            <v>14</v>
          </cell>
          <cell r="C2">
            <v>1</v>
          </cell>
        </row>
        <row r="3">
          <cell r="A3" t="str">
            <v>104494NAT</v>
          </cell>
          <cell r="B3">
            <v>14</v>
          </cell>
          <cell r="C3">
            <v>1</v>
          </cell>
        </row>
        <row r="4">
          <cell r="A4" t="str">
            <v>117324WBBK</v>
          </cell>
          <cell r="B4">
            <v>28</v>
          </cell>
          <cell r="C4">
            <v>2</v>
          </cell>
        </row>
        <row r="5">
          <cell r="A5" t="str">
            <v>117497WTGD</v>
          </cell>
          <cell r="B5">
            <v>14</v>
          </cell>
          <cell r="C5">
            <v>1</v>
          </cell>
        </row>
        <row r="6">
          <cell r="A6" t="str">
            <v>117734BBK</v>
          </cell>
          <cell r="B6">
            <v>14</v>
          </cell>
          <cell r="C6">
            <v>1</v>
          </cell>
        </row>
        <row r="7">
          <cell r="A7" t="str">
            <v>117734OFWT</v>
          </cell>
          <cell r="B7">
            <v>14</v>
          </cell>
          <cell r="C7">
            <v>1</v>
          </cell>
        </row>
        <row r="8">
          <cell r="A8" t="str">
            <v>117743BLSH</v>
          </cell>
          <cell r="B8">
            <v>14</v>
          </cell>
          <cell r="C8">
            <v>1</v>
          </cell>
        </row>
        <row r="9">
          <cell r="A9" t="str">
            <v>117743OFWT</v>
          </cell>
          <cell r="B9">
            <v>14</v>
          </cell>
          <cell r="C9">
            <v>1</v>
          </cell>
        </row>
        <row r="10">
          <cell r="A10" t="str">
            <v>117759BBK</v>
          </cell>
          <cell r="B10">
            <v>14</v>
          </cell>
          <cell r="C10">
            <v>1</v>
          </cell>
        </row>
        <row r="11">
          <cell r="A11" t="str">
            <v>118312BLK</v>
          </cell>
          <cell r="B11">
            <v>14</v>
          </cell>
          <cell r="C11">
            <v>1</v>
          </cell>
        </row>
        <row r="12">
          <cell r="A12" t="str">
            <v>125144WLV</v>
          </cell>
          <cell r="B12">
            <v>14</v>
          </cell>
          <cell r="C12">
            <v>1</v>
          </cell>
        </row>
        <row r="13">
          <cell r="A13" t="str">
            <v>125346WBKPK</v>
          </cell>
          <cell r="B13">
            <v>14</v>
          </cell>
          <cell r="C13">
            <v>1</v>
          </cell>
        </row>
        <row r="14">
          <cell r="A14" t="str">
            <v>125346WNTPH</v>
          </cell>
          <cell r="B14">
            <v>14</v>
          </cell>
          <cell r="C14">
            <v>1</v>
          </cell>
        </row>
        <row r="15">
          <cell r="A15" t="str">
            <v>125662GLD</v>
          </cell>
          <cell r="B15">
            <v>14</v>
          </cell>
          <cell r="C15">
            <v>1</v>
          </cell>
        </row>
        <row r="16">
          <cell r="A16" t="str">
            <v>128650WLV</v>
          </cell>
          <cell r="B16">
            <v>14</v>
          </cell>
          <cell r="C16">
            <v>1</v>
          </cell>
        </row>
        <row r="17">
          <cell r="A17" t="str">
            <v>128651WWHT</v>
          </cell>
          <cell r="B17">
            <v>14</v>
          </cell>
          <cell r="C17">
            <v>1</v>
          </cell>
        </row>
        <row r="18">
          <cell r="A18" t="str">
            <v>129052TPE</v>
          </cell>
          <cell r="B18">
            <v>14</v>
          </cell>
          <cell r="C18">
            <v>1</v>
          </cell>
        </row>
        <row r="19">
          <cell r="A19" t="str">
            <v>129369GRY</v>
          </cell>
          <cell r="B19">
            <v>14</v>
          </cell>
          <cell r="C19">
            <v>1</v>
          </cell>
        </row>
        <row r="20">
          <cell r="A20" t="str">
            <v>150332PNK</v>
          </cell>
          <cell r="B20">
            <v>14</v>
          </cell>
          <cell r="C20">
            <v>1</v>
          </cell>
        </row>
        <row r="21">
          <cell r="A21" t="str">
            <v>150629BKRG</v>
          </cell>
          <cell r="B21">
            <v>14</v>
          </cell>
          <cell r="C21">
            <v>1</v>
          </cell>
        </row>
        <row r="22">
          <cell r="A22" t="str">
            <v>150629NTGD</v>
          </cell>
          <cell r="B22">
            <v>14</v>
          </cell>
          <cell r="C22">
            <v>1</v>
          </cell>
        </row>
        <row r="23">
          <cell r="A23" t="str">
            <v>150755BBK</v>
          </cell>
          <cell r="B23">
            <v>14</v>
          </cell>
          <cell r="C23">
            <v>1</v>
          </cell>
        </row>
        <row r="24">
          <cell r="A24" t="str">
            <v>150802BBK</v>
          </cell>
          <cell r="B24">
            <v>14</v>
          </cell>
          <cell r="C24">
            <v>1</v>
          </cell>
        </row>
        <row r="25">
          <cell r="A25" t="str">
            <v>177291BLK</v>
          </cell>
          <cell r="B25">
            <v>14</v>
          </cell>
          <cell r="C25">
            <v>1</v>
          </cell>
        </row>
        <row r="26">
          <cell r="A26" t="str">
            <v>177291WHT</v>
          </cell>
          <cell r="B26">
            <v>14</v>
          </cell>
          <cell r="C26">
            <v>1</v>
          </cell>
        </row>
        <row r="27">
          <cell r="A27" t="str">
            <v>180134OFWT</v>
          </cell>
          <cell r="B27">
            <v>14</v>
          </cell>
          <cell r="C27">
            <v>1</v>
          </cell>
        </row>
        <row r="28">
          <cell r="A28" t="str">
            <v>205227BBK</v>
          </cell>
          <cell r="B28">
            <v>14</v>
          </cell>
          <cell r="C28">
            <v>1</v>
          </cell>
        </row>
        <row r="29">
          <cell r="A29" t="str">
            <v>205227CHOC</v>
          </cell>
          <cell r="B29">
            <v>14</v>
          </cell>
          <cell r="C29">
            <v>1</v>
          </cell>
        </row>
        <row r="30">
          <cell r="A30" t="str">
            <v>210889BBK</v>
          </cell>
          <cell r="B30">
            <v>14</v>
          </cell>
          <cell r="C30">
            <v>1</v>
          </cell>
        </row>
        <row r="31">
          <cell r="A31" t="str">
            <v>210925BLK</v>
          </cell>
          <cell r="B31">
            <v>14</v>
          </cell>
          <cell r="C31">
            <v>1</v>
          </cell>
        </row>
        <row r="32">
          <cell r="A32" t="str">
            <v>210986BKGY</v>
          </cell>
          <cell r="B32">
            <v>14</v>
          </cell>
          <cell r="C32">
            <v>1</v>
          </cell>
        </row>
        <row r="33">
          <cell r="A33" t="str">
            <v>210986TPMT</v>
          </cell>
          <cell r="B33">
            <v>14</v>
          </cell>
          <cell r="C33">
            <v>1</v>
          </cell>
        </row>
        <row r="34">
          <cell r="A34" t="str">
            <v>210986WGY</v>
          </cell>
          <cell r="B34">
            <v>14</v>
          </cell>
          <cell r="C34">
            <v>1</v>
          </cell>
        </row>
        <row r="35">
          <cell r="A35" t="str">
            <v>211145BBK</v>
          </cell>
          <cell r="B35">
            <v>14</v>
          </cell>
          <cell r="C35">
            <v>1</v>
          </cell>
        </row>
        <row r="36">
          <cell r="A36" t="str">
            <v>211145TPE</v>
          </cell>
          <cell r="B36">
            <v>14</v>
          </cell>
          <cell r="C36">
            <v>1</v>
          </cell>
        </row>
        <row r="37">
          <cell r="A37" t="str">
            <v>211182BKGY</v>
          </cell>
          <cell r="B37">
            <v>14</v>
          </cell>
          <cell r="C37">
            <v>1</v>
          </cell>
        </row>
        <row r="38">
          <cell r="A38" t="str">
            <v>211182COC</v>
          </cell>
          <cell r="B38">
            <v>14</v>
          </cell>
          <cell r="C38">
            <v>1</v>
          </cell>
        </row>
        <row r="39">
          <cell r="A39" t="str">
            <v>211403TPBK</v>
          </cell>
          <cell r="B39">
            <v>14</v>
          </cell>
          <cell r="C39">
            <v>1</v>
          </cell>
        </row>
        <row r="40">
          <cell r="A40" t="str">
            <v>216789OFWT</v>
          </cell>
          <cell r="B40">
            <v>14</v>
          </cell>
          <cell r="C40">
            <v>1</v>
          </cell>
        </row>
        <row r="41">
          <cell r="A41" t="str">
            <v>220509TPE</v>
          </cell>
          <cell r="B41">
            <v>14</v>
          </cell>
          <cell r="C41">
            <v>1</v>
          </cell>
        </row>
        <row r="42">
          <cell r="A42" t="str">
            <v>220861WBK</v>
          </cell>
          <cell r="B42">
            <v>14</v>
          </cell>
          <cell r="C42">
            <v>1</v>
          </cell>
        </row>
        <row r="43">
          <cell r="A43" t="str">
            <v>220872GRY</v>
          </cell>
          <cell r="B43">
            <v>14</v>
          </cell>
          <cell r="C43">
            <v>1</v>
          </cell>
        </row>
        <row r="44">
          <cell r="A44" t="str">
            <v>220872TPE</v>
          </cell>
          <cell r="B44">
            <v>14</v>
          </cell>
          <cell r="C44">
            <v>1</v>
          </cell>
        </row>
        <row r="45">
          <cell r="A45" t="str">
            <v>221140WNV</v>
          </cell>
          <cell r="B45">
            <v>14</v>
          </cell>
          <cell r="C45">
            <v>1</v>
          </cell>
        </row>
        <row r="46">
          <cell r="A46" t="str">
            <v>232730WWWNV</v>
          </cell>
          <cell r="B46">
            <v>14</v>
          </cell>
          <cell r="C46">
            <v>1</v>
          </cell>
        </row>
        <row r="47">
          <cell r="A47" t="str">
            <v>232844GRY</v>
          </cell>
          <cell r="B47">
            <v>14</v>
          </cell>
          <cell r="C47">
            <v>1</v>
          </cell>
        </row>
        <row r="48">
          <cell r="A48" t="str">
            <v>233037BKCC</v>
          </cell>
          <cell r="B48">
            <v>14</v>
          </cell>
          <cell r="C48">
            <v>1</v>
          </cell>
        </row>
        <row r="49">
          <cell r="A49" t="str">
            <v>233076OLV</v>
          </cell>
          <cell r="B49">
            <v>14</v>
          </cell>
          <cell r="C49">
            <v>1</v>
          </cell>
        </row>
        <row r="50">
          <cell r="A50" t="str">
            <v>233201GYCC</v>
          </cell>
          <cell r="B50">
            <v>14</v>
          </cell>
          <cell r="C50">
            <v>1</v>
          </cell>
        </row>
        <row r="51">
          <cell r="A51" t="str">
            <v>233201NVY</v>
          </cell>
          <cell r="B51">
            <v>14</v>
          </cell>
          <cell r="C51">
            <v>1</v>
          </cell>
        </row>
        <row r="52">
          <cell r="A52" t="str">
            <v>233271BBK</v>
          </cell>
          <cell r="B52">
            <v>14</v>
          </cell>
          <cell r="C52">
            <v>1</v>
          </cell>
        </row>
        <row r="53">
          <cell r="A53" t="str">
            <v>233321WNV</v>
          </cell>
          <cell r="B53">
            <v>14</v>
          </cell>
          <cell r="C53">
            <v>1</v>
          </cell>
        </row>
        <row r="54">
          <cell r="A54" t="str">
            <v>237192GYBL</v>
          </cell>
          <cell r="B54">
            <v>14</v>
          </cell>
          <cell r="C54">
            <v>1</v>
          </cell>
        </row>
        <row r="55">
          <cell r="A55" t="str">
            <v>237415LTGY</v>
          </cell>
          <cell r="B55">
            <v>14</v>
          </cell>
          <cell r="C55">
            <v>1</v>
          </cell>
        </row>
        <row r="56">
          <cell r="A56" t="str">
            <v>237524BBK</v>
          </cell>
          <cell r="B56">
            <v>14</v>
          </cell>
          <cell r="C56">
            <v>1</v>
          </cell>
        </row>
        <row r="57">
          <cell r="A57" t="str">
            <v>237524BROR</v>
          </cell>
          <cell r="B57">
            <v>14</v>
          </cell>
          <cell r="C57">
            <v>1</v>
          </cell>
        </row>
        <row r="58">
          <cell r="A58" t="str">
            <v>237634WBBK</v>
          </cell>
          <cell r="B58">
            <v>14</v>
          </cell>
          <cell r="C58">
            <v>1</v>
          </cell>
        </row>
        <row r="59">
          <cell r="A59" t="str">
            <v>237634WTPE</v>
          </cell>
          <cell r="B59">
            <v>14</v>
          </cell>
          <cell r="C59">
            <v>1</v>
          </cell>
        </row>
        <row r="60">
          <cell r="A60" t="str">
            <v>237755GRY</v>
          </cell>
          <cell r="B60">
            <v>14</v>
          </cell>
          <cell r="C60">
            <v>1</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mage.skechers.com/img/productimages/xlarge/149693_ROS_A.jpg" TargetMode="External"/><Relationship Id="rId671" Type="http://schemas.openxmlformats.org/officeDocument/2006/relationships/hyperlink" Target="https://image.skechers.com/img/productimages/xlarge/232930_GYCC_A.jpg" TargetMode="External"/><Relationship Id="rId769" Type="http://schemas.openxmlformats.org/officeDocument/2006/relationships/hyperlink" Target="https://image.skechers.com/img/productimages/xlarge/237657_BBK_A.jpg" TargetMode="External"/><Relationship Id="rId21" Type="http://schemas.openxmlformats.org/officeDocument/2006/relationships/hyperlink" Target="https://image.skechers.com/img/productimages/xlarge/149693_ROS_A.jpg" TargetMode="External"/><Relationship Id="rId324" Type="http://schemas.openxmlformats.org/officeDocument/2006/relationships/hyperlink" Target="https://image.skechers.com/img/productimages/xlarge/149693_ROS_A.jpg" TargetMode="External"/><Relationship Id="rId531" Type="http://schemas.openxmlformats.org/officeDocument/2006/relationships/hyperlink" Target="https://image.skechers.com/img/productimages/xlarge/220415_WHT_A.jpg" TargetMode="External"/><Relationship Id="rId629" Type="http://schemas.openxmlformats.org/officeDocument/2006/relationships/hyperlink" Target="https://image.skechers.com/img/productimages/xlarge/221221_BKCC_A.jpg" TargetMode="External"/><Relationship Id="rId170" Type="http://schemas.openxmlformats.org/officeDocument/2006/relationships/hyperlink" Target="https://image.skechers.com/img/productimages/xlarge/149693_ROS_A.jpg" TargetMode="External"/><Relationship Id="rId268" Type="http://schemas.openxmlformats.org/officeDocument/2006/relationships/hyperlink" Target="https://image.skechers.com/img/productimages/xlarge/149693_ROS_A.jpg" TargetMode="External"/><Relationship Id="rId475" Type="http://schemas.openxmlformats.org/officeDocument/2006/relationships/hyperlink" Target="https://image.skechers.com/img/productimages/xlarge/211367_KHK_A.jpg" TargetMode="External"/><Relationship Id="rId682" Type="http://schemas.openxmlformats.org/officeDocument/2006/relationships/hyperlink" Target="https://image.skechers.com/img/productimages/xlarge/233037_BLU_A.jpg" TargetMode="External"/><Relationship Id="rId32" Type="http://schemas.openxmlformats.org/officeDocument/2006/relationships/hyperlink" Target="https://image.skechers.com/img/productimages/xlarge/149693_ROS_A.jpg" TargetMode="External"/><Relationship Id="rId128" Type="http://schemas.openxmlformats.org/officeDocument/2006/relationships/hyperlink" Target="https://image.skechers.com/img/productimages/xlarge/149693_ROS_A.jpg" TargetMode="External"/><Relationship Id="rId335" Type="http://schemas.openxmlformats.org/officeDocument/2006/relationships/hyperlink" Target="https://image.skechers.com/img/productimages/xlarge/149693_ROS_A.jpg" TargetMode="External"/><Relationship Id="rId542" Type="http://schemas.openxmlformats.org/officeDocument/2006/relationships/hyperlink" Target="https://image.skechers.com/img/productimages/xlarge/220610_BBK_A.jpg" TargetMode="External"/><Relationship Id="rId181" Type="http://schemas.openxmlformats.org/officeDocument/2006/relationships/hyperlink" Target="https://image.skechers.com/img/productimages/xlarge/149693_ROS_A.jpg" TargetMode="External"/><Relationship Id="rId402" Type="http://schemas.openxmlformats.org/officeDocument/2006/relationships/hyperlink" Target="https://image.skechers.com/img/productimages/xlarge/118431_BLK_A.jpg" TargetMode="External"/><Relationship Id="rId279" Type="http://schemas.openxmlformats.org/officeDocument/2006/relationships/hyperlink" Target="https://image.skechers.com/img/productimages/xlarge/149693_ROS_A.jpg" TargetMode="External"/><Relationship Id="rId486" Type="http://schemas.openxmlformats.org/officeDocument/2006/relationships/hyperlink" Target="https://image.skechers.com/img/productimages/xlarge/216373_BBK_A.jpg" TargetMode="External"/><Relationship Id="rId693" Type="http://schemas.openxmlformats.org/officeDocument/2006/relationships/hyperlink" Target="https://image.skechers.com/img/productimages/xlarge/233132_BKBL_A.jpg" TargetMode="External"/><Relationship Id="rId707" Type="http://schemas.openxmlformats.org/officeDocument/2006/relationships/hyperlink" Target="https://image.skechers.com/img/productimages/xlarge/233201_BKGY_A.jpg" TargetMode="External"/><Relationship Id="rId43" Type="http://schemas.openxmlformats.org/officeDocument/2006/relationships/hyperlink" Target="https://image.skechers.com/img/productimages/xlarge/149693_ROS_A.jpg" TargetMode="External"/><Relationship Id="rId139" Type="http://schemas.openxmlformats.org/officeDocument/2006/relationships/hyperlink" Target="https://image.skechers.com/img/productimages/xlarge/149693_ROS_A.jpg" TargetMode="External"/><Relationship Id="rId346" Type="http://schemas.openxmlformats.org/officeDocument/2006/relationships/hyperlink" Target="https://image.skechers.com/img/productimages/xlarge/149693_ROS_A.jpg" TargetMode="External"/><Relationship Id="rId553" Type="http://schemas.openxmlformats.org/officeDocument/2006/relationships/hyperlink" Target="https://image.skechers.com/img/productimages/xlarge/220613WW_BBK_A.jpg" TargetMode="External"/><Relationship Id="rId760" Type="http://schemas.openxmlformats.org/officeDocument/2006/relationships/hyperlink" Target="https://image.skechers.com/img/productimages/xlarge/237565_BRRD_A.jpg" TargetMode="External"/><Relationship Id="rId192" Type="http://schemas.openxmlformats.org/officeDocument/2006/relationships/hyperlink" Target="https://image.skechers.com/img/productimages/xlarge/149693_ROS_A.jpg" TargetMode="External"/><Relationship Id="rId206" Type="http://schemas.openxmlformats.org/officeDocument/2006/relationships/hyperlink" Target="https://image.skechers.com/img/productimages/xlarge/149693_ROS_A.jpg" TargetMode="External"/><Relationship Id="rId413" Type="http://schemas.openxmlformats.org/officeDocument/2006/relationships/hyperlink" Target="https://image.skechers.com/img/productimages/xlarge/183004_NAT_A.jpg" TargetMode="External"/><Relationship Id="rId248" Type="http://schemas.openxmlformats.org/officeDocument/2006/relationships/hyperlink" Target="https://image.skechers.com/img/productimages/xlarge/149693_ROS_A.jpg" TargetMode="External"/><Relationship Id="rId455" Type="http://schemas.openxmlformats.org/officeDocument/2006/relationships/hyperlink" Target="https://image.skechers.com/img/productimages/xlarge/210889_BBK_A.jpg" TargetMode="External"/><Relationship Id="rId497" Type="http://schemas.openxmlformats.org/officeDocument/2006/relationships/hyperlink" Target="https://image.skechers.com/img/productimages/xlarge/216789_BLK_A.jpg" TargetMode="External"/><Relationship Id="rId620" Type="http://schemas.openxmlformats.org/officeDocument/2006/relationships/hyperlink" Target="https://image.skechers.com/img/productimages/xlarge/221141_NVY_A.jpg" TargetMode="External"/><Relationship Id="rId662" Type="http://schemas.openxmlformats.org/officeDocument/2006/relationships/hyperlink" Target="https://image.skechers.com/img/productimages/xlarge/232844_BBK_A.jpg" TargetMode="External"/><Relationship Id="rId718" Type="http://schemas.openxmlformats.org/officeDocument/2006/relationships/hyperlink" Target="https://image.skechers.com/img/productimages/xlarge/233247_BBK_A.jpg" TargetMode="External"/><Relationship Id="rId12" Type="http://schemas.openxmlformats.org/officeDocument/2006/relationships/hyperlink" Target="https://image.skechers.com/img/productimages/xlarge/149693_ROS_A.jpg" TargetMode="External"/><Relationship Id="rId108" Type="http://schemas.openxmlformats.org/officeDocument/2006/relationships/hyperlink" Target="https://image.skechers.com/img/productimages/xlarge/149693_ROS_A.jpg" TargetMode="External"/><Relationship Id="rId315" Type="http://schemas.openxmlformats.org/officeDocument/2006/relationships/hyperlink" Target="https://image.skechers.com/img/productimages/xlarge/149693_ROS_A.jpg" TargetMode="External"/><Relationship Id="rId357" Type="http://schemas.openxmlformats.org/officeDocument/2006/relationships/hyperlink" Target="https://image.skechers.com/img/productimages/xlarge/149693_ROS_A.jpg" TargetMode="External"/><Relationship Id="rId522" Type="http://schemas.openxmlformats.org/officeDocument/2006/relationships/hyperlink" Target="https://image.skechers.com/img/productimages/xlarge/217128_BKW_A.jpg" TargetMode="External"/><Relationship Id="rId54" Type="http://schemas.openxmlformats.org/officeDocument/2006/relationships/hyperlink" Target="https://image.skechers.com/img/productimages/xlarge/149693_ROS_A.jpg" TargetMode="External"/><Relationship Id="rId96" Type="http://schemas.openxmlformats.org/officeDocument/2006/relationships/hyperlink" Target="https://image.skechers.com/img/productimages/xlarge/149693_ROS_A.jpg" TargetMode="External"/><Relationship Id="rId161" Type="http://schemas.openxmlformats.org/officeDocument/2006/relationships/hyperlink" Target="https://image.skechers.com/img/productimages/xlarge/149693_ROS_A.jpg" TargetMode="External"/><Relationship Id="rId217" Type="http://schemas.openxmlformats.org/officeDocument/2006/relationships/hyperlink" Target="https://image.skechers.com/img/productimages/xlarge/149693_ROS_A.jpg" TargetMode="External"/><Relationship Id="rId399" Type="http://schemas.openxmlformats.org/officeDocument/2006/relationships/hyperlink" Target="https://image.skechers.com/img/productimages/xlarge/118430_DKGY_A.jpg" TargetMode="External"/><Relationship Id="rId564" Type="http://schemas.openxmlformats.org/officeDocument/2006/relationships/hyperlink" Target="https://image.skechers.com/img/productimages/xlarge/220757_GYOR_A.jpg" TargetMode="External"/><Relationship Id="rId771" Type="http://schemas.openxmlformats.org/officeDocument/2006/relationships/hyperlink" Target="https://image.skechers.com/img/productimages/xlarge/237657_OLV_A.jpg" TargetMode="External"/><Relationship Id="rId259" Type="http://schemas.openxmlformats.org/officeDocument/2006/relationships/hyperlink" Target="https://image.skechers.com/img/productimages/xlarge/149693_ROS_A.jpg" TargetMode="External"/><Relationship Id="rId424" Type="http://schemas.openxmlformats.org/officeDocument/2006/relationships/hyperlink" Target="https://image.skechers.com/img/productimages/xlarge/183007_OLV_A.jpg" TargetMode="External"/><Relationship Id="rId466" Type="http://schemas.openxmlformats.org/officeDocument/2006/relationships/hyperlink" Target="https://image.skechers.com/img/productimages/xlarge/211145_TPE_A.jpg" TargetMode="External"/><Relationship Id="rId631" Type="http://schemas.openxmlformats.org/officeDocument/2006/relationships/hyperlink" Target="https://image.skechers.com/img/productimages/xlarge/221221_NAT_A.jpg" TargetMode="External"/><Relationship Id="rId673" Type="http://schemas.openxmlformats.org/officeDocument/2006/relationships/hyperlink" Target="https://image.skechers.com/img/productimages/xlarge/233023_BKCC_A.jpg" TargetMode="External"/><Relationship Id="rId729" Type="http://schemas.openxmlformats.org/officeDocument/2006/relationships/hyperlink" Target="https://image.skechers.com/img/productimages/xlarge/233303W_BBK_A.jpg" TargetMode="External"/><Relationship Id="rId23" Type="http://schemas.openxmlformats.org/officeDocument/2006/relationships/hyperlink" Target="https://image.skechers.com/img/productimages/xlarge/149693_ROS_A.jpg" TargetMode="External"/><Relationship Id="rId119" Type="http://schemas.openxmlformats.org/officeDocument/2006/relationships/hyperlink" Target="https://image.skechers.com/img/productimages/xlarge/149693_ROS_A.jpg" TargetMode="External"/><Relationship Id="rId270" Type="http://schemas.openxmlformats.org/officeDocument/2006/relationships/hyperlink" Target="https://image.skechers.com/img/productimages/xlarge/149693_ROS_A.jpg" TargetMode="External"/><Relationship Id="rId326" Type="http://schemas.openxmlformats.org/officeDocument/2006/relationships/hyperlink" Target="https://image.skechers.com/img/productimages/xlarge/149693_ROS_A.jpg" TargetMode="External"/><Relationship Id="rId533" Type="http://schemas.openxmlformats.org/officeDocument/2006/relationships/hyperlink" Target="https://image.skechers.com/img/productimages/xlarge/220427_WMLT_A.jpg" TargetMode="External"/><Relationship Id="rId65" Type="http://schemas.openxmlformats.org/officeDocument/2006/relationships/hyperlink" Target="https://image.skechers.com/img/productimages/xlarge/149693_ROS_A.jpg" TargetMode="External"/><Relationship Id="rId130" Type="http://schemas.openxmlformats.org/officeDocument/2006/relationships/hyperlink" Target="https://image.skechers.com/img/productimages/xlarge/149693_ROS_A.jpg" TargetMode="External"/><Relationship Id="rId368" Type="http://schemas.openxmlformats.org/officeDocument/2006/relationships/hyperlink" Target="https://image.skechers.com/img/productimages/xlarge/149693_ROS_A.jpg" TargetMode="External"/><Relationship Id="rId575" Type="http://schemas.openxmlformats.org/officeDocument/2006/relationships/hyperlink" Target="https://image.skechers.com/img/productimages/xlarge/220872_BRBK_A.jpg" TargetMode="External"/><Relationship Id="rId740" Type="http://schemas.openxmlformats.org/officeDocument/2006/relationships/hyperlink" Target="https://image.skechers.com/img/productimages/xlarge/237194_BBK_A.jpg" TargetMode="External"/><Relationship Id="rId782" Type="http://schemas.openxmlformats.org/officeDocument/2006/relationships/hyperlink" Target="https://image.skechers.com/img/productimages/xlarge/237744W_BBK_A.jpg" TargetMode="External"/><Relationship Id="rId172" Type="http://schemas.openxmlformats.org/officeDocument/2006/relationships/hyperlink" Target="https://image.skechers.com/img/productimages/xlarge/149693_ROS_A.jpg" TargetMode="External"/><Relationship Id="rId228" Type="http://schemas.openxmlformats.org/officeDocument/2006/relationships/hyperlink" Target="https://image.skechers.com/img/productimages/xlarge/149693_ROS_A.jpg" TargetMode="External"/><Relationship Id="rId435" Type="http://schemas.openxmlformats.org/officeDocument/2006/relationships/hyperlink" Target="https://image.skechers.com/img/productimages/xlarge/183365_TPE_A.jpg" TargetMode="External"/><Relationship Id="rId477" Type="http://schemas.openxmlformats.org/officeDocument/2006/relationships/hyperlink" Target="https://image.skechers.com/img/productimages/xlarge/211376_TPE_A.jpg" TargetMode="External"/><Relationship Id="rId600" Type="http://schemas.openxmlformats.org/officeDocument/2006/relationships/hyperlink" Target="https://image.skechers.com/img/productimages/xlarge/221041_NVY_A.jpg" TargetMode="External"/><Relationship Id="rId642" Type="http://schemas.openxmlformats.org/officeDocument/2006/relationships/hyperlink" Target="https://image.skechers.com/img/productimages/xlarge/221260_BLK_A.jpg" TargetMode="External"/><Relationship Id="rId684" Type="http://schemas.openxmlformats.org/officeDocument/2006/relationships/hyperlink" Target="https://image.skechers.com/img/productimages/xlarge/233045_BBK_A.jpg" TargetMode="External"/><Relationship Id="rId281" Type="http://schemas.openxmlformats.org/officeDocument/2006/relationships/hyperlink" Target="https://image.skechers.com/img/productimages/xlarge/149693_ROS_A.jpg" TargetMode="External"/><Relationship Id="rId337" Type="http://schemas.openxmlformats.org/officeDocument/2006/relationships/hyperlink" Target="https://image.skechers.com/img/productimages/xlarge/149693_ROS_A.jpg" TargetMode="External"/><Relationship Id="rId502" Type="http://schemas.openxmlformats.org/officeDocument/2006/relationships/hyperlink" Target="https://image.skechers.com/img/productimages/xlarge/216812_TAN_A.jpg" TargetMode="External"/><Relationship Id="rId34" Type="http://schemas.openxmlformats.org/officeDocument/2006/relationships/hyperlink" Target="https://image.skechers.com/img/productimages/xlarge/149693_ROS_A.jpg" TargetMode="External"/><Relationship Id="rId76" Type="http://schemas.openxmlformats.org/officeDocument/2006/relationships/hyperlink" Target="https://image.skechers.com/img/productimages/xlarge/149693_ROS_A.jpg" TargetMode="External"/><Relationship Id="rId141" Type="http://schemas.openxmlformats.org/officeDocument/2006/relationships/hyperlink" Target="https://image.skechers.com/img/productimages/xlarge/149693_ROS_A.jpg" TargetMode="External"/><Relationship Id="rId379" Type="http://schemas.openxmlformats.org/officeDocument/2006/relationships/hyperlink" Target="https://image.skechers.com/img/productimages/xlarge/118113W_BBK_A.jpg" TargetMode="External"/><Relationship Id="rId544" Type="http://schemas.openxmlformats.org/officeDocument/2006/relationships/hyperlink" Target="https://image.skechers.com/img/productimages/xlarge/220610_BLK_A.jpg" TargetMode="External"/><Relationship Id="rId586" Type="http://schemas.openxmlformats.org/officeDocument/2006/relationships/hyperlink" Target="https://image.skechers.com/img/productimages/xlarge/220887_WGY_A.jpg" TargetMode="External"/><Relationship Id="rId751" Type="http://schemas.openxmlformats.org/officeDocument/2006/relationships/hyperlink" Target="https://image.skechers.com/img/productimages/xlarge/237415_LTGY_A.jpg" TargetMode="External"/><Relationship Id="rId793" Type="http://schemas.openxmlformats.org/officeDocument/2006/relationships/hyperlink" Target="https://image.skechers.com/img/productimages/xlarge/237806_LTGY_A.jpg" TargetMode="External"/><Relationship Id="rId807" Type="http://schemas.openxmlformats.org/officeDocument/2006/relationships/hyperlink" Target="https://image.skechers.com/img/productimages/xlarge/246220_WAQ_A.jpg" TargetMode="External"/><Relationship Id="rId7" Type="http://schemas.openxmlformats.org/officeDocument/2006/relationships/hyperlink" Target="https://image.skechers.com/img/productimages/xlarge/149693_ROS_A.jpg" TargetMode="External"/><Relationship Id="rId183" Type="http://schemas.openxmlformats.org/officeDocument/2006/relationships/hyperlink" Target="https://image.skechers.com/img/productimages/xlarge/149693_ROS_A.jpg" TargetMode="External"/><Relationship Id="rId239" Type="http://schemas.openxmlformats.org/officeDocument/2006/relationships/hyperlink" Target="https://image.skechers.com/img/productimages/xlarge/149693_ROS_A.jpg" TargetMode="External"/><Relationship Id="rId390" Type="http://schemas.openxmlformats.org/officeDocument/2006/relationships/hyperlink" Target="https://image.skechers.com/img/productimages/xlarge/118423_OLV_A.jpg" TargetMode="External"/><Relationship Id="rId404" Type="http://schemas.openxmlformats.org/officeDocument/2006/relationships/hyperlink" Target="https://image.skechers.com/img/productimages/xlarge/118432_BBK_A.jpg" TargetMode="External"/><Relationship Id="rId446" Type="http://schemas.openxmlformats.org/officeDocument/2006/relationships/hyperlink" Target="https://image.skechers.com/img/productimages/xlarge/205227_CHOC_A.jpg" TargetMode="External"/><Relationship Id="rId611" Type="http://schemas.openxmlformats.org/officeDocument/2006/relationships/hyperlink" Target="https://image.skechers.com/img/productimages/xlarge/221140_BKW_A.jpg" TargetMode="External"/><Relationship Id="rId653" Type="http://schemas.openxmlformats.org/officeDocument/2006/relationships/hyperlink" Target="https://image.skechers.com/img/productimages/xlarge/232478_WHT_A.jpg" TargetMode="External"/><Relationship Id="rId250" Type="http://schemas.openxmlformats.org/officeDocument/2006/relationships/hyperlink" Target="https://image.skechers.com/img/productimages/xlarge/149693_ROS_A.jpg" TargetMode="External"/><Relationship Id="rId292" Type="http://schemas.openxmlformats.org/officeDocument/2006/relationships/hyperlink" Target="https://image.skechers.com/img/productimages/xlarge/149693_ROS_A.jpg" TargetMode="External"/><Relationship Id="rId306" Type="http://schemas.openxmlformats.org/officeDocument/2006/relationships/hyperlink" Target="https://image.skechers.com/img/productimages/xlarge/149693_ROS_A.jpg" TargetMode="External"/><Relationship Id="rId488" Type="http://schemas.openxmlformats.org/officeDocument/2006/relationships/hyperlink" Target="https://image.skechers.com/img/productimages/xlarge/216660_DKTP_A.jpg" TargetMode="External"/><Relationship Id="rId695" Type="http://schemas.openxmlformats.org/officeDocument/2006/relationships/hyperlink" Target="https://image.skechers.com/img/productimages/xlarge/233132_BKW_A.jpg" TargetMode="External"/><Relationship Id="rId709" Type="http://schemas.openxmlformats.org/officeDocument/2006/relationships/hyperlink" Target="https://image.skechers.com/img/productimages/xlarge/233201_NVY_A.jpg" TargetMode="External"/><Relationship Id="rId45" Type="http://schemas.openxmlformats.org/officeDocument/2006/relationships/hyperlink" Target="https://image.skechers.com/img/productimages/xlarge/149693_ROS_A.jpg" TargetMode="External"/><Relationship Id="rId87" Type="http://schemas.openxmlformats.org/officeDocument/2006/relationships/hyperlink" Target="https://image.skechers.com/img/productimages/xlarge/149693_ROS_A.jpg" TargetMode="External"/><Relationship Id="rId110" Type="http://schemas.openxmlformats.org/officeDocument/2006/relationships/hyperlink" Target="https://image.skechers.com/img/productimages/xlarge/149693_ROS_A.jpg" TargetMode="External"/><Relationship Id="rId348" Type="http://schemas.openxmlformats.org/officeDocument/2006/relationships/hyperlink" Target="https://image.skechers.com/img/productimages/xlarge/149693_ROS_A.jpg" TargetMode="External"/><Relationship Id="rId513" Type="http://schemas.openxmlformats.org/officeDocument/2006/relationships/hyperlink" Target="https://image.skechers.com/img/productimages/xlarge/217020_WHT_A.jpg" TargetMode="External"/><Relationship Id="rId555" Type="http://schemas.openxmlformats.org/officeDocument/2006/relationships/hyperlink" Target="https://image.skechers.com/img/productimages/xlarge/220613WW_DKGY_A.jpg" TargetMode="External"/><Relationship Id="rId597" Type="http://schemas.openxmlformats.org/officeDocument/2006/relationships/hyperlink" Target="https://image.skechers.com/img/productimages/xlarge/221040_WBK_A.jpg" TargetMode="External"/><Relationship Id="rId720" Type="http://schemas.openxmlformats.org/officeDocument/2006/relationships/hyperlink" Target="https://image.skechers.com/img/productimages/xlarge/233247_GRY_A.jpg" TargetMode="External"/><Relationship Id="rId762" Type="http://schemas.openxmlformats.org/officeDocument/2006/relationships/hyperlink" Target="https://image.skechers.com/img/productimages/xlarge/237565_OWGR_A.jpg" TargetMode="External"/><Relationship Id="rId818" Type="http://schemas.openxmlformats.org/officeDocument/2006/relationships/hyperlink" Target="https://image.skechers.com/img/productimages/xlarge/254226_BKW_A.jpg" TargetMode="External"/><Relationship Id="rId152" Type="http://schemas.openxmlformats.org/officeDocument/2006/relationships/hyperlink" Target="https://image.skechers.com/img/productimages/xlarge/149693_ROS_A.jpg" TargetMode="External"/><Relationship Id="rId194" Type="http://schemas.openxmlformats.org/officeDocument/2006/relationships/hyperlink" Target="https://image.skechers.com/img/productimages/xlarge/149693_ROS_A.jpg" TargetMode="External"/><Relationship Id="rId208" Type="http://schemas.openxmlformats.org/officeDocument/2006/relationships/hyperlink" Target="https://image.skechers.com/img/productimages/xlarge/149693_ROS_A.jpg" TargetMode="External"/><Relationship Id="rId415" Type="http://schemas.openxmlformats.org/officeDocument/2006/relationships/hyperlink" Target="https://image.skechers.com/img/productimages/xlarge/183004_TPBG_A.jpg" TargetMode="External"/><Relationship Id="rId457" Type="http://schemas.openxmlformats.org/officeDocument/2006/relationships/hyperlink" Target="https://image.skechers.com/img/productimages/xlarge/210889_LTGY_A.jpg" TargetMode="External"/><Relationship Id="rId622" Type="http://schemas.openxmlformats.org/officeDocument/2006/relationships/hyperlink" Target="https://image.skechers.com/img/productimages/xlarge/221141_WHT_A.jpg" TargetMode="External"/><Relationship Id="rId261" Type="http://schemas.openxmlformats.org/officeDocument/2006/relationships/hyperlink" Target="https://image.skechers.com/img/productimages/xlarge/149693_ROS_A.jpg" TargetMode="External"/><Relationship Id="rId499" Type="http://schemas.openxmlformats.org/officeDocument/2006/relationships/hyperlink" Target="https://image.skechers.com/img/productimages/xlarge/216789_OFWT_A.jpg" TargetMode="External"/><Relationship Id="rId664" Type="http://schemas.openxmlformats.org/officeDocument/2006/relationships/hyperlink" Target="https://image.skechers.com/img/productimages/xlarge/232844_CHAR_A.jpg" TargetMode="External"/><Relationship Id="rId14" Type="http://schemas.openxmlformats.org/officeDocument/2006/relationships/hyperlink" Target="https://image.skechers.com/img/productimages/xlarge/149693_ROS_A.jpg" TargetMode="External"/><Relationship Id="rId56" Type="http://schemas.openxmlformats.org/officeDocument/2006/relationships/hyperlink" Target="https://image.skechers.com/img/productimages/xlarge/149693_ROS_A.jpg" TargetMode="External"/><Relationship Id="rId317" Type="http://schemas.openxmlformats.org/officeDocument/2006/relationships/hyperlink" Target="https://image.skechers.com/img/productimages/xlarge/149693_ROS_A.jpg" TargetMode="External"/><Relationship Id="rId359" Type="http://schemas.openxmlformats.org/officeDocument/2006/relationships/hyperlink" Target="https://image.skechers.com/img/productimages/xlarge/149693_ROS_A.jpg" TargetMode="External"/><Relationship Id="rId524" Type="http://schemas.openxmlformats.org/officeDocument/2006/relationships/hyperlink" Target="https://image.skechers.com/img/productimages/xlarge/217128WW_BBK_A.jpg" TargetMode="External"/><Relationship Id="rId566" Type="http://schemas.openxmlformats.org/officeDocument/2006/relationships/hyperlink" Target="https://image.skechers.com/img/productimages/xlarge/220774_GYNV_A.jpg" TargetMode="External"/><Relationship Id="rId731" Type="http://schemas.openxmlformats.org/officeDocument/2006/relationships/hyperlink" Target="https://image.skechers.com/img/productimages/xlarge/233321_BKGY_A.jpg" TargetMode="External"/><Relationship Id="rId773" Type="http://schemas.openxmlformats.org/officeDocument/2006/relationships/hyperlink" Target="https://image.skechers.com/img/productimages/xlarge/237669_CHAR_A.jpg" TargetMode="External"/><Relationship Id="rId98" Type="http://schemas.openxmlformats.org/officeDocument/2006/relationships/hyperlink" Target="https://image.skechers.com/img/productimages/xlarge/149693_ROS_A.jpg" TargetMode="External"/><Relationship Id="rId121" Type="http://schemas.openxmlformats.org/officeDocument/2006/relationships/hyperlink" Target="https://image.skechers.com/img/productimages/xlarge/149693_ROS_A.jpg" TargetMode="External"/><Relationship Id="rId163" Type="http://schemas.openxmlformats.org/officeDocument/2006/relationships/hyperlink" Target="https://image.skechers.com/img/productimages/xlarge/149693_ROS_A.jpg" TargetMode="External"/><Relationship Id="rId219" Type="http://schemas.openxmlformats.org/officeDocument/2006/relationships/hyperlink" Target="https://image.skechers.com/img/productimages/xlarge/149693_ROS_A.jpg" TargetMode="External"/><Relationship Id="rId370" Type="http://schemas.openxmlformats.org/officeDocument/2006/relationships/hyperlink" Target="https://image.skechers.com/img/productimages/xlarge/149693_ROS_A.jpg" TargetMode="External"/><Relationship Id="rId426" Type="http://schemas.openxmlformats.org/officeDocument/2006/relationships/hyperlink" Target="https://image.skechers.com/img/productimages/xlarge/183053_BLK_A.jpg" TargetMode="External"/><Relationship Id="rId633" Type="http://schemas.openxmlformats.org/officeDocument/2006/relationships/hyperlink" Target="https://image.skechers.com/img/productimages/xlarge/221240_BKGY_A.jpg" TargetMode="External"/><Relationship Id="rId230" Type="http://schemas.openxmlformats.org/officeDocument/2006/relationships/hyperlink" Target="https://image.skechers.com/img/productimages/xlarge/149693_ROS_A.jpg" TargetMode="External"/><Relationship Id="rId468" Type="http://schemas.openxmlformats.org/officeDocument/2006/relationships/hyperlink" Target="https://image.skechers.com/img/productimages/xlarge/211182_COC_A.jpg" TargetMode="External"/><Relationship Id="rId675" Type="http://schemas.openxmlformats.org/officeDocument/2006/relationships/hyperlink" Target="https://image.skechers.com/img/productimages/xlarge/233023_WGY_A.jpg" TargetMode="External"/><Relationship Id="rId25" Type="http://schemas.openxmlformats.org/officeDocument/2006/relationships/hyperlink" Target="https://image.skechers.com/img/productimages/xlarge/149693_ROS_A.jpg" TargetMode="External"/><Relationship Id="rId67" Type="http://schemas.openxmlformats.org/officeDocument/2006/relationships/hyperlink" Target="https://image.skechers.com/img/productimages/xlarge/149693_ROS_A.jpg" TargetMode="External"/><Relationship Id="rId272" Type="http://schemas.openxmlformats.org/officeDocument/2006/relationships/hyperlink" Target="https://image.skechers.com/img/productimages/xlarge/149693_ROS_A.jpg" TargetMode="External"/><Relationship Id="rId328" Type="http://schemas.openxmlformats.org/officeDocument/2006/relationships/hyperlink" Target="https://image.skechers.com/img/productimages/xlarge/149693_ROS_A.jpg" TargetMode="External"/><Relationship Id="rId535" Type="http://schemas.openxmlformats.org/officeDocument/2006/relationships/hyperlink" Target="https://image.skechers.com/img/productimages/xlarge/220607_BBK_A.jpg" TargetMode="External"/><Relationship Id="rId577" Type="http://schemas.openxmlformats.org/officeDocument/2006/relationships/hyperlink" Target="https://image.skechers.com/img/productimages/xlarge/220872_GRY_A.jpg" TargetMode="External"/><Relationship Id="rId700" Type="http://schemas.openxmlformats.org/officeDocument/2006/relationships/hyperlink" Target="https://image.skechers.com/img/productimages/xlarge/233133_BBK_A.jpg" TargetMode="External"/><Relationship Id="rId742" Type="http://schemas.openxmlformats.org/officeDocument/2006/relationships/hyperlink" Target="https://image.skechers.com/img/productimages/xlarge/237211_GYBK_A.jpg" TargetMode="External"/><Relationship Id="rId132" Type="http://schemas.openxmlformats.org/officeDocument/2006/relationships/hyperlink" Target="https://image.skechers.com/img/productimages/xlarge/149693_ROS_A.jpg" TargetMode="External"/><Relationship Id="rId174" Type="http://schemas.openxmlformats.org/officeDocument/2006/relationships/hyperlink" Target="https://image.skechers.com/img/productimages/xlarge/149693_ROS_A.jpg" TargetMode="External"/><Relationship Id="rId381" Type="http://schemas.openxmlformats.org/officeDocument/2006/relationships/hyperlink" Target="https://image.skechers.com/img/productimages/xlarge/118312_BLK_A.jpg" TargetMode="External"/><Relationship Id="rId602" Type="http://schemas.openxmlformats.org/officeDocument/2006/relationships/hyperlink" Target="https://image.skechers.com/img/productimages/xlarge/221120_GRY_A.jpg" TargetMode="External"/><Relationship Id="rId784" Type="http://schemas.openxmlformats.org/officeDocument/2006/relationships/hyperlink" Target="https://image.skechers.com/img/productimages/xlarge/237755_GRY_A.jpg" TargetMode="External"/><Relationship Id="rId241" Type="http://schemas.openxmlformats.org/officeDocument/2006/relationships/hyperlink" Target="https://image.skechers.com/img/productimages/xlarge/149693_ROS_A.jpg" TargetMode="External"/><Relationship Id="rId437" Type="http://schemas.openxmlformats.org/officeDocument/2006/relationships/hyperlink" Target="https://image.skechers.com/img/productimages/xlarge/183921_STN_A.jpg" TargetMode="External"/><Relationship Id="rId479" Type="http://schemas.openxmlformats.org/officeDocument/2006/relationships/hyperlink" Target="https://image.skechers.com/img/productimages/xlarge/211392_BBK_A.jpg" TargetMode="External"/><Relationship Id="rId644" Type="http://schemas.openxmlformats.org/officeDocument/2006/relationships/hyperlink" Target="https://image.skechers.com/img/productimages/xlarge/221262_GRY_A.jpg" TargetMode="External"/><Relationship Id="rId686" Type="http://schemas.openxmlformats.org/officeDocument/2006/relationships/hyperlink" Target="https://image.skechers.com/img/productimages/xlarge/233076_BKCC_A.jpg" TargetMode="External"/><Relationship Id="rId36" Type="http://schemas.openxmlformats.org/officeDocument/2006/relationships/hyperlink" Target="https://image.skechers.com/img/productimages/xlarge/149693_ROS_A.jpg" TargetMode="External"/><Relationship Id="rId283" Type="http://schemas.openxmlformats.org/officeDocument/2006/relationships/hyperlink" Target="https://image.skechers.com/img/productimages/xlarge/149693_ROS_A.jpg" TargetMode="External"/><Relationship Id="rId339" Type="http://schemas.openxmlformats.org/officeDocument/2006/relationships/hyperlink" Target="https://image.skechers.com/img/productimages/xlarge/149693_ROS_A.jpg" TargetMode="External"/><Relationship Id="rId490" Type="http://schemas.openxmlformats.org/officeDocument/2006/relationships/hyperlink" Target="https://image.skechers.com/img/productimages/xlarge/216741_BKMT_A.jpg" TargetMode="External"/><Relationship Id="rId504" Type="http://schemas.openxmlformats.org/officeDocument/2006/relationships/hyperlink" Target="https://image.skechers.com/img/productimages/xlarge/216816_BBK_A.jpg" TargetMode="External"/><Relationship Id="rId546" Type="http://schemas.openxmlformats.org/officeDocument/2006/relationships/hyperlink" Target="https://image.skechers.com/img/productimages/xlarge/220613_DKNV_A.jpg" TargetMode="External"/><Relationship Id="rId711" Type="http://schemas.openxmlformats.org/officeDocument/2006/relationships/hyperlink" Target="https://image.skechers.com/img/productimages/xlarge/233218_BBK_A.jpg" TargetMode="External"/><Relationship Id="rId753" Type="http://schemas.openxmlformats.org/officeDocument/2006/relationships/hyperlink" Target="https://image.skechers.com/img/productimages/xlarge/237497_GRY_A.jpg" TargetMode="External"/><Relationship Id="rId78" Type="http://schemas.openxmlformats.org/officeDocument/2006/relationships/hyperlink" Target="https://image.skechers.com/img/productimages/xlarge/149693_ROS_A.jpg" TargetMode="External"/><Relationship Id="rId101" Type="http://schemas.openxmlformats.org/officeDocument/2006/relationships/hyperlink" Target="https://image.skechers.com/img/productimages/xlarge/149693_ROS_A.jpg" TargetMode="External"/><Relationship Id="rId143" Type="http://schemas.openxmlformats.org/officeDocument/2006/relationships/hyperlink" Target="https://image.skechers.com/img/productimages/xlarge/149693_ROS_A.jpg" TargetMode="External"/><Relationship Id="rId185" Type="http://schemas.openxmlformats.org/officeDocument/2006/relationships/hyperlink" Target="https://image.skechers.com/img/productimages/xlarge/149693_ROS_A.jpg" TargetMode="External"/><Relationship Id="rId350" Type="http://schemas.openxmlformats.org/officeDocument/2006/relationships/hyperlink" Target="https://image.skechers.com/img/productimages/xlarge/149693_ROS_A.jpg" TargetMode="External"/><Relationship Id="rId406" Type="http://schemas.openxmlformats.org/officeDocument/2006/relationships/hyperlink" Target="https://image.skechers.com/img/productimages/xlarge/118433_BLK_A.jpg" TargetMode="External"/><Relationship Id="rId588" Type="http://schemas.openxmlformats.org/officeDocument/2006/relationships/hyperlink" Target="https://image.skechers.com/img/productimages/xlarge/221000_BKW_A.jpg" TargetMode="External"/><Relationship Id="rId795" Type="http://schemas.openxmlformats.org/officeDocument/2006/relationships/hyperlink" Target="https://image.skechers.com/img/productimages/xlarge/237811_BBK_A.jpg" TargetMode="External"/><Relationship Id="rId809" Type="http://schemas.openxmlformats.org/officeDocument/2006/relationships/hyperlink" Target="https://image.skechers.com/img/productimages/xlarge/254026_BKRD_A.jpg" TargetMode="External"/><Relationship Id="rId9" Type="http://schemas.openxmlformats.org/officeDocument/2006/relationships/hyperlink" Target="https://image.skechers.com/img/productimages/xlarge/149693_ROS_A.jpg" TargetMode="External"/><Relationship Id="rId210" Type="http://schemas.openxmlformats.org/officeDocument/2006/relationships/hyperlink" Target="https://image.skechers.com/img/productimages/xlarge/149693_ROS_A.jpg" TargetMode="External"/><Relationship Id="rId392" Type="http://schemas.openxmlformats.org/officeDocument/2006/relationships/hyperlink" Target="https://image.skechers.com/img/productimages/xlarge/118423W_DKTP_A.jpg" TargetMode="External"/><Relationship Id="rId448" Type="http://schemas.openxmlformats.org/officeDocument/2006/relationships/hyperlink" Target="https://image.skechers.com/img/productimages/xlarge/205333_COC_A.jpg" TargetMode="External"/><Relationship Id="rId613" Type="http://schemas.openxmlformats.org/officeDocument/2006/relationships/hyperlink" Target="https://image.skechers.com/img/productimages/xlarge/221140_NVY_A.jpg" TargetMode="External"/><Relationship Id="rId655" Type="http://schemas.openxmlformats.org/officeDocument/2006/relationships/hyperlink" Target="https://image.skechers.com/img/productimages/xlarge/232655_BBK_A.jpg" TargetMode="External"/><Relationship Id="rId697" Type="http://schemas.openxmlformats.org/officeDocument/2006/relationships/hyperlink" Target="https://image.skechers.com/img/productimages/xlarge/233132_TPBG_A.jpg" TargetMode="External"/><Relationship Id="rId820" Type="http://schemas.openxmlformats.org/officeDocument/2006/relationships/hyperlink" Target="https://image.skechers.com/img/productimages/xlarge/256202_BBK_A.jpg" TargetMode="External"/><Relationship Id="rId252" Type="http://schemas.openxmlformats.org/officeDocument/2006/relationships/hyperlink" Target="https://image.skechers.com/img/productimages/xlarge/149693_ROS_A.jpg" TargetMode="External"/><Relationship Id="rId294" Type="http://schemas.openxmlformats.org/officeDocument/2006/relationships/hyperlink" Target="https://image.skechers.com/img/productimages/xlarge/149693_ROS_A.jpg" TargetMode="External"/><Relationship Id="rId308" Type="http://schemas.openxmlformats.org/officeDocument/2006/relationships/hyperlink" Target="https://image.skechers.com/img/productimages/xlarge/149693_ROS_A.jpg" TargetMode="External"/><Relationship Id="rId515" Type="http://schemas.openxmlformats.org/officeDocument/2006/relationships/hyperlink" Target="https://image.skechers.com/img/productimages/xlarge/217086_BKGY_A.jpg" TargetMode="External"/><Relationship Id="rId722" Type="http://schemas.openxmlformats.org/officeDocument/2006/relationships/hyperlink" Target="https://image.skechers.com/img/productimages/xlarge/233247_WHT_A.jpg" TargetMode="External"/><Relationship Id="rId47" Type="http://schemas.openxmlformats.org/officeDocument/2006/relationships/hyperlink" Target="https://image.skechers.com/img/productimages/xlarge/149693_ROS_A.jpg" TargetMode="External"/><Relationship Id="rId89" Type="http://schemas.openxmlformats.org/officeDocument/2006/relationships/hyperlink" Target="https://image.skechers.com/img/productimages/xlarge/149693_ROS_A.jpg" TargetMode="External"/><Relationship Id="rId112" Type="http://schemas.openxmlformats.org/officeDocument/2006/relationships/hyperlink" Target="https://image.skechers.com/img/productimages/xlarge/149693_ROS_A.jpg" TargetMode="External"/><Relationship Id="rId154" Type="http://schemas.openxmlformats.org/officeDocument/2006/relationships/hyperlink" Target="https://image.skechers.com/img/productimages/xlarge/149693_ROS_A.jpg" TargetMode="External"/><Relationship Id="rId361" Type="http://schemas.openxmlformats.org/officeDocument/2006/relationships/hyperlink" Target="https://image.skechers.com/img/productimages/xlarge/149693_ROS_A.jpg" TargetMode="External"/><Relationship Id="rId557" Type="http://schemas.openxmlformats.org/officeDocument/2006/relationships/hyperlink" Target="https://image.skechers.com/img/productimages/xlarge/220615_BKW_A.jpg" TargetMode="External"/><Relationship Id="rId599" Type="http://schemas.openxmlformats.org/officeDocument/2006/relationships/hyperlink" Target="https://image.skechers.com/img/productimages/xlarge/221041_CHAR_A.jpg" TargetMode="External"/><Relationship Id="rId764" Type="http://schemas.openxmlformats.org/officeDocument/2006/relationships/hyperlink" Target="https://image.skechers.com/img/productimages/xlarge/237631_NTGY_A.jpg" TargetMode="External"/><Relationship Id="rId196" Type="http://schemas.openxmlformats.org/officeDocument/2006/relationships/hyperlink" Target="https://image.skechers.com/img/productimages/xlarge/149693_ROS_A.jpg" TargetMode="External"/><Relationship Id="rId417" Type="http://schemas.openxmlformats.org/officeDocument/2006/relationships/hyperlink" Target="https://image.skechers.com/img/productimages/xlarge/183004_WGRN_A.jpg" TargetMode="External"/><Relationship Id="rId459" Type="http://schemas.openxmlformats.org/officeDocument/2006/relationships/hyperlink" Target="https://image.skechers.com/img/productimages/xlarge/210925_COC_A.jpg" TargetMode="External"/><Relationship Id="rId624" Type="http://schemas.openxmlformats.org/officeDocument/2006/relationships/hyperlink" Target="https://image.skechers.com/img/productimages/xlarge/221141WW_GRY_A.jpg" TargetMode="External"/><Relationship Id="rId666" Type="http://schemas.openxmlformats.org/officeDocument/2006/relationships/hyperlink" Target="https://image.skechers.com/img/productimages/xlarge/232846_BKW_A.jpg" TargetMode="External"/><Relationship Id="rId16" Type="http://schemas.openxmlformats.org/officeDocument/2006/relationships/hyperlink" Target="https://image.skechers.com/img/productimages/xlarge/149693_ROS_A.jpg" TargetMode="External"/><Relationship Id="rId221" Type="http://schemas.openxmlformats.org/officeDocument/2006/relationships/hyperlink" Target="https://image.skechers.com/img/productimages/xlarge/149693_ROS_A.jpg" TargetMode="External"/><Relationship Id="rId263" Type="http://schemas.openxmlformats.org/officeDocument/2006/relationships/hyperlink" Target="https://image.skechers.com/img/productimages/xlarge/149693_ROS_A.jpg" TargetMode="External"/><Relationship Id="rId319" Type="http://schemas.openxmlformats.org/officeDocument/2006/relationships/hyperlink" Target="https://image.skechers.com/img/productimages/xlarge/149693_ROS_A.jpg" TargetMode="External"/><Relationship Id="rId470" Type="http://schemas.openxmlformats.org/officeDocument/2006/relationships/hyperlink" Target="https://image.skechers.com/img/productimages/xlarge/211319_CHAR_A.jpg" TargetMode="External"/><Relationship Id="rId526" Type="http://schemas.openxmlformats.org/officeDocument/2006/relationships/hyperlink" Target="https://image.skechers.com/img/productimages/xlarge/220392_BBK_A.jpg" TargetMode="External"/><Relationship Id="rId58" Type="http://schemas.openxmlformats.org/officeDocument/2006/relationships/hyperlink" Target="https://image.skechers.com/img/productimages/xlarge/149693_ROS_A.jpg" TargetMode="External"/><Relationship Id="rId123" Type="http://schemas.openxmlformats.org/officeDocument/2006/relationships/hyperlink" Target="https://image.skechers.com/img/productimages/xlarge/149693_ROS_A.jpg" TargetMode="External"/><Relationship Id="rId330" Type="http://schemas.openxmlformats.org/officeDocument/2006/relationships/hyperlink" Target="https://image.skechers.com/img/productimages/xlarge/149693_ROS_A.jpg" TargetMode="External"/><Relationship Id="rId568" Type="http://schemas.openxmlformats.org/officeDocument/2006/relationships/hyperlink" Target="https://image.skechers.com/img/productimages/xlarge/220837_BBK_A.jpg" TargetMode="External"/><Relationship Id="rId733" Type="http://schemas.openxmlformats.org/officeDocument/2006/relationships/hyperlink" Target="https://image.skechers.com/img/productimages/xlarge/233400WW_GYBK_A.jpg" TargetMode="External"/><Relationship Id="rId775" Type="http://schemas.openxmlformats.org/officeDocument/2006/relationships/hyperlink" Target="https://image.skechers.com/img/productimages/xlarge/237671_BBK_A.jpg" TargetMode="External"/><Relationship Id="rId165" Type="http://schemas.openxmlformats.org/officeDocument/2006/relationships/hyperlink" Target="https://image.skechers.com/img/productimages/xlarge/149693_ROS_A.jpg" TargetMode="External"/><Relationship Id="rId372" Type="http://schemas.openxmlformats.org/officeDocument/2006/relationships/hyperlink" Target="https://image.skechers.com/img/productimages/xlarge/149693_ROS_A.jpg" TargetMode="External"/><Relationship Id="rId428" Type="http://schemas.openxmlformats.org/officeDocument/2006/relationships/hyperlink" Target="https://image.skechers.com/img/productimages/xlarge/183053_WHT_A.jpg" TargetMode="External"/><Relationship Id="rId635" Type="http://schemas.openxmlformats.org/officeDocument/2006/relationships/hyperlink" Target="https://image.skechers.com/img/productimages/xlarge/221240_WMLT_A.jpg" TargetMode="External"/><Relationship Id="rId677" Type="http://schemas.openxmlformats.org/officeDocument/2006/relationships/hyperlink" Target="https://image.skechers.com/img/productimages/xlarge/233035_BKGY_A.jpg" TargetMode="External"/><Relationship Id="rId800" Type="http://schemas.openxmlformats.org/officeDocument/2006/relationships/hyperlink" Target="https://image.skechers.com/img/productimages/xlarge/237818_TPE_A.jpg" TargetMode="External"/><Relationship Id="rId232" Type="http://schemas.openxmlformats.org/officeDocument/2006/relationships/hyperlink" Target="https://image.skechers.com/img/productimages/xlarge/149693_ROS_A.jpg" TargetMode="External"/><Relationship Id="rId274" Type="http://schemas.openxmlformats.org/officeDocument/2006/relationships/hyperlink" Target="https://image.skechers.com/img/productimages/xlarge/149693_ROS_A.jpg" TargetMode="External"/><Relationship Id="rId481" Type="http://schemas.openxmlformats.org/officeDocument/2006/relationships/hyperlink" Target="https://image.skechers.com/img/productimages/xlarge/211403_TPBK_A.jpg" TargetMode="External"/><Relationship Id="rId702" Type="http://schemas.openxmlformats.org/officeDocument/2006/relationships/hyperlink" Target="https://image.skechers.com/img/productimages/xlarge/233133_NVY_A.jpg" TargetMode="External"/><Relationship Id="rId27" Type="http://schemas.openxmlformats.org/officeDocument/2006/relationships/hyperlink" Target="https://image.skechers.com/img/productimages/xlarge/149693_ROS_A.jpg" TargetMode="External"/><Relationship Id="rId69" Type="http://schemas.openxmlformats.org/officeDocument/2006/relationships/hyperlink" Target="https://image.skechers.com/img/productimages/xlarge/149693_ROS_A.jpg" TargetMode="External"/><Relationship Id="rId134" Type="http://schemas.openxmlformats.org/officeDocument/2006/relationships/hyperlink" Target="https://image.skechers.com/img/productimages/xlarge/149693_ROS_A.jpg" TargetMode="External"/><Relationship Id="rId537" Type="http://schemas.openxmlformats.org/officeDocument/2006/relationships/hyperlink" Target="https://image.skechers.com/img/productimages/xlarge/220607_GRY_A.jpg" TargetMode="External"/><Relationship Id="rId579" Type="http://schemas.openxmlformats.org/officeDocument/2006/relationships/hyperlink" Target="https://image.skechers.com/img/productimages/xlarge/220872_TPE_A.jpg" TargetMode="External"/><Relationship Id="rId744" Type="http://schemas.openxmlformats.org/officeDocument/2006/relationships/hyperlink" Target="https://image.skechers.com/img/productimages/xlarge/237303_BBK_A.jpg" TargetMode="External"/><Relationship Id="rId786" Type="http://schemas.openxmlformats.org/officeDocument/2006/relationships/hyperlink" Target="https://image.skechers.com/img/productimages/xlarge/237755_TPMT_A.jpg" TargetMode="External"/><Relationship Id="rId80" Type="http://schemas.openxmlformats.org/officeDocument/2006/relationships/hyperlink" Target="https://image.skechers.com/img/productimages/xlarge/149693_ROS_A.jpg" TargetMode="External"/><Relationship Id="rId176" Type="http://schemas.openxmlformats.org/officeDocument/2006/relationships/hyperlink" Target="https://image.skechers.com/img/productimages/xlarge/149693_ROS_A.jpg" TargetMode="External"/><Relationship Id="rId341" Type="http://schemas.openxmlformats.org/officeDocument/2006/relationships/hyperlink" Target="https://image.skechers.com/img/productimages/xlarge/149693_ROS_A.jpg" TargetMode="External"/><Relationship Id="rId383" Type="http://schemas.openxmlformats.org/officeDocument/2006/relationships/hyperlink" Target="https://image.skechers.com/img/productimages/xlarge/118412_BKGY_A.jpg" TargetMode="External"/><Relationship Id="rId439" Type="http://schemas.openxmlformats.org/officeDocument/2006/relationships/hyperlink" Target="https://image.skechers.com/img/productimages/xlarge/200278_BLK_A.jpg" TargetMode="External"/><Relationship Id="rId590" Type="http://schemas.openxmlformats.org/officeDocument/2006/relationships/hyperlink" Target="https://image.skechers.com/img/productimages/xlarge/221000_GYCC_A.jpg" TargetMode="External"/><Relationship Id="rId604" Type="http://schemas.openxmlformats.org/officeDocument/2006/relationships/hyperlink" Target="https://image.skechers.com/img/productimages/xlarge/221120_WBK_A.jpg" TargetMode="External"/><Relationship Id="rId646" Type="http://schemas.openxmlformats.org/officeDocument/2006/relationships/hyperlink" Target="https://image.skechers.com/img/productimages/xlarge/221262_WGY_A.jpg" TargetMode="External"/><Relationship Id="rId811" Type="http://schemas.openxmlformats.org/officeDocument/2006/relationships/hyperlink" Target="https://image.skechers.com/img/productimages/xlarge/254150_BKW_A.jpg" TargetMode="External"/><Relationship Id="rId201" Type="http://schemas.openxmlformats.org/officeDocument/2006/relationships/hyperlink" Target="https://image.skechers.com/img/productimages/xlarge/149693_ROS_A.jpg" TargetMode="External"/><Relationship Id="rId243" Type="http://schemas.openxmlformats.org/officeDocument/2006/relationships/hyperlink" Target="https://image.skechers.com/img/productimages/xlarge/149693_ROS_A.jpg" TargetMode="External"/><Relationship Id="rId285" Type="http://schemas.openxmlformats.org/officeDocument/2006/relationships/hyperlink" Target="https://image.skechers.com/img/productimages/xlarge/149693_ROS_A.jpg" TargetMode="External"/><Relationship Id="rId450" Type="http://schemas.openxmlformats.org/officeDocument/2006/relationships/hyperlink" Target="https://image.skechers.com/img/productimages/xlarge/205587_COC_A.jpg" TargetMode="External"/><Relationship Id="rId506" Type="http://schemas.openxmlformats.org/officeDocument/2006/relationships/hyperlink" Target="https://image.skechers.com/img/productimages/xlarge/217017_BBK_A.jpg" TargetMode="External"/><Relationship Id="rId688" Type="http://schemas.openxmlformats.org/officeDocument/2006/relationships/hyperlink" Target="https://image.skechers.com/img/productimages/xlarge/233110_CCBL_A.jpg" TargetMode="External"/><Relationship Id="rId38" Type="http://schemas.openxmlformats.org/officeDocument/2006/relationships/hyperlink" Target="https://image.skechers.com/img/productimages/xlarge/149693_ROS_A.jpg" TargetMode="External"/><Relationship Id="rId103" Type="http://schemas.openxmlformats.org/officeDocument/2006/relationships/hyperlink" Target="https://image.skechers.com/img/productimages/xlarge/149693_ROS_A.jpg" TargetMode="External"/><Relationship Id="rId310" Type="http://schemas.openxmlformats.org/officeDocument/2006/relationships/hyperlink" Target="https://image.skechers.com/img/productimages/xlarge/149693_ROS_A.jpg" TargetMode="External"/><Relationship Id="rId492" Type="http://schemas.openxmlformats.org/officeDocument/2006/relationships/hyperlink" Target="https://image.skechers.com/img/productimages/xlarge/216777_NVY_A.jpg" TargetMode="External"/><Relationship Id="rId548" Type="http://schemas.openxmlformats.org/officeDocument/2006/relationships/hyperlink" Target="https://image.skechers.com/img/productimages/xlarge/220613_NVY_A.jpg" TargetMode="External"/><Relationship Id="rId713" Type="http://schemas.openxmlformats.org/officeDocument/2006/relationships/hyperlink" Target="https://image.skechers.com/img/productimages/xlarge/233218_SLT_A.jpg" TargetMode="External"/><Relationship Id="rId755" Type="http://schemas.openxmlformats.org/officeDocument/2006/relationships/hyperlink" Target="https://image.skechers.com/img/productimages/xlarge/237524_BROR_A.jpg" TargetMode="External"/><Relationship Id="rId797" Type="http://schemas.openxmlformats.org/officeDocument/2006/relationships/hyperlink" Target="https://image.skechers.com/img/productimages/xlarge/237812_BKCC_A.jpg" TargetMode="External"/><Relationship Id="rId91" Type="http://schemas.openxmlformats.org/officeDocument/2006/relationships/hyperlink" Target="https://image.skechers.com/img/productimages/xlarge/149693_ROS_A.jpg" TargetMode="External"/><Relationship Id="rId145" Type="http://schemas.openxmlformats.org/officeDocument/2006/relationships/hyperlink" Target="https://image.skechers.com/img/productimages/xlarge/149693_ROS_A.jpg" TargetMode="External"/><Relationship Id="rId187" Type="http://schemas.openxmlformats.org/officeDocument/2006/relationships/hyperlink" Target="https://image.skechers.com/img/productimages/xlarge/149693_ROS_A.jpg" TargetMode="External"/><Relationship Id="rId352" Type="http://schemas.openxmlformats.org/officeDocument/2006/relationships/hyperlink" Target="https://image.skechers.com/img/productimages/xlarge/52458_NVY_A.jpg" TargetMode="External"/><Relationship Id="rId394" Type="http://schemas.openxmlformats.org/officeDocument/2006/relationships/hyperlink" Target="https://image.skechers.com/img/productimages/xlarge/118423W_NVY_A.jpg" TargetMode="External"/><Relationship Id="rId408" Type="http://schemas.openxmlformats.org/officeDocument/2006/relationships/hyperlink" Target="https://image.skechers.com/img/productimages/xlarge/118451_BBK_A.jpg" TargetMode="External"/><Relationship Id="rId615" Type="http://schemas.openxmlformats.org/officeDocument/2006/relationships/hyperlink" Target="https://image.skechers.com/img/productimages/xlarge/221140_WNV_A.jpg" TargetMode="External"/><Relationship Id="rId212" Type="http://schemas.openxmlformats.org/officeDocument/2006/relationships/hyperlink" Target="https://image.skechers.com/img/productimages/xlarge/149693_ROS_A.jpg" TargetMode="External"/><Relationship Id="rId254" Type="http://schemas.openxmlformats.org/officeDocument/2006/relationships/hyperlink" Target="https://image.skechers.com/img/productimages/xlarge/149693_ROS_A.jpg" TargetMode="External"/><Relationship Id="rId657" Type="http://schemas.openxmlformats.org/officeDocument/2006/relationships/hyperlink" Target="https://image.skechers.com/img/productimages/xlarge/232713_BBK_A.jpg" TargetMode="External"/><Relationship Id="rId699" Type="http://schemas.openxmlformats.org/officeDocument/2006/relationships/hyperlink" Target="https://image.skechers.com/img/productimages/xlarge/233132_WLB_A.jpg" TargetMode="External"/><Relationship Id="rId49" Type="http://schemas.openxmlformats.org/officeDocument/2006/relationships/hyperlink" Target="https://image.skechers.com/img/productimages/xlarge/149693_ROS_A.jpg" TargetMode="External"/><Relationship Id="rId114" Type="http://schemas.openxmlformats.org/officeDocument/2006/relationships/hyperlink" Target="https://image.skechers.com/img/productimages/xlarge/149693_ROS_A.jpg" TargetMode="External"/><Relationship Id="rId296" Type="http://schemas.openxmlformats.org/officeDocument/2006/relationships/hyperlink" Target="https://image.skechers.com/img/productimages/xlarge/149693_ROS_A.jpg" TargetMode="External"/><Relationship Id="rId461" Type="http://schemas.openxmlformats.org/officeDocument/2006/relationships/hyperlink" Target="https://image.skechers.com/img/productimages/xlarge/210932_COC_A.jpg" TargetMode="External"/><Relationship Id="rId517" Type="http://schemas.openxmlformats.org/officeDocument/2006/relationships/hyperlink" Target="https://image.skechers.com/img/productimages/xlarge/217087_BBK_A.jpg" TargetMode="External"/><Relationship Id="rId559" Type="http://schemas.openxmlformats.org/officeDocument/2006/relationships/hyperlink" Target="https://image.skechers.com/img/productimages/xlarge/220623_BBK_A.jpg" TargetMode="External"/><Relationship Id="rId724" Type="http://schemas.openxmlformats.org/officeDocument/2006/relationships/hyperlink" Target="https://image.skechers.com/img/productimages/xlarge/233255_NVOR_A.jpg" TargetMode="External"/><Relationship Id="rId766" Type="http://schemas.openxmlformats.org/officeDocument/2006/relationships/hyperlink" Target="https://image.skechers.com/img/productimages/xlarge/237634W_BBK_A.jpg" TargetMode="External"/><Relationship Id="rId60" Type="http://schemas.openxmlformats.org/officeDocument/2006/relationships/hyperlink" Target="https://image.skechers.com/img/productimages/xlarge/149693_ROS_A.jpg" TargetMode="External"/><Relationship Id="rId156" Type="http://schemas.openxmlformats.org/officeDocument/2006/relationships/hyperlink" Target="https://image.skechers.com/img/productimages/xlarge/149693_ROS_A.jpg" TargetMode="External"/><Relationship Id="rId198" Type="http://schemas.openxmlformats.org/officeDocument/2006/relationships/hyperlink" Target="https://image.skechers.com/img/productimages/xlarge/149693_ROS_A.jpg" TargetMode="External"/><Relationship Id="rId321" Type="http://schemas.openxmlformats.org/officeDocument/2006/relationships/hyperlink" Target="https://image.skechers.com/img/productimages/xlarge/149693_ROS_A.jpg" TargetMode="External"/><Relationship Id="rId363" Type="http://schemas.openxmlformats.org/officeDocument/2006/relationships/hyperlink" Target="https://image.skechers.com/img/productimages/xlarge/149693_ROS_A.jpg" TargetMode="External"/><Relationship Id="rId419" Type="http://schemas.openxmlformats.org/officeDocument/2006/relationships/hyperlink" Target="https://image.skechers.com/img/productimages/xlarge/183004_WNVR_A.jpg" TargetMode="External"/><Relationship Id="rId570" Type="http://schemas.openxmlformats.org/officeDocument/2006/relationships/hyperlink" Target="https://image.skechers.com/img/productimages/xlarge/220861_BLK_A.jpg" TargetMode="External"/><Relationship Id="rId626" Type="http://schemas.openxmlformats.org/officeDocument/2006/relationships/hyperlink" Target="https://image.skechers.com/img/productimages/xlarge/221220_NAT_A.jpg" TargetMode="External"/><Relationship Id="rId223" Type="http://schemas.openxmlformats.org/officeDocument/2006/relationships/hyperlink" Target="https://image.skechers.com/img/productimages/xlarge/149693_ROS_A.jpg" TargetMode="External"/><Relationship Id="rId430" Type="http://schemas.openxmlformats.org/officeDocument/2006/relationships/hyperlink" Target="https://image.skechers.com/img/productimages/xlarge/183240_BLK_A.jpg" TargetMode="External"/><Relationship Id="rId668" Type="http://schemas.openxmlformats.org/officeDocument/2006/relationships/hyperlink" Target="https://image.skechers.com/img/productimages/xlarge/232900_BBK_A.jpg" TargetMode="External"/><Relationship Id="rId18" Type="http://schemas.openxmlformats.org/officeDocument/2006/relationships/hyperlink" Target="https://image.skechers.com/img/productimages/xlarge/149693_ROS_A.jpg" TargetMode="External"/><Relationship Id="rId265" Type="http://schemas.openxmlformats.org/officeDocument/2006/relationships/hyperlink" Target="https://image.skechers.com/img/productimages/xlarge/149693_ROS_A.jpg" TargetMode="External"/><Relationship Id="rId472" Type="http://schemas.openxmlformats.org/officeDocument/2006/relationships/hyperlink" Target="https://image.skechers.com/img/productimages/xlarge/211325_BLK_A.jpg" TargetMode="External"/><Relationship Id="rId528" Type="http://schemas.openxmlformats.org/officeDocument/2006/relationships/hyperlink" Target="https://image.skechers.com/img/productimages/xlarge/220415_BKW_A.jpg" TargetMode="External"/><Relationship Id="rId735" Type="http://schemas.openxmlformats.org/officeDocument/2006/relationships/hyperlink" Target="https://image.skechers.com/img/productimages/xlarge/233401_BBK_A.jpg" TargetMode="External"/><Relationship Id="rId125" Type="http://schemas.openxmlformats.org/officeDocument/2006/relationships/hyperlink" Target="https://image.skechers.com/img/productimages/xlarge/149693_ROS_A.jpg" TargetMode="External"/><Relationship Id="rId167" Type="http://schemas.openxmlformats.org/officeDocument/2006/relationships/hyperlink" Target="https://image.skechers.com/img/productimages/xlarge/149693_ROS_A.jpg" TargetMode="External"/><Relationship Id="rId332" Type="http://schemas.openxmlformats.org/officeDocument/2006/relationships/hyperlink" Target="https://image.skechers.com/img/productimages/xlarge/149693_ROS_A.jpg" TargetMode="External"/><Relationship Id="rId374" Type="http://schemas.openxmlformats.org/officeDocument/2006/relationships/hyperlink" Target="https://image.skechers.com/img/productimages/xlarge/100859_BBK_A.jpg" TargetMode="External"/><Relationship Id="rId581" Type="http://schemas.openxmlformats.org/officeDocument/2006/relationships/hyperlink" Target="https://image.skechers.com/img/productimages/xlarge/220880_BKW_A.jpg" TargetMode="External"/><Relationship Id="rId777" Type="http://schemas.openxmlformats.org/officeDocument/2006/relationships/hyperlink" Target="https://image.skechers.com/img/productimages/xlarge/237671_OLBK_A.jpg" TargetMode="External"/><Relationship Id="rId71" Type="http://schemas.openxmlformats.org/officeDocument/2006/relationships/hyperlink" Target="https://image.skechers.com/img/productimages/xlarge/149693_ROS_A.jpg" TargetMode="External"/><Relationship Id="rId234" Type="http://schemas.openxmlformats.org/officeDocument/2006/relationships/hyperlink" Target="https://image.skechers.com/img/productimages/xlarge/149693_ROS_A.jpg" TargetMode="External"/><Relationship Id="rId637" Type="http://schemas.openxmlformats.org/officeDocument/2006/relationships/hyperlink" Target="https://image.skechers.com/img/productimages/xlarge/221241_BKW_A.jpg" TargetMode="External"/><Relationship Id="rId679" Type="http://schemas.openxmlformats.org/officeDocument/2006/relationships/hyperlink" Target="https://image.skechers.com/img/productimages/xlarge/233035_OFWT_A.jpg" TargetMode="External"/><Relationship Id="rId802" Type="http://schemas.openxmlformats.org/officeDocument/2006/relationships/hyperlink" Target="https://image.skechers.com/img/productimages/xlarge/237820_TPE_A.jpg" TargetMode="External"/><Relationship Id="rId2" Type="http://schemas.openxmlformats.org/officeDocument/2006/relationships/hyperlink" Target="https://image.skechers.com/img/productimages/xlarge/149693_ROS_A.jpg" TargetMode="External"/><Relationship Id="rId29" Type="http://schemas.openxmlformats.org/officeDocument/2006/relationships/hyperlink" Target="https://image.skechers.com/img/productimages/xlarge/149693_ROS_A.jpg" TargetMode="External"/><Relationship Id="rId276" Type="http://schemas.openxmlformats.org/officeDocument/2006/relationships/hyperlink" Target="https://image.skechers.com/img/productimages/xlarge/149693_ROS_A.jpg" TargetMode="External"/><Relationship Id="rId441" Type="http://schemas.openxmlformats.org/officeDocument/2006/relationships/hyperlink" Target="https://image.skechers.com/img/productimages/xlarge/200388_BLK_A.jpg" TargetMode="External"/><Relationship Id="rId483" Type="http://schemas.openxmlformats.org/officeDocument/2006/relationships/hyperlink" Target="https://image.skechers.com/img/productimages/xlarge/211448_LTBR_A.jpg" TargetMode="External"/><Relationship Id="rId539" Type="http://schemas.openxmlformats.org/officeDocument/2006/relationships/hyperlink" Target="https://image.skechers.com/img/productimages/xlarge/220609_BLU_A.jpg" TargetMode="External"/><Relationship Id="rId690" Type="http://schemas.openxmlformats.org/officeDocument/2006/relationships/hyperlink" Target="https://image.skechers.com/img/productimages/xlarge/233113_BBK_A.jpg" TargetMode="External"/><Relationship Id="rId704" Type="http://schemas.openxmlformats.org/officeDocument/2006/relationships/hyperlink" Target="https://image.skechers.com/img/productimages/xlarge/233135_BBK_A.jpg" TargetMode="External"/><Relationship Id="rId746" Type="http://schemas.openxmlformats.org/officeDocument/2006/relationships/hyperlink" Target="https://image.skechers.com/img/productimages/xlarge/237308_BBK_A.jpg" TargetMode="External"/><Relationship Id="rId40" Type="http://schemas.openxmlformats.org/officeDocument/2006/relationships/hyperlink" Target="https://image.skechers.com/img/productimages/xlarge/149693_ROS_A.jpg" TargetMode="External"/><Relationship Id="rId136" Type="http://schemas.openxmlformats.org/officeDocument/2006/relationships/hyperlink" Target="https://image.skechers.com/img/productimages/xlarge/149693_ROS_A.jpg" TargetMode="External"/><Relationship Id="rId178" Type="http://schemas.openxmlformats.org/officeDocument/2006/relationships/hyperlink" Target="https://image.skechers.com/img/productimages/xlarge/149693_ROS_A.jpg" TargetMode="External"/><Relationship Id="rId301" Type="http://schemas.openxmlformats.org/officeDocument/2006/relationships/hyperlink" Target="https://image.skechers.com/img/productimages/xlarge/149693_ROS_A.jpg" TargetMode="External"/><Relationship Id="rId343" Type="http://schemas.openxmlformats.org/officeDocument/2006/relationships/hyperlink" Target="https://image.skechers.com/img/productimages/xlarge/149693_ROS_A.jpg" TargetMode="External"/><Relationship Id="rId550" Type="http://schemas.openxmlformats.org/officeDocument/2006/relationships/hyperlink" Target="https://image.skechers.com/img/productimages/xlarge/220613_TPBK_A.jpg" TargetMode="External"/><Relationship Id="rId788" Type="http://schemas.openxmlformats.org/officeDocument/2006/relationships/hyperlink" Target="https://image.skechers.com/img/productimages/xlarge/237788_OLV_A.jpg" TargetMode="External"/><Relationship Id="rId82" Type="http://schemas.openxmlformats.org/officeDocument/2006/relationships/hyperlink" Target="https://image.skechers.com/img/productimages/xlarge/149693_ROS_A.jpg" TargetMode="External"/><Relationship Id="rId203" Type="http://schemas.openxmlformats.org/officeDocument/2006/relationships/hyperlink" Target="https://image.skechers.com/img/productimages/xlarge/149693_ROS_A.jpg" TargetMode="External"/><Relationship Id="rId385" Type="http://schemas.openxmlformats.org/officeDocument/2006/relationships/hyperlink" Target="https://image.skechers.com/img/productimages/xlarge/118412_TPMT_A.jpg" TargetMode="External"/><Relationship Id="rId592" Type="http://schemas.openxmlformats.org/officeDocument/2006/relationships/hyperlink" Target="https://image.skechers.com/img/productimages/xlarge/221000_NVY_A.jpg" TargetMode="External"/><Relationship Id="rId606" Type="http://schemas.openxmlformats.org/officeDocument/2006/relationships/hyperlink" Target="https://image.skechers.com/img/productimages/xlarge/221121_BKW_A.jpg" TargetMode="External"/><Relationship Id="rId648" Type="http://schemas.openxmlformats.org/officeDocument/2006/relationships/hyperlink" Target="https://image.skechers.com/img/productimages/xlarge/232296_BBK_A.jpg" TargetMode="External"/><Relationship Id="rId813" Type="http://schemas.openxmlformats.org/officeDocument/2006/relationships/hyperlink" Target="https://image.skechers.com/img/productimages/xlarge/254172_NTGR_A.jpg" TargetMode="External"/><Relationship Id="rId245" Type="http://schemas.openxmlformats.org/officeDocument/2006/relationships/hyperlink" Target="https://image.skechers.com/img/productimages/xlarge/149693_ROS_A.jpg" TargetMode="External"/><Relationship Id="rId287" Type="http://schemas.openxmlformats.org/officeDocument/2006/relationships/hyperlink" Target="https://image.skechers.com/img/productimages/xlarge/149693_ROS_A.jpg" TargetMode="External"/><Relationship Id="rId410" Type="http://schemas.openxmlformats.org/officeDocument/2006/relationships/hyperlink" Target="https://image.skechers.com/img/productimages/xlarge/183004_B_A.jpg" TargetMode="External"/><Relationship Id="rId452" Type="http://schemas.openxmlformats.org/officeDocument/2006/relationships/hyperlink" Target="https://image.skechers.com/img/productimages/xlarge/205656_CDB_A.jpg" TargetMode="External"/><Relationship Id="rId494" Type="http://schemas.openxmlformats.org/officeDocument/2006/relationships/hyperlink" Target="https://image.skechers.com/img/productimages/xlarge/216782_GYYL_A.jpg" TargetMode="External"/><Relationship Id="rId508" Type="http://schemas.openxmlformats.org/officeDocument/2006/relationships/hyperlink" Target="https://image.skechers.com/img/productimages/xlarge/217017_GYBK_A.jpg" TargetMode="External"/><Relationship Id="rId715" Type="http://schemas.openxmlformats.org/officeDocument/2006/relationships/hyperlink" Target="https://image.skechers.com/img/productimages/xlarge/233244_GYBK_A.jpg" TargetMode="External"/><Relationship Id="rId105" Type="http://schemas.openxmlformats.org/officeDocument/2006/relationships/hyperlink" Target="https://image.skechers.com/img/productimages/xlarge/149693_ROS_A.jpg" TargetMode="External"/><Relationship Id="rId147" Type="http://schemas.openxmlformats.org/officeDocument/2006/relationships/hyperlink" Target="https://image.skechers.com/img/productimages/xlarge/149693_ROS_A.jpg" TargetMode="External"/><Relationship Id="rId312" Type="http://schemas.openxmlformats.org/officeDocument/2006/relationships/hyperlink" Target="https://image.skechers.com/img/productimages/xlarge/149693_ROS_A.jpg" TargetMode="External"/><Relationship Id="rId354" Type="http://schemas.openxmlformats.org/officeDocument/2006/relationships/hyperlink" Target="https://image.skechers.com/img/productimages/xlarge/52458_TAN_A.jpg" TargetMode="External"/><Relationship Id="rId757" Type="http://schemas.openxmlformats.org/officeDocument/2006/relationships/hyperlink" Target="https://image.skechers.com/img/productimages/xlarge/237553_BBK_A.jpg" TargetMode="External"/><Relationship Id="rId799" Type="http://schemas.openxmlformats.org/officeDocument/2006/relationships/hyperlink" Target="https://image.skechers.com/img/productimages/xlarge/237818_GRY_A.jpg" TargetMode="External"/><Relationship Id="rId51" Type="http://schemas.openxmlformats.org/officeDocument/2006/relationships/hyperlink" Target="https://image.skechers.com/img/productimages/xlarge/149693_ROS_A.jpg" TargetMode="External"/><Relationship Id="rId93" Type="http://schemas.openxmlformats.org/officeDocument/2006/relationships/hyperlink" Target="https://image.skechers.com/img/productimages/xlarge/149693_ROS_A.jpg" TargetMode="External"/><Relationship Id="rId189" Type="http://schemas.openxmlformats.org/officeDocument/2006/relationships/hyperlink" Target="https://image.skechers.com/img/productimages/xlarge/149693_ROS_A.jpg" TargetMode="External"/><Relationship Id="rId396" Type="http://schemas.openxmlformats.org/officeDocument/2006/relationships/hyperlink" Target="https://image.skechers.com/img/productimages/xlarge/118424_TPE_A.jpg" TargetMode="External"/><Relationship Id="rId561" Type="http://schemas.openxmlformats.org/officeDocument/2006/relationships/hyperlink" Target="https://image.skechers.com/img/productimages/xlarge/220632_BKCC_A.jpg" TargetMode="External"/><Relationship Id="rId617" Type="http://schemas.openxmlformats.org/officeDocument/2006/relationships/hyperlink" Target="https://image.skechers.com/img/productimages/xlarge/221141_BKW_A.jpg" TargetMode="External"/><Relationship Id="rId659" Type="http://schemas.openxmlformats.org/officeDocument/2006/relationships/hyperlink" Target="https://image.skechers.com/img/productimages/xlarge/232713_GYBL_A.jpg" TargetMode="External"/><Relationship Id="rId214" Type="http://schemas.openxmlformats.org/officeDocument/2006/relationships/hyperlink" Target="https://image.skechers.com/img/productimages/xlarge/149693_ROS_A.jpg" TargetMode="External"/><Relationship Id="rId256" Type="http://schemas.openxmlformats.org/officeDocument/2006/relationships/hyperlink" Target="https://image.skechers.com/img/productimages/xlarge/149693_ROS_A.jpg" TargetMode="External"/><Relationship Id="rId298" Type="http://schemas.openxmlformats.org/officeDocument/2006/relationships/hyperlink" Target="https://image.skechers.com/img/productimages/xlarge/149693_ROS_A.jpg" TargetMode="External"/><Relationship Id="rId421" Type="http://schemas.openxmlformats.org/officeDocument/2006/relationships/hyperlink" Target="https://image.skechers.com/img/productimages/xlarge/183007_BLK_A.jpg" TargetMode="External"/><Relationship Id="rId463" Type="http://schemas.openxmlformats.org/officeDocument/2006/relationships/hyperlink" Target="https://image.skechers.com/img/productimages/xlarge/210986_TPMT_A.jpg" TargetMode="External"/><Relationship Id="rId519" Type="http://schemas.openxmlformats.org/officeDocument/2006/relationships/hyperlink" Target="https://image.skechers.com/img/productimages/xlarge/217087_WNV_A.jpg" TargetMode="External"/><Relationship Id="rId670" Type="http://schemas.openxmlformats.org/officeDocument/2006/relationships/hyperlink" Target="https://image.skechers.com/img/productimages/xlarge/232900_OLV_A.jpg" TargetMode="External"/><Relationship Id="rId116" Type="http://schemas.openxmlformats.org/officeDocument/2006/relationships/hyperlink" Target="https://image.skechers.com/img/productimages/xlarge/149693_ROS_A.jpg" TargetMode="External"/><Relationship Id="rId158" Type="http://schemas.openxmlformats.org/officeDocument/2006/relationships/hyperlink" Target="https://image.skechers.com/img/productimages/xlarge/149693_ROS_A.jpg" TargetMode="External"/><Relationship Id="rId323" Type="http://schemas.openxmlformats.org/officeDocument/2006/relationships/hyperlink" Target="https://image.skechers.com/img/productimages/xlarge/149693_ROS_A.jpg" TargetMode="External"/><Relationship Id="rId530" Type="http://schemas.openxmlformats.org/officeDocument/2006/relationships/hyperlink" Target="https://image.skechers.com/img/productimages/xlarge/220415_TPE_A.jpg" TargetMode="External"/><Relationship Id="rId726" Type="http://schemas.openxmlformats.org/officeDocument/2006/relationships/hyperlink" Target="https://image.skechers.com/img/productimages/xlarge/233271_BKLM_A.jpg" TargetMode="External"/><Relationship Id="rId768" Type="http://schemas.openxmlformats.org/officeDocument/2006/relationships/hyperlink" Target="https://image.skechers.com/img/productimages/xlarge/237641_LTGY_A.jpg" TargetMode="External"/><Relationship Id="rId20" Type="http://schemas.openxmlformats.org/officeDocument/2006/relationships/hyperlink" Target="https://image.skechers.com/img/productimages/xlarge/149693_ROS_A.jpg" TargetMode="External"/><Relationship Id="rId62" Type="http://schemas.openxmlformats.org/officeDocument/2006/relationships/hyperlink" Target="https://image.skechers.com/img/productimages/xlarge/149693_ROS_A.jpg" TargetMode="External"/><Relationship Id="rId365" Type="http://schemas.openxmlformats.org/officeDocument/2006/relationships/hyperlink" Target="https://image.skechers.com/img/productimages/xlarge/149693_ROS_A.jpg" TargetMode="External"/><Relationship Id="rId572" Type="http://schemas.openxmlformats.org/officeDocument/2006/relationships/hyperlink" Target="https://image.skechers.com/img/productimages/xlarge/220861_NVY_A.jpg" TargetMode="External"/><Relationship Id="rId628" Type="http://schemas.openxmlformats.org/officeDocument/2006/relationships/hyperlink" Target="https://image.skechers.com/img/productimages/xlarge/221220WW_BBK_A.jpg" TargetMode="External"/><Relationship Id="rId225" Type="http://schemas.openxmlformats.org/officeDocument/2006/relationships/hyperlink" Target="https://image.skechers.com/img/productimages/xlarge/149693_ROS_A.jpg" TargetMode="External"/><Relationship Id="rId267" Type="http://schemas.openxmlformats.org/officeDocument/2006/relationships/hyperlink" Target="https://image.skechers.com/img/productimages/xlarge/149693_ROS_A.jpg" TargetMode="External"/><Relationship Id="rId432" Type="http://schemas.openxmlformats.org/officeDocument/2006/relationships/hyperlink" Target="https://image.skechers.com/img/productimages/xlarge/183241_WHT_A.jpg" TargetMode="External"/><Relationship Id="rId474" Type="http://schemas.openxmlformats.org/officeDocument/2006/relationships/hyperlink" Target="https://image.skechers.com/img/productimages/xlarge/211367_BBK_A.jpg" TargetMode="External"/><Relationship Id="rId127" Type="http://schemas.openxmlformats.org/officeDocument/2006/relationships/hyperlink" Target="https://image.skechers.com/img/productimages/xlarge/149693_ROS_A.jpg" TargetMode="External"/><Relationship Id="rId681" Type="http://schemas.openxmlformats.org/officeDocument/2006/relationships/hyperlink" Target="https://image.skechers.com/img/productimages/xlarge/233037_BKCC_A.jpg" TargetMode="External"/><Relationship Id="rId737" Type="http://schemas.openxmlformats.org/officeDocument/2006/relationships/hyperlink" Target="https://image.skechers.com/img/productimages/xlarge/233401_NTGY_A.jpg" TargetMode="External"/><Relationship Id="rId779" Type="http://schemas.openxmlformats.org/officeDocument/2006/relationships/hyperlink" Target="https://image.skechers.com/img/productimages/xlarge/237678_BKCC_A.jpg" TargetMode="External"/><Relationship Id="rId31" Type="http://schemas.openxmlformats.org/officeDocument/2006/relationships/hyperlink" Target="https://image.skechers.com/img/productimages/xlarge/149693_ROS_A.jpg" TargetMode="External"/><Relationship Id="rId73" Type="http://schemas.openxmlformats.org/officeDocument/2006/relationships/hyperlink" Target="https://image.skechers.com/img/productimages/xlarge/149693_ROS_A.jpg" TargetMode="External"/><Relationship Id="rId169" Type="http://schemas.openxmlformats.org/officeDocument/2006/relationships/hyperlink" Target="https://image.skechers.com/img/productimages/xlarge/149693_ROS_A.jpg" TargetMode="External"/><Relationship Id="rId334" Type="http://schemas.openxmlformats.org/officeDocument/2006/relationships/hyperlink" Target="https://image.skechers.com/img/productimages/xlarge/149693_ROS_A.jpg" TargetMode="External"/><Relationship Id="rId376" Type="http://schemas.openxmlformats.org/officeDocument/2006/relationships/hyperlink" Target="https://image.skechers.com/img/productimages/xlarge/104494_NAT_A.jpg" TargetMode="External"/><Relationship Id="rId541" Type="http://schemas.openxmlformats.org/officeDocument/2006/relationships/hyperlink" Target="https://image.skechers.com/img/productimages/xlarge/220609_SLT_A.jpg" TargetMode="External"/><Relationship Id="rId583" Type="http://schemas.openxmlformats.org/officeDocument/2006/relationships/hyperlink" Target="https://image.skechers.com/img/productimages/xlarge/220887_BBK_A.jpg" TargetMode="External"/><Relationship Id="rId639" Type="http://schemas.openxmlformats.org/officeDocument/2006/relationships/hyperlink" Target="https://image.skechers.com/img/productimages/xlarge/221241_OLV_A.jpg" TargetMode="External"/><Relationship Id="rId790" Type="http://schemas.openxmlformats.org/officeDocument/2006/relationships/hyperlink" Target="https://image.skechers.com/img/productimages/xlarge/237790_NAT_A.jpg" TargetMode="External"/><Relationship Id="rId804" Type="http://schemas.openxmlformats.org/officeDocument/2006/relationships/hyperlink" Target="https://image.skechers.com/img/productimages/xlarge/237821_GRY_A.jpg" TargetMode="External"/><Relationship Id="rId4" Type="http://schemas.openxmlformats.org/officeDocument/2006/relationships/hyperlink" Target="https://image.skechers.com/img/productimages/xlarge/149693_ROS_A.jpg" TargetMode="External"/><Relationship Id="rId180" Type="http://schemas.openxmlformats.org/officeDocument/2006/relationships/hyperlink" Target="https://image.skechers.com/img/productimages/xlarge/149693_ROS_A.jpg" TargetMode="External"/><Relationship Id="rId236" Type="http://schemas.openxmlformats.org/officeDocument/2006/relationships/hyperlink" Target="https://image.skechers.com/img/productimages/xlarge/149693_ROS_A.jpg" TargetMode="External"/><Relationship Id="rId278" Type="http://schemas.openxmlformats.org/officeDocument/2006/relationships/hyperlink" Target="https://image.skechers.com/img/productimages/xlarge/149693_ROS_A.jpg" TargetMode="External"/><Relationship Id="rId401" Type="http://schemas.openxmlformats.org/officeDocument/2006/relationships/hyperlink" Target="https://image.skechers.com/img/productimages/xlarge/118431_BBK_A.jpg" TargetMode="External"/><Relationship Id="rId443" Type="http://schemas.openxmlformats.org/officeDocument/2006/relationships/hyperlink" Target="https://image.skechers.com/img/productimages/xlarge/204699_CDB_A.jpg" TargetMode="External"/><Relationship Id="rId650" Type="http://schemas.openxmlformats.org/officeDocument/2006/relationships/hyperlink" Target="https://image.skechers.com/img/productimages/xlarge/232303_GRY_A.jpg" TargetMode="External"/><Relationship Id="rId303" Type="http://schemas.openxmlformats.org/officeDocument/2006/relationships/hyperlink" Target="https://image.skechers.com/img/productimages/xlarge/149693_ROS_A.jpg" TargetMode="External"/><Relationship Id="rId485" Type="http://schemas.openxmlformats.org/officeDocument/2006/relationships/hyperlink" Target="https://image.skechers.com/img/productimages/xlarge/216354_GYCC_A.jpg" TargetMode="External"/><Relationship Id="rId692" Type="http://schemas.openxmlformats.org/officeDocument/2006/relationships/hyperlink" Target="https://image.skechers.com/img/productimages/xlarge/233113_OLBK_A.jpg" TargetMode="External"/><Relationship Id="rId706" Type="http://schemas.openxmlformats.org/officeDocument/2006/relationships/hyperlink" Target="https://image.skechers.com/img/productimages/xlarge/233201_BBK_A.jpg" TargetMode="External"/><Relationship Id="rId748" Type="http://schemas.openxmlformats.org/officeDocument/2006/relationships/hyperlink" Target="https://image.skechers.com/img/productimages/xlarge/237412_BKCC_A.jpg" TargetMode="External"/><Relationship Id="rId42" Type="http://schemas.openxmlformats.org/officeDocument/2006/relationships/hyperlink" Target="https://image.skechers.com/img/productimages/xlarge/149693_ROS_A.jpg" TargetMode="External"/><Relationship Id="rId84" Type="http://schemas.openxmlformats.org/officeDocument/2006/relationships/hyperlink" Target="https://image.skechers.com/img/productimages/xlarge/149693_ROS_A.jpg" TargetMode="External"/><Relationship Id="rId138" Type="http://schemas.openxmlformats.org/officeDocument/2006/relationships/hyperlink" Target="https://image.skechers.com/img/productimages/xlarge/149693_ROS_A.jpg" TargetMode="External"/><Relationship Id="rId345" Type="http://schemas.openxmlformats.org/officeDocument/2006/relationships/hyperlink" Target="https://image.skechers.com/img/productimages/xlarge/149693_ROS_A.jpg" TargetMode="External"/><Relationship Id="rId387" Type="http://schemas.openxmlformats.org/officeDocument/2006/relationships/hyperlink" Target="https://image.skechers.com/img/productimages/xlarge/118423_BLK_A.jpg" TargetMode="External"/><Relationship Id="rId510" Type="http://schemas.openxmlformats.org/officeDocument/2006/relationships/hyperlink" Target="https://image.skechers.com/img/productimages/xlarge/217020_BKW_A.jpg" TargetMode="External"/><Relationship Id="rId552" Type="http://schemas.openxmlformats.org/officeDocument/2006/relationships/hyperlink" Target="https://image.skechers.com/img/productimages/xlarge/220613_WHT_A.jpg" TargetMode="External"/><Relationship Id="rId594" Type="http://schemas.openxmlformats.org/officeDocument/2006/relationships/hyperlink" Target="https://image.skechers.com/img/productimages/xlarge/221040_BKCC_A.jpg" TargetMode="External"/><Relationship Id="rId608" Type="http://schemas.openxmlformats.org/officeDocument/2006/relationships/hyperlink" Target="https://image.skechers.com/img/productimages/xlarge/221121_NVY_A.jpg" TargetMode="External"/><Relationship Id="rId815" Type="http://schemas.openxmlformats.org/officeDocument/2006/relationships/hyperlink" Target="https://image.skechers.com/img/productimages/xlarge/254172_WBLR_A.jpg" TargetMode="External"/><Relationship Id="rId191" Type="http://schemas.openxmlformats.org/officeDocument/2006/relationships/hyperlink" Target="https://image.skechers.com/img/productimages/xlarge/149693_ROS_A.jpg" TargetMode="External"/><Relationship Id="rId205" Type="http://schemas.openxmlformats.org/officeDocument/2006/relationships/hyperlink" Target="https://image.skechers.com/img/productimages/xlarge/149693_ROS_A.jpg" TargetMode="External"/><Relationship Id="rId247" Type="http://schemas.openxmlformats.org/officeDocument/2006/relationships/hyperlink" Target="https://image.skechers.com/img/productimages/xlarge/149693_ROS_A.jpg" TargetMode="External"/><Relationship Id="rId412" Type="http://schemas.openxmlformats.org/officeDocument/2006/relationships/hyperlink" Target="https://image.skechers.com/img/productimages/xlarge/183004_BLK_A.jpg" TargetMode="External"/><Relationship Id="rId107" Type="http://schemas.openxmlformats.org/officeDocument/2006/relationships/hyperlink" Target="https://image.skechers.com/img/productimages/xlarge/149693_ROS_A.jpg" TargetMode="External"/><Relationship Id="rId289" Type="http://schemas.openxmlformats.org/officeDocument/2006/relationships/hyperlink" Target="https://image.skechers.com/img/productimages/xlarge/149693_ROS_A.jpg" TargetMode="External"/><Relationship Id="rId454" Type="http://schemas.openxmlformats.org/officeDocument/2006/relationships/hyperlink" Target="https://image.skechers.com/img/productimages/xlarge/210808_BBK_A.jpg" TargetMode="External"/><Relationship Id="rId496" Type="http://schemas.openxmlformats.org/officeDocument/2006/relationships/hyperlink" Target="https://image.skechers.com/img/productimages/xlarge/216789_BBK_A.jpg" TargetMode="External"/><Relationship Id="rId661" Type="http://schemas.openxmlformats.org/officeDocument/2006/relationships/hyperlink" Target="https://image.skechers.com/img/productimages/xlarge/232730WW_WNV_A.jpg" TargetMode="External"/><Relationship Id="rId717" Type="http://schemas.openxmlformats.org/officeDocument/2006/relationships/hyperlink" Target="https://image.skechers.com/img/productimages/xlarge/233244_TPE_A.jpg" TargetMode="External"/><Relationship Id="rId759" Type="http://schemas.openxmlformats.org/officeDocument/2006/relationships/hyperlink" Target="https://image.skechers.com/img/productimages/xlarge/237565_BKNT_A.jpg" TargetMode="External"/><Relationship Id="rId11" Type="http://schemas.openxmlformats.org/officeDocument/2006/relationships/hyperlink" Target="https://image.skechers.com/img/productimages/xlarge/149693_ROS_A.jpg" TargetMode="External"/><Relationship Id="rId53" Type="http://schemas.openxmlformats.org/officeDocument/2006/relationships/hyperlink" Target="https://image.skechers.com/img/productimages/xlarge/149693_ROS_A.jpg" TargetMode="External"/><Relationship Id="rId149" Type="http://schemas.openxmlformats.org/officeDocument/2006/relationships/hyperlink" Target="https://image.skechers.com/img/productimages/xlarge/149693_ROS_A.jpg" TargetMode="External"/><Relationship Id="rId314" Type="http://schemas.openxmlformats.org/officeDocument/2006/relationships/hyperlink" Target="https://image.skechers.com/img/productimages/xlarge/149693_ROS_A.jpg" TargetMode="External"/><Relationship Id="rId356" Type="http://schemas.openxmlformats.org/officeDocument/2006/relationships/hyperlink" Target="https://image.skechers.com/img/productimages/xlarge/52458W_BBK_A.jpg" TargetMode="External"/><Relationship Id="rId398" Type="http://schemas.openxmlformats.org/officeDocument/2006/relationships/hyperlink" Target="https://image.skechers.com/img/productimages/xlarge/118430_BLK_A.jpg" TargetMode="External"/><Relationship Id="rId521" Type="http://schemas.openxmlformats.org/officeDocument/2006/relationships/hyperlink" Target="https://image.skechers.com/img/productimages/xlarge/217113_TPE_A.jpg" TargetMode="External"/><Relationship Id="rId563" Type="http://schemas.openxmlformats.org/officeDocument/2006/relationships/hyperlink" Target="https://image.skechers.com/img/productimages/xlarge/220757_BBK_A.jpg" TargetMode="External"/><Relationship Id="rId619" Type="http://schemas.openxmlformats.org/officeDocument/2006/relationships/hyperlink" Target="https://image.skechers.com/img/productimages/xlarge/221141_NAT_A.jpg" TargetMode="External"/><Relationship Id="rId770" Type="http://schemas.openxmlformats.org/officeDocument/2006/relationships/hyperlink" Target="https://image.skechers.com/img/productimages/xlarge/237657_CHAR_A.jpg" TargetMode="External"/><Relationship Id="rId95" Type="http://schemas.openxmlformats.org/officeDocument/2006/relationships/hyperlink" Target="https://image.skechers.com/img/productimages/xlarge/149693_ROS_A.jpg" TargetMode="External"/><Relationship Id="rId160" Type="http://schemas.openxmlformats.org/officeDocument/2006/relationships/hyperlink" Target="https://image.skechers.com/img/productimages/xlarge/303557L_BLK_A.jpg" TargetMode="External"/><Relationship Id="rId216" Type="http://schemas.openxmlformats.org/officeDocument/2006/relationships/hyperlink" Target="https://image.skechers.com/img/productimages/xlarge/149693_ROS_A.jpg" TargetMode="External"/><Relationship Id="rId423" Type="http://schemas.openxmlformats.org/officeDocument/2006/relationships/hyperlink" Target="https://image.skechers.com/img/productimages/xlarge/183007_NTBL_A.jpg" TargetMode="External"/><Relationship Id="rId258" Type="http://schemas.openxmlformats.org/officeDocument/2006/relationships/hyperlink" Target="https://image.skechers.com/img/productimages/xlarge/149693_ROS_A.jpg" TargetMode="External"/><Relationship Id="rId465" Type="http://schemas.openxmlformats.org/officeDocument/2006/relationships/hyperlink" Target="https://image.skechers.com/img/productimages/xlarge/211145_GRY_A.jpg" TargetMode="External"/><Relationship Id="rId630" Type="http://schemas.openxmlformats.org/officeDocument/2006/relationships/hyperlink" Target="https://image.skechers.com/img/productimages/xlarge/221221_GRY_A.jpg" TargetMode="External"/><Relationship Id="rId672" Type="http://schemas.openxmlformats.org/officeDocument/2006/relationships/hyperlink" Target="https://image.skechers.com/img/productimages/xlarge/232930W_NVY_A.jpg" TargetMode="External"/><Relationship Id="rId728" Type="http://schemas.openxmlformats.org/officeDocument/2006/relationships/hyperlink" Target="https://image.skechers.com/img/productimages/xlarge/233272_WBKB_A.jpg" TargetMode="External"/><Relationship Id="rId22" Type="http://schemas.openxmlformats.org/officeDocument/2006/relationships/hyperlink" Target="https://image.skechers.com/img/productimages/xlarge/149693_ROS_A.jpg" TargetMode="External"/><Relationship Id="rId64" Type="http://schemas.openxmlformats.org/officeDocument/2006/relationships/hyperlink" Target="https://image.skechers.com/img/productimages/xlarge/149693_ROS_A.jpg" TargetMode="External"/><Relationship Id="rId118" Type="http://schemas.openxmlformats.org/officeDocument/2006/relationships/hyperlink" Target="https://image.skechers.com/img/productimages/xlarge/149693_ROS_A.jpg" TargetMode="External"/><Relationship Id="rId325" Type="http://schemas.openxmlformats.org/officeDocument/2006/relationships/hyperlink" Target="https://image.skechers.com/img/productimages/xlarge/149693_ROS_A.jpg" TargetMode="External"/><Relationship Id="rId367" Type="http://schemas.openxmlformats.org/officeDocument/2006/relationships/hyperlink" Target="https://image.skechers.com/img/productimages/xlarge/149693_ROS_A.jpg" TargetMode="External"/><Relationship Id="rId532" Type="http://schemas.openxmlformats.org/officeDocument/2006/relationships/hyperlink" Target="https://image.skechers.com/img/productimages/xlarge/220427_BBK_A.jpg" TargetMode="External"/><Relationship Id="rId574" Type="http://schemas.openxmlformats.org/officeDocument/2006/relationships/hyperlink" Target="https://image.skechers.com/img/productimages/xlarge/220861WW_BKCC_A.jpg" TargetMode="External"/><Relationship Id="rId171" Type="http://schemas.openxmlformats.org/officeDocument/2006/relationships/hyperlink" Target="https://image.skechers.com/img/productimages/xlarge/149693_ROS_A.jpg" TargetMode="External"/><Relationship Id="rId227" Type="http://schemas.openxmlformats.org/officeDocument/2006/relationships/hyperlink" Target="https://image.skechers.com/img/productimages/xlarge/149693_ROS_A.jpg" TargetMode="External"/><Relationship Id="rId781" Type="http://schemas.openxmlformats.org/officeDocument/2006/relationships/hyperlink" Target="https://image.skechers.com/img/productimages/xlarge/237686_BKTP_A.jpg" TargetMode="External"/><Relationship Id="rId269" Type="http://schemas.openxmlformats.org/officeDocument/2006/relationships/hyperlink" Target="https://image.skechers.com/img/productimages/xlarge/149693_ROS_A.jpg" TargetMode="External"/><Relationship Id="rId434" Type="http://schemas.openxmlformats.org/officeDocument/2006/relationships/hyperlink" Target="https://image.skechers.com/img/productimages/xlarge/183365_GRY_A.jpg" TargetMode="External"/><Relationship Id="rId476" Type="http://schemas.openxmlformats.org/officeDocument/2006/relationships/hyperlink" Target="https://image.skechers.com/img/productimages/xlarge/211367_OLV_A.jpg" TargetMode="External"/><Relationship Id="rId641" Type="http://schemas.openxmlformats.org/officeDocument/2006/relationships/hyperlink" Target="https://image.skechers.com/img/productimages/xlarge/221241_WHT_A.jpg" TargetMode="External"/><Relationship Id="rId683" Type="http://schemas.openxmlformats.org/officeDocument/2006/relationships/hyperlink" Target="https://image.skechers.com/img/productimages/xlarge/233037_GYNV_A.jpg" TargetMode="External"/><Relationship Id="rId739" Type="http://schemas.openxmlformats.org/officeDocument/2006/relationships/hyperlink" Target="https://image.skechers.com/img/productimages/xlarge/237193_BKW_A.jpg" TargetMode="External"/><Relationship Id="rId33" Type="http://schemas.openxmlformats.org/officeDocument/2006/relationships/hyperlink" Target="https://image.skechers.com/img/productimages/xlarge/149693_ROS_A.jpg" TargetMode="External"/><Relationship Id="rId129" Type="http://schemas.openxmlformats.org/officeDocument/2006/relationships/hyperlink" Target="https://image.skechers.com/img/productimages/xlarge/149693_ROS_A.jpg" TargetMode="External"/><Relationship Id="rId280" Type="http://schemas.openxmlformats.org/officeDocument/2006/relationships/hyperlink" Target="https://image.skechers.com/img/productimages/xlarge/149693_ROS_A.jpg" TargetMode="External"/><Relationship Id="rId336" Type="http://schemas.openxmlformats.org/officeDocument/2006/relationships/hyperlink" Target="https://image.skechers.com/img/productimages/xlarge/149693_ROS_A.jpg" TargetMode="External"/><Relationship Id="rId501" Type="http://schemas.openxmlformats.org/officeDocument/2006/relationships/hyperlink" Target="https://image.skechers.com/img/productimages/xlarge/216812_CHAR_A.jpg" TargetMode="External"/><Relationship Id="rId543" Type="http://schemas.openxmlformats.org/officeDocument/2006/relationships/hyperlink" Target="https://image.skechers.com/img/productimages/xlarge/220610_TPBK_A.jpg" TargetMode="External"/><Relationship Id="rId75" Type="http://schemas.openxmlformats.org/officeDocument/2006/relationships/hyperlink" Target="https://image.skechers.com/img/productimages/xlarge/149693_ROS_A.jpg" TargetMode="External"/><Relationship Id="rId140" Type="http://schemas.openxmlformats.org/officeDocument/2006/relationships/hyperlink" Target="https://image.skechers.com/img/productimages/xlarge/149693_ROS_A.jpg" TargetMode="External"/><Relationship Id="rId182" Type="http://schemas.openxmlformats.org/officeDocument/2006/relationships/hyperlink" Target="https://image.skechers.com/img/productimages/xlarge/149693_ROS_A.jpg" TargetMode="External"/><Relationship Id="rId378" Type="http://schemas.openxmlformats.org/officeDocument/2006/relationships/hyperlink" Target="https://image.skechers.com/img/productimages/xlarge/118113_DKTP_A.jpg" TargetMode="External"/><Relationship Id="rId403" Type="http://schemas.openxmlformats.org/officeDocument/2006/relationships/hyperlink" Target="https://image.skechers.com/img/productimages/xlarge/118431_NTOL_A.jpg" TargetMode="External"/><Relationship Id="rId585" Type="http://schemas.openxmlformats.org/officeDocument/2006/relationships/hyperlink" Target="https://image.skechers.com/img/productimages/xlarge/220887_NVY_A.jpg" TargetMode="External"/><Relationship Id="rId750" Type="http://schemas.openxmlformats.org/officeDocument/2006/relationships/hyperlink" Target="https://image.skechers.com/img/productimages/xlarge/237415_GYMT_A.jpg" TargetMode="External"/><Relationship Id="rId792" Type="http://schemas.openxmlformats.org/officeDocument/2006/relationships/hyperlink" Target="https://image.skechers.com/img/productimages/xlarge/237806_BLK_A.jpg" TargetMode="External"/><Relationship Id="rId806" Type="http://schemas.openxmlformats.org/officeDocument/2006/relationships/hyperlink" Target="https://image.skechers.com/img/productimages/xlarge/246220_NVY_A.jpg" TargetMode="External"/><Relationship Id="rId6" Type="http://schemas.openxmlformats.org/officeDocument/2006/relationships/hyperlink" Target="https://image.skechers.com/img/productimages/xlarge/149693_ROS_A.jpg" TargetMode="External"/><Relationship Id="rId238" Type="http://schemas.openxmlformats.org/officeDocument/2006/relationships/hyperlink" Target="https://image.skechers.com/img/productimages/xlarge/149693_ROS_A.jpg" TargetMode="External"/><Relationship Id="rId445" Type="http://schemas.openxmlformats.org/officeDocument/2006/relationships/hyperlink" Target="https://image.skechers.com/img/productimages/xlarge/205227_BBK_A.jpg" TargetMode="External"/><Relationship Id="rId487" Type="http://schemas.openxmlformats.org/officeDocument/2006/relationships/hyperlink" Target="https://image.skechers.com/img/productimages/xlarge/216373_OFWT_A.jpg" TargetMode="External"/><Relationship Id="rId610" Type="http://schemas.openxmlformats.org/officeDocument/2006/relationships/hyperlink" Target="https://image.skechers.com/img/productimages/xlarge/221121_WBK_A.jpg" TargetMode="External"/><Relationship Id="rId652" Type="http://schemas.openxmlformats.org/officeDocument/2006/relationships/hyperlink" Target="https://image.skechers.com/img/productimages/xlarge/232474_BKW_A.jpg" TargetMode="External"/><Relationship Id="rId694" Type="http://schemas.openxmlformats.org/officeDocument/2006/relationships/hyperlink" Target="https://image.skechers.com/img/productimages/xlarge/233132_BKCC_A.jpg" TargetMode="External"/><Relationship Id="rId708" Type="http://schemas.openxmlformats.org/officeDocument/2006/relationships/hyperlink" Target="https://image.skechers.com/img/productimages/xlarge/233201_NVW_A.jpg" TargetMode="External"/><Relationship Id="rId291" Type="http://schemas.openxmlformats.org/officeDocument/2006/relationships/hyperlink" Target="https://image.skechers.com/img/productimages/xlarge/149693_ROS_A.jpg" TargetMode="External"/><Relationship Id="rId305" Type="http://schemas.openxmlformats.org/officeDocument/2006/relationships/hyperlink" Target="https://image.skechers.com/img/productimages/xlarge/149693_ROS_A.jpg" TargetMode="External"/><Relationship Id="rId347" Type="http://schemas.openxmlformats.org/officeDocument/2006/relationships/hyperlink" Target="https://image.skechers.com/img/productimages/xlarge/149693_ROS_A.jpg" TargetMode="External"/><Relationship Id="rId512" Type="http://schemas.openxmlformats.org/officeDocument/2006/relationships/hyperlink" Target="https://image.skechers.com/img/productimages/xlarge/217020_GYBK_A.jpg" TargetMode="External"/><Relationship Id="rId44" Type="http://schemas.openxmlformats.org/officeDocument/2006/relationships/hyperlink" Target="https://image.skechers.com/img/productimages/xlarge/149693_ROS_A.jpg" TargetMode="External"/><Relationship Id="rId86" Type="http://schemas.openxmlformats.org/officeDocument/2006/relationships/hyperlink" Target="https://image.skechers.com/img/productimages/xlarge/149693_ROS_A.jpg" TargetMode="External"/><Relationship Id="rId151" Type="http://schemas.openxmlformats.org/officeDocument/2006/relationships/hyperlink" Target="https://image.skechers.com/img/productimages/xlarge/149693_ROS_A.jpg" TargetMode="External"/><Relationship Id="rId389" Type="http://schemas.openxmlformats.org/officeDocument/2006/relationships/hyperlink" Target="https://image.skechers.com/img/productimages/xlarge/118423_CSNT_A.jpg" TargetMode="External"/><Relationship Id="rId554" Type="http://schemas.openxmlformats.org/officeDocument/2006/relationships/hyperlink" Target="https://image.skechers.com/img/productimages/xlarge/220613WW_BKW_A.jpg" TargetMode="External"/><Relationship Id="rId596" Type="http://schemas.openxmlformats.org/officeDocument/2006/relationships/hyperlink" Target="https://image.skechers.com/img/productimages/xlarge/221040_NAT_A.jpg" TargetMode="External"/><Relationship Id="rId761" Type="http://schemas.openxmlformats.org/officeDocument/2006/relationships/hyperlink" Target="https://image.skechers.com/img/productimages/xlarge/237565_NVBK_A.jpg" TargetMode="External"/><Relationship Id="rId817" Type="http://schemas.openxmlformats.org/officeDocument/2006/relationships/hyperlink" Target="https://image.skechers.com/img/productimages/xlarge/254179_OFWT_A.jpg" TargetMode="External"/><Relationship Id="rId193" Type="http://schemas.openxmlformats.org/officeDocument/2006/relationships/hyperlink" Target="https://image.skechers.com/img/productimages/xlarge/149693_ROS_A.jpg" TargetMode="External"/><Relationship Id="rId207" Type="http://schemas.openxmlformats.org/officeDocument/2006/relationships/hyperlink" Target="https://image.skechers.com/img/productimages/xlarge/149693_ROS_A.jpg" TargetMode="External"/><Relationship Id="rId249" Type="http://schemas.openxmlformats.org/officeDocument/2006/relationships/hyperlink" Target="https://image.skechers.com/img/productimages/xlarge/149693_ROS_A.jpg" TargetMode="External"/><Relationship Id="rId414" Type="http://schemas.openxmlformats.org/officeDocument/2006/relationships/hyperlink" Target="https://image.skechers.com/img/productimages/xlarge/183004_NVY_A.jpg" TargetMode="External"/><Relationship Id="rId456" Type="http://schemas.openxmlformats.org/officeDocument/2006/relationships/hyperlink" Target="https://image.skechers.com/img/productimages/xlarge/210889_KHK_A.jpg" TargetMode="External"/><Relationship Id="rId498" Type="http://schemas.openxmlformats.org/officeDocument/2006/relationships/hyperlink" Target="https://image.skechers.com/img/productimages/xlarge/216789_NVY_A.jpg" TargetMode="External"/><Relationship Id="rId621" Type="http://schemas.openxmlformats.org/officeDocument/2006/relationships/hyperlink" Target="https://image.skechers.com/img/productimages/xlarge/221141_ORG_A.jpg" TargetMode="External"/><Relationship Id="rId663" Type="http://schemas.openxmlformats.org/officeDocument/2006/relationships/hyperlink" Target="https://image.skechers.com/img/productimages/xlarge/232844_BKW_A.jpg" TargetMode="External"/><Relationship Id="rId13" Type="http://schemas.openxmlformats.org/officeDocument/2006/relationships/hyperlink" Target="https://image.skechers.com/img/productimages/xlarge/149693_ROS_A.jpg" TargetMode="External"/><Relationship Id="rId109" Type="http://schemas.openxmlformats.org/officeDocument/2006/relationships/hyperlink" Target="https://image.skechers.com/img/productimages/xlarge/149693_ROS_A.jpg" TargetMode="External"/><Relationship Id="rId260" Type="http://schemas.openxmlformats.org/officeDocument/2006/relationships/hyperlink" Target="https://image.skechers.com/img/productimages/xlarge/149693_ROS_A.jpg" TargetMode="External"/><Relationship Id="rId316" Type="http://schemas.openxmlformats.org/officeDocument/2006/relationships/hyperlink" Target="https://image.skechers.com/img/productimages/xlarge/149693_ROS_A.jpg" TargetMode="External"/><Relationship Id="rId523" Type="http://schemas.openxmlformats.org/officeDocument/2006/relationships/hyperlink" Target="https://image.skechers.com/img/productimages/xlarge/217128_CCLM_A.jpg" TargetMode="External"/><Relationship Id="rId719" Type="http://schemas.openxmlformats.org/officeDocument/2006/relationships/hyperlink" Target="https://image.skechers.com/img/productimages/xlarge/233247_BLK_A.jpg" TargetMode="External"/><Relationship Id="rId55" Type="http://schemas.openxmlformats.org/officeDocument/2006/relationships/hyperlink" Target="https://image.skechers.com/img/productimages/xlarge/149693_ROS_A.jpg" TargetMode="External"/><Relationship Id="rId97" Type="http://schemas.openxmlformats.org/officeDocument/2006/relationships/hyperlink" Target="https://image.skechers.com/img/productimages/xlarge/149693_ROS_A.jpg" TargetMode="External"/><Relationship Id="rId120" Type="http://schemas.openxmlformats.org/officeDocument/2006/relationships/hyperlink" Target="https://image.skechers.com/img/productimages/xlarge/149693_ROS_A.jpg" TargetMode="External"/><Relationship Id="rId358" Type="http://schemas.openxmlformats.org/officeDocument/2006/relationships/hyperlink" Target="https://image.skechers.com/img/productimages/xlarge/52458_WHT_A.jpg" TargetMode="External"/><Relationship Id="rId565" Type="http://schemas.openxmlformats.org/officeDocument/2006/relationships/hyperlink" Target="https://image.skechers.com/img/productimages/xlarge/220774_BKCC_A.jpg" TargetMode="External"/><Relationship Id="rId730" Type="http://schemas.openxmlformats.org/officeDocument/2006/relationships/hyperlink" Target="https://image.skechers.com/img/productimages/xlarge/233321_BBK_A.jpg" TargetMode="External"/><Relationship Id="rId772" Type="http://schemas.openxmlformats.org/officeDocument/2006/relationships/hyperlink" Target="https://image.skechers.com/img/productimages/xlarge/237669_BKRD_A.jpg" TargetMode="External"/><Relationship Id="rId162" Type="http://schemas.openxmlformats.org/officeDocument/2006/relationships/hyperlink" Target="https://image.skechers.com/img/productimages/xlarge/149693_ROS_A.jpg" TargetMode="External"/><Relationship Id="rId218" Type="http://schemas.openxmlformats.org/officeDocument/2006/relationships/hyperlink" Target="https://image.skechers.com/img/productimages/xlarge/149693_ROS_A.jpg" TargetMode="External"/><Relationship Id="rId425" Type="http://schemas.openxmlformats.org/officeDocument/2006/relationships/hyperlink" Target="https://image.skechers.com/img/productimages/xlarge/183007_WHT_A.jpg" TargetMode="External"/><Relationship Id="rId467" Type="http://schemas.openxmlformats.org/officeDocument/2006/relationships/hyperlink" Target="https://image.skechers.com/img/productimages/xlarge/211182_BKGY_A.jpg" TargetMode="External"/><Relationship Id="rId632" Type="http://schemas.openxmlformats.org/officeDocument/2006/relationships/hyperlink" Target="https://image.skechers.com/img/productimages/xlarge/221240_BBK_A.jpg" TargetMode="External"/><Relationship Id="rId271" Type="http://schemas.openxmlformats.org/officeDocument/2006/relationships/hyperlink" Target="https://image.skechers.com/img/productimages/xlarge/149693_ROS_A.jpg" TargetMode="External"/><Relationship Id="rId674" Type="http://schemas.openxmlformats.org/officeDocument/2006/relationships/hyperlink" Target="https://image.skechers.com/img/productimages/xlarge/233023_GYBK_A.jpg" TargetMode="External"/><Relationship Id="rId24" Type="http://schemas.openxmlformats.org/officeDocument/2006/relationships/hyperlink" Target="https://image.skechers.com/img/productimages/xlarge/149693_ROS_A.jpg" TargetMode="External"/><Relationship Id="rId66" Type="http://schemas.openxmlformats.org/officeDocument/2006/relationships/hyperlink" Target="https://image.skechers.com/img/productimages/xlarge/149693_ROS_A.jpg" TargetMode="External"/><Relationship Id="rId131" Type="http://schemas.openxmlformats.org/officeDocument/2006/relationships/hyperlink" Target="https://image.skechers.com/img/productimages/xlarge/149693_ROS_A.jpg" TargetMode="External"/><Relationship Id="rId327" Type="http://schemas.openxmlformats.org/officeDocument/2006/relationships/hyperlink" Target="https://image.skechers.com/img/productimages/xlarge/149693_ROS_A.jpg" TargetMode="External"/><Relationship Id="rId369" Type="http://schemas.openxmlformats.org/officeDocument/2006/relationships/hyperlink" Target="https://image.skechers.com/img/productimages/xlarge/149693_ROS_A.jpg" TargetMode="External"/><Relationship Id="rId534" Type="http://schemas.openxmlformats.org/officeDocument/2006/relationships/hyperlink" Target="https://image.skechers.com/img/productimages/xlarge/220509_BKW_A.jpg" TargetMode="External"/><Relationship Id="rId576" Type="http://schemas.openxmlformats.org/officeDocument/2006/relationships/hyperlink" Target="https://image.skechers.com/img/productimages/xlarge/220872_CCBK_A.jpg" TargetMode="External"/><Relationship Id="rId741" Type="http://schemas.openxmlformats.org/officeDocument/2006/relationships/hyperlink" Target="https://image.skechers.com/img/productimages/xlarge/237211_BBK_A.jpg" TargetMode="External"/><Relationship Id="rId783" Type="http://schemas.openxmlformats.org/officeDocument/2006/relationships/hyperlink" Target="https://image.skechers.com/img/productimages/xlarge/237755_BKCC_A.jpg" TargetMode="External"/><Relationship Id="rId173" Type="http://schemas.openxmlformats.org/officeDocument/2006/relationships/hyperlink" Target="https://image.skechers.com/img/productimages/xlarge/149693_ROS_A.jpg" TargetMode="External"/><Relationship Id="rId229" Type="http://schemas.openxmlformats.org/officeDocument/2006/relationships/hyperlink" Target="https://image.skechers.com/img/productimages/xlarge/149693_ROS_A.jpg" TargetMode="External"/><Relationship Id="rId380" Type="http://schemas.openxmlformats.org/officeDocument/2006/relationships/hyperlink" Target="https://image.skechers.com/img/productimages/xlarge/118113W_BLK_A.jpg" TargetMode="External"/><Relationship Id="rId436" Type="http://schemas.openxmlformats.org/officeDocument/2006/relationships/hyperlink" Target="https://image.skechers.com/img/productimages/xlarge/183921_BKGY_A.jpg" TargetMode="External"/><Relationship Id="rId601" Type="http://schemas.openxmlformats.org/officeDocument/2006/relationships/hyperlink" Target="https://image.skechers.com/img/productimages/xlarge/221041_WBK_A.jpg" TargetMode="External"/><Relationship Id="rId643" Type="http://schemas.openxmlformats.org/officeDocument/2006/relationships/hyperlink" Target="https://image.skechers.com/img/productimages/xlarge/221262_BKGY_A.jpg" TargetMode="External"/><Relationship Id="rId240" Type="http://schemas.openxmlformats.org/officeDocument/2006/relationships/hyperlink" Target="https://image.skechers.com/img/productimages/xlarge/149693_ROS_A.jpg" TargetMode="External"/><Relationship Id="rId478" Type="http://schemas.openxmlformats.org/officeDocument/2006/relationships/hyperlink" Target="https://image.skechers.com/img/productimages/xlarge/211376_BLK_A.jpg" TargetMode="External"/><Relationship Id="rId685" Type="http://schemas.openxmlformats.org/officeDocument/2006/relationships/hyperlink" Target="https://image.skechers.com/img/productimages/xlarge/233047_GYBL_A.jpg" TargetMode="External"/><Relationship Id="rId35" Type="http://schemas.openxmlformats.org/officeDocument/2006/relationships/hyperlink" Target="https://image.skechers.com/img/productimages/xlarge/149693_ROS_A.jpg" TargetMode="External"/><Relationship Id="rId77" Type="http://schemas.openxmlformats.org/officeDocument/2006/relationships/hyperlink" Target="https://image.skechers.com/img/productimages/xlarge/149693_ROS_A.jpg" TargetMode="External"/><Relationship Id="rId100" Type="http://schemas.openxmlformats.org/officeDocument/2006/relationships/hyperlink" Target="https://image.skechers.com/img/productimages/xlarge/149693_ROS_A.jpg" TargetMode="External"/><Relationship Id="rId282" Type="http://schemas.openxmlformats.org/officeDocument/2006/relationships/hyperlink" Target="https://image.skechers.com/img/productimages/xlarge/149693_ROS_A.jpg" TargetMode="External"/><Relationship Id="rId338" Type="http://schemas.openxmlformats.org/officeDocument/2006/relationships/hyperlink" Target="https://image.skechers.com/img/productimages/xlarge/149693_ROS_A.jpg" TargetMode="External"/><Relationship Id="rId503" Type="http://schemas.openxmlformats.org/officeDocument/2006/relationships/hyperlink" Target="https://image.skechers.com/img/productimages/xlarge/216812WW_BBK_A.jpg" TargetMode="External"/><Relationship Id="rId545" Type="http://schemas.openxmlformats.org/officeDocument/2006/relationships/hyperlink" Target="https://image.skechers.com/img/productimages/xlarge/220613_BKGY_A.jpg" TargetMode="External"/><Relationship Id="rId587" Type="http://schemas.openxmlformats.org/officeDocument/2006/relationships/hyperlink" Target="https://image.skechers.com/img/productimages/xlarge/221000_BBK_A.jpg" TargetMode="External"/><Relationship Id="rId710" Type="http://schemas.openxmlformats.org/officeDocument/2006/relationships/hyperlink" Target="https://image.skechers.com/img/productimages/xlarge/233201_TPE_A.jpg" TargetMode="External"/><Relationship Id="rId752" Type="http://schemas.openxmlformats.org/officeDocument/2006/relationships/hyperlink" Target="https://image.skechers.com/img/productimages/xlarge/237497_BKCC_A.jpg" TargetMode="External"/><Relationship Id="rId808" Type="http://schemas.openxmlformats.org/officeDocument/2006/relationships/hyperlink" Target="https://image.skechers.com/img/productimages/xlarge/246220_WBO_A.jpg" TargetMode="External"/><Relationship Id="rId8" Type="http://schemas.openxmlformats.org/officeDocument/2006/relationships/hyperlink" Target="https://image.skechers.com/img/productimages/xlarge/149693_ROS_A.jpg" TargetMode="External"/><Relationship Id="rId142" Type="http://schemas.openxmlformats.org/officeDocument/2006/relationships/hyperlink" Target="https://image.skechers.com/img/productimages/xlarge/149693_ROS_A.jpg" TargetMode="External"/><Relationship Id="rId184" Type="http://schemas.openxmlformats.org/officeDocument/2006/relationships/hyperlink" Target="https://image.skechers.com/img/productimages/xlarge/149693_ROS_A.jpg" TargetMode="External"/><Relationship Id="rId391" Type="http://schemas.openxmlformats.org/officeDocument/2006/relationships/hyperlink" Target="https://image.skechers.com/img/productimages/xlarge/118423W_BBK_A.jpg" TargetMode="External"/><Relationship Id="rId405" Type="http://schemas.openxmlformats.org/officeDocument/2006/relationships/hyperlink" Target="https://image.skechers.com/img/productimages/xlarge/118432_W_A.jpg" TargetMode="External"/><Relationship Id="rId447" Type="http://schemas.openxmlformats.org/officeDocument/2006/relationships/hyperlink" Target="https://image.skechers.com/img/productimages/xlarge/205333_BBK_A.jpg" TargetMode="External"/><Relationship Id="rId612" Type="http://schemas.openxmlformats.org/officeDocument/2006/relationships/hyperlink" Target="https://image.skechers.com/img/productimages/xlarge/221140_GRY_A.jpg" TargetMode="External"/><Relationship Id="rId794" Type="http://schemas.openxmlformats.org/officeDocument/2006/relationships/hyperlink" Target="https://image.skechers.com/img/productimages/xlarge/237806_OLV_A.jpg" TargetMode="External"/><Relationship Id="rId251" Type="http://schemas.openxmlformats.org/officeDocument/2006/relationships/hyperlink" Target="https://image.skechers.com/img/productimages/xlarge/149693_ROS_A.jpg" TargetMode="External"/><Relationship Id="rId489" Type="http://schemas.openxmlformats.org/officeDocument/2006/relationships/hyperlink" Target="https://image.skechers.com/img/productimages/xlarge/216741_BBK_A.jpg" TargetMode="External"/><Relationship Id="rId654" Type="http://schemas.openxmlformats.org/officeDocument/2006/relationships/hyperlink" Target="https://image.skechers.com/img/productimages/xlarge/232619_BLK_A.jpg" TargetMode="External"/><Relationship Id="rId696" Type="http://schemas.openxmlformats.org/officeDocument/2006/relationships/hyperlink" Target="https://image.skechers.com/img/productimages/xlarge/233132_NVGY_A.jpg" TargetMode="External"/><Relationship Id="rId46" Type="http://schemas.openxmlformats.org/officeDocument/2006/relationships/hyperlink" Target="https://image.skechers.com/img/productimages/xlarge/149693_ROS_A.jpg" TargetMode="External"/><Relationship Id="rId293" Type="http://schemas.openxmlformats.org/officeDocument/2006/relationships/hyperlink" Target="https://image.skechers.com/img/productimages/xlarge/149693_ROS_A.jpg" TargetMode="External"/><Relationship Id="rId307" Type="http://schemas.openxmlformats.org/officeDocument/2006/relationships/hyperlink" Target="https://image.skechers.com/img/productimages/xlarge/149693_ROS_A.jpg" TargetMode="External"/><Relationship Id="rId349" Type="http://schemas.openxmlformats.org/officeDocument/2006/relationships/hyperlink" Target="https://image.skechers.com/img/productimages/xlarge/149693_ROS_A.jpg" TargetMode="External"/><Relationship Id="rId514" Type="http://schemas.openxmlformats.org/officeDocument/2006/relationships/hyperlink" Target="https://image.skechers.com/img/productimages/xlarge/217086_BBK_A.jpg" TargetMode="External"/><Relationship Id="rId556" Type="http://schemas.openxmlformats.org/officeDocument/2006/relationships/hyperlink" Target="https://image.skechers.com/img/productimages/xlarge/220615_WMLT_A.jpg" TargetMode="External"/><Relationship Id="rId721" Type="http://schemas.openxmlformats.org/officeDocument/2006/relationships/hyperlink" Target="https://image.skechers.com/img/productimages/xlarge/233247_TPOR_A.jpg" TargetMode="External"/><Relationship Id="rId763" Type="http://schemas.openxmlformats.org/officeDocument/2006/relationships/hyperlink" Target="https://image.skechers.com/img/productimages/xlarge/237631_GYBK_A.jpg" TargetMode="External"/><Relationship Id="rId88" Type="http://schemas.openxmlformats.org/officeDocument/2006/relationships/hyperlink" Target="https://image.skechers.com/img/productimages/xlarge/149693_ROS_A.jpg" TargetMode="External"/><Relationship Id="rId111" Type="http://schemas.openxmlformats.org/officeDocument/2006/relationships/hyperlink" Target="https://image.skechers.com/img/productimages/xlarge/149693_ROS_A.jpg" TargetMode="External"/><Relationship Id="rId153" Type="http://schemas.openxmlformats.org/officeDocument/2006/relationships/hyperlink" Target="https://image.skechers.com/img/productimages/xlarge/149693_ROS_A.jpg" TargetMode="External"/><Relationship Id="rId195" Type="http://schemas.openxmlformats.org/officeDocument/2006/relationships/hyperlink" Target="https://image.skechers.com/img/productimages/xlarge/149693_ROS_A.jpg" TargetMode="External"/><Relationship Id="rId209" Type="http://schemas.openxmlformats.org/officeDocument/2006/relationships/hyperlink" Target="https://image.skechers.com/img/productimages/xlarge/149693_ROS_A.jpg" TargetMode="External"/><Relationship Id="rId360" Type="http://schemas.openxmlformats.org/officeDocument/2006/relationships/hyperlink" Target="https://image.skechers.com/img/productimages/xlarge/149693_ROS_A.jpg" TargetMode="External"/><Relationship Id="rId416" Type="http://schemas.openxmlformats.org/officeDocument/2006/relationships/hyperlink" Target="https://image.skechers.com/img/productimages/xlarge/183004_TPE_A.jpg" TargetMode="External"/><Relationship Id="rId598" Type="http://schemas.openxmlformats.org/officeDocument/2006/relationships/hyperlink" Target="https://image.skechers.com/img/productimages/xlarge/221041_BKW_A.jpg" TargetMode="External"/><Relationship Id="rId819" Type="http://schemas.openxmlformats.org/officeDocument/2006/relationships/hyperlink" Target="https://image.skechers.com/img/productimages/xlarge/254226_BRN_A.jpg" TargetMode="External"/><Relationship Id="rId220" Type="http://schemas.openxmlformats.org/officeDocument/2006/relationships/hyperlink" Target="https://image.skechers.com/img/productimages/xlarge/149693_ROS_A.jpg" TargetMode="External"/><Relationship Id="rId458" Type="http://schemas.openxmlformats.org/officeDocument/2006/relationships/hyperlink" Target="https://image.skechers.com/img/productimages/xlarge/210925_BLK_A.jpg" TargetMode="External"/><Relationship Id="rId623" Type="http://schemas.openxmlformats.org/officeDocument/2006/relationships/hyperlink" Target="https://image.skechers.com/img/productimages/xlarge/221220_BKCC_A.jpg" TargetMode="External"/><Relationship Id="rId665" Type="http://schemas.openxmlformats.org/officeDocument/2006/relationships/hyperlink" Target="https://image.skechers.com/img/productimages/xlarge/232846_BBK_A.jpg" TargetMode="External"/><Relationship Id="rId15" Type="http://schemas.openxmlformats.org/officeDocument/2006/relationships/hyperlink" Target="https://image.skechers.com/img/productimages/xlarge/149693_ROS_A.jpg" TargetMode="External"/><Relationship Id="rId57" Type="http://schemas.openxmlformats.org/officeDocument/2006/relationships/hyperlink" Target="https://image.skechers.com/img/productimages/xlarge/149693_ROS_A.jpg" TargetMode="External"/><Relationship Id="rId262" Type="http://schemas.openxmlformats.org/officeDocument/2006/relationships/hyperlink" Target="https://image.skechers.com/img/productimages/xlarge/149693_ROS_A.jpg" TargetMode="External"/><Relationship Id="rId318" Type="http://schemas.openxmlformats.org/officeDocument/2006/relationships/hyperlink" Target="https://image.skechers.com/img/productimages/xlarge/149693_ROS_A.jpg" TargetMode="External"/><Relationship Id="rId525" Type="http://schemas.openxmlformats.org/officeDocument/2006/relationships/hyperlink" Target="https://image.skechers.com/img/productimages/xlarge/220382_BKGY_A.jpg" TargetMode="External"/><Relationship Id="rId567" Type="http://schemas.openxmlformats.org/officeDocument/2006/relationships/hyperlink" Target="https://image.skechers.com/img/productimages/xlarge/220774_WGY_A.jpg" TargetMode="External"/><Relationship Id="rId732" Type="http://schemas.openxmlformats.org/officeDocument/2006/relationships/hyperlink" Target="https://image.skechers.com/img/productimages/xlarge/233321_WNV_A.jpg" TargetMode="External"/><Relationship Id="rId99" Type="http://schemas.openxmlformats.org/officeDocument/2006/relationships/hyperlink" Target="https://image.skechers.com/img/productimages/xlarge/149693_ROS_A.jpg" TargetMode="External"/><Relationship Id="rId122" Type="http://schemas.openxmlformats.org/officeDocument/2006/relationships/hyperlink" Target="https://image.skechers.com/img/productimages/xlarge/149693_ROS_A.jpg" TargetMode="External"/><Relationship Id="rId164" Type="http://schemas.openxmlformats.org/officeDocument/2006/relationships/hyperlink" Target="https://image.skechers.com/img/productimages/xlarge/149693_ROS_A.jpg" TargetMode="External"/><Relationship Id="rId371" Type="http://schemas.openxmlformats.org/officeDocument/2006/relationships/hyperlink" Target="https://image.skechers.com/img/productimages/xlarge/149693_ROS_A.jpg" TargetMode="External"/><Relationship Id="rId774" Type="http://schemas.openxmlformats.org/officeDocument/2006/relationships/hyperlink" Target="https://image.skechers.com/img/productimages/xlarge/237669_WGR_A.jpg" TargetMode="External"/><Relationship Id="rId427" Type="http://schemas.openxmlformats.org/officeDocument/2006/relationships/hyperlink" Target="https://image.skechers.com/img/productimages/xlarge/183053_NVY_A.jpg" TargetMode="External"/><Relationship Id="rId469" Type="http://schemas.openxmlformats.org/officeDocument/2006/relationships/hyperlink" Target="https://image.skechers.com/img/productimages/xlarge/211319_BBK_A.jpg" TargetMode="External"/><Relationship Id="rId634" Type="http://schemas.openxmlformats.org/officeDocument/2006/relationships/hyperlink" Target="https://image.skechers.com/img/productimages/xlarge/221240_CCBL_A.jpg" TargetMode="External"/><Relationship Id="rId676" Type="http://schemas.openxmlformats.org/officeDocument/2006/relationships/hyperlink" Target="https://image.skechers.com/img/productimages/xlarge/233035_BBK_A.jpg" TargetMode="External"/><Relationship Id="rId26" Type="http://schemas.openxmlformats.org/officeDocument/2006/relationships/hyperlink" Target="https://image.skechers.com/img/productimages/xlarge/149693_ROS_A.jpg" TargetMode="External"/><Relationship Id="rId231" Type="http://schemas.openxmlformats.org/officeDocument/2006/relationships/hyperlink" Target="https://image.skechers.com/img/productimages/xlarge/149693_ROS_A.jpg" TargetMode="External"/><Relationship Id="rId273" Type="http://schemas.openxmlformats.org/officeDocument/2006/relationships/hyperlink" Target="https://image.skechers.com/img/productimages/xlarge/149693_ROS_A.jpg" TargetMode="External"/><Relationship Id="rId329" Type="http://schemas.openxmlformats.org/officeDocument/2006/relationships/hyperlink" Target="https://image.skechers.com/img/productimages/xlarge/149693_ROS_A.jpg" TargetMode="External"/><Relationship Id="rId480" Type="http://schemas.openxmlformats.org/officeDocument/2006/relationships/hyperlink" Target="https://image.skechers.com/img/productimages/xlarge/211392_CHOC_A.jpg" TargetMode="External"/><Relationship Id="rId536" Type="http://schemas.openxmlformats.org/officeDocument/2006/relationships/hyperlink" Target="https://image.skechers.com/img/productimages/xlarge/220607_BLK_A.jpg" TargetMode="External"/><Relationship Id="rId701" Type="http://schemas.openxmlformats.org/officeDocument/2006/relationships/hyperlink" Target="https://image.skechers.com/img/productimages/xlarge/233133_BLK_A.jpg" TargetMode="External"/><Relationship Id="rId68" Type="http://schemas.openxmlformats.org/officeDocument/2006/relationships/hyperlink" Target="https://image.skechers.com/img/productimages/xlarge/149693_ROS_A.jpg" TargetMode="External"/><Relationship Id="rId133" Type="http://schemas.openxmlformats.org/officeDocument/2006/relationships/hyperlink" Target="https://image.skechers.com/img/productimages/xlarge/149693_ROS_A.jpg" TargetMode="External"/><Relationship Id="rId175" Type="http://schemas.openxmlformats.org/officeDocument/2006/relationships/hyperlink" Target="https://image.skechers.com/img/productimages/xlarge/149693_ROS_A.jpg" TargetMode="External"/><Relationship Id="rId340" Type="http://schemas.openxmlformats.org/officeDocument/2006/relationships/hyperlink" Target="https://image.skechers.com/img/productimages/xlarge/149693_ROS_A.jpg" TargetMode="External"/><Relationship Id="rId578" Type="http://schemas.openxmlformats.org/officeDocument/2006/relationships/hyperlink" Target="https://image.skechers.com/img/productimages/xlarge/220872_NVGY_A.jpg" TargetMode="External"/><Relationship Id="rId743" Type="http://schemas.openxmlformats.org/officeDocument/2006/relationships/hyperlink" Target="https://image.skechers.com/img/productimages/xlarge/237301_BKNT_A.jpg" TargetMode="External"/><Relationship Id="rId785" Type="http://schemas.openxmlformats.org/officeDocument/2006/relationships/hyperlink" Target="https://image.skechers.com/img/productimages/xlarge/237744W_GYBK_A.jpg" TargetMode="External"/><Relationship Id="rId200" Type="http://schemas.openxmlformats.org/officeDocument/2006/relationships/hyperlink" Target="https://image.skechers.com/img/productimages/xlarge/149693_ROS_A.jpg" TargetMode="External"/><Relationship Id="rId382" Type="http://schemas.openxmlformats.org/officeDocument/2006/relationships/hyperlink" Target="https://image.skechers.com/img/productimages/xlarge/118312W_BBK_A.jpg" TargetMode="External"/><Relationship Id="rId438" Type="http://schemas.openxmlformats.org/officeDocument/2006/relationships/hyperlink" Target="https://image.skechers.com/img/productimages/xlarge/183921_WHT_A.jpg" TargetMode="External"/><Relationship Id="rId603" Type="http://schemas.openxmlformats.org/officeDocument/2006/relationships/hyperlink" Target="https://image.skechers.com/img/productimages/xlarge/221120_OLV_A.jpg" TargetMode="External"/><Relationship Id="rId645" Type="http://schemas.openxmlformats.org/officeDocument/2006/relationships/hyperlink" Target="https://image.skechers.com/img/productimages/xlarge/221262_NVY_A.jpg" TargetMode="External"/><Relationship Id="rId687" Type="http://schemas.openxmlformats.org/officeDocument/2006/relationships/hyperlink" Target="https://image.skechers.com/img/productimages/xlarge/233110_BLLM_A.jpg" TargetMode="External"/><Relationship Id="rId810" Type="http://schemas.openxmlformats.org/officeDocument/2006/relationships/hyperlink" Target="https://image.skechers.com/img/productimages/xlarge/254026_WHT_A.jpg" TargetMode="External"/><Relationship Id="rId242" Type="http://schemas.openxmlformats.org/officeDocument/2006/relationships/hyperlink" Target="https://image.skechers.com/img/productimages/xlarge/149693_ROS_A.jpg" TargetMode="External"/><Relationship Id="rId284" Type="http://schemas.openxmlformats.org/officeDocument/2006/relationships/hyperlink" Target="https://image.skechers.com/img/productimages/xlarge/149693_ROS_A.jpg" TargetMode="External"/><Relationship Id="rId491" Type="http://schemas.openxmlformats.org/officeDocument/2006/relationships/hyperlink" Target="https://image.skechers.com/img/productimages/xlarge/216777_BBK_A.jpg" TargetMode="External"/><Relationship Id="rId505" Type="http://schemas.openxmlformats.org/officeDocument/2006/relationships/hyperlink" Target="https://image.skechers.com/img/productimages/xlarge/216816_BKW_A.jpg" TargetMode="External"/><Relationship Id="rId712" Type="http://schemas.openxmlformats.org/officeDocument/2006/relationships/hyperlink" Target="https://image.skechers.com/img/productimages/xlarge/233218_GYNV_A.jpg" TargetMode="External"/><Relationship Id="rId37" Type="http://schemas.openxmlformats.org/officeDocument/2006/relationships/hyperlink" Target="https://image.skechers.com/img/productimages/xlarge/149693_ROS_A.jpg" TargetMode="External"/><Relationship Id="rId79" Type="http://schemas.openxmlformats.org/officeDocument/2006/relationships/hyperlink" Target="https://image.skechers.com/img/productimages/xlarge/149693_ROS_A.jpg" TargetMode="External"/><Relationship Id="rId102" Type="http://schemas.openxmlformats.org/officeDocument/2006/relationships/hyperlink" Target="https://image.skechers.com/img/productimages/xlarge/149693_ROS_A.jpg" TargetMode="External"/><Relationship Id="rId144" Type="http://schemas.openxmlformats.org/officeDocument/2006/relationships/hyperlink" Target="https://image.skechers.com/img/productimages/xlarge/149693_ROS_A.jpg" TargetMode="External"/><Relationship Id="rId547" Type="http://schemas.openxmlformats.org/officeDocument/2006/relationships/hyperlink" Target="https://image.skechers.com/img/productimages/xlarge/220613_LGBK_A.jpg" TargetMode="External"/><Relationship Id="rId589" Type="http://schemas.openxmlformats.org/officeDocument/2006/relationships/hyperlink" Target="https://image.skechers.com/img/productimages/xlarge/221000_GRY_A.jpg" TargetMode="External"/><Relationship Id="rId754" Type="http://schemas.openxmlformats.org/officeDocument/2006/relationships/hyperlink" Target="https://image.skechers.com/img/productimages/xlarge/237524_BBK_A.jpg" TargetMode="External"/><Relationship Id="rId796" Type="http://schemas.openxmlformats.org/officeDocument/2006/relationships/hyperlink" Target="https://image.skechers.com/img/productimages/xlarge/237811_OLV_A.jpg" TargetMode="External"/><Relationship Id="rId90" Type="http://schemas.openxmlformats.org/officeDocument/2006/relationships/hyperlink" Target="https://image.skechers.com/img/productimages/xlarge/149693_ROS_A.jpg" TargetMode="External"/><Relationship Id="rId186" Type="http://schemas.openxmlformats.org/officeDocument/2006/relationships/hyperlink" Target="https://image.skechers.com/img/productimages/xlarge/149693_ROS_A.jpg" TargetMode="External"/><Relationship Id="rId351" Type="http://schemas.openxmlformats.org/officeDocument/2006/relationships/hyperlink" Target="https://image.skechers.com/img/productimages/xlarge/52458_LTGY_A.jpg" TargetMode="External"/><Relationship Id="rId393" Type="http://schemas.openxmlformats.org/officeDocument/2006/relationships/hyperlink" Target="https://image.skechers.com/img/productimages/xlarge/118423_WHT_A.jpg" TargetMode="External"/><Relationship Id="rId407" Type="http://schemas.openxmlformats.org/officeDocument/2006/relationships/hyperlink" Target="https://image.skechers.com/img/productimages/xlarge/118433_LTGY_A.jpg" TargetMode="External"/><Relationship Id="rId449" Type="http://schemas.openxmlformats.org/officeDocument/2006/relationships/hyperlink" Target="https://image.skechers.com/img/productimages/xlarge/205587_BLK_A.jpg" TargetMode="External"/><Relationship Id="rId614" Type="http://schemas.openxmlformats.org/officeDocument/2006/relationships/hyperlink" Target="https://image.skechers.com/img/productimages/xlarge/221140_TPE_A.jpg" TargetMode="External"/><Relationship Id="rId656" Type="http://schemas.openxmlformats.org/officeDocument/2006/relationships/hyperlink" Target="https://image.skechers.com/img/productimages/xlarge/232657_BBK_A.jpg" TargetMode="External"/><Relationship Id="rId821" Type="http://schemas.openxmlformats.org/officeDocument/2006/relationships/hyperlink" Target="https://image.skechers.com/img/productimages/xlarge/256202_BKGR_A.jpg" TargetMode="External"/><Relationship Id="rId211" Type="http://schemas.openxmlformats.org/officeDocument/2006/relationships/hyperlink" Target="https://image.skechers.com/img/productimages/xlarge/149693_ROS_A.jpg" TargetMode="External"/><Relationship Id="rId253" Type="http://schemas.openxmlformats.org/officeDocument/2006/relationships/hyperlink" Target="https://image.skechers.com/img/productimages/xlarge/149693_ROS_A.jpg" TargetMode="External"/><Relationship Id="rId295" Type="http://schemas.openxmlformats.org/officeDocument/2006/relationships/hyperlink" Target="https://image.skechers.com/img/productimages/xlarge/149693_ROS_A.jpg" TargetMode="External"/><Relationship Id="rId309" Type="http://schemas.openxmlformats.org/officeDocument/2006/relationships/hyperlink" Target="https://image.skechers.com/img/productimages/xlarge/403659L_BLK_A.jpg" TargetMode="External"/><Relationship Id="rId460" Type="http://schemas.openxmlformats.org/officeDocument/2006/relationships/hyperlink" Target="https://image.skechers.com/img/productimages/xlarge/210932_BLK_A.jpg" TargetMode="External"/><Relationship Id="rId516" Type="http://schemas.openxmlformats.org/officeDocument/2006/relationships/hyperlink" Target="https://image.skechers.com/img/productimages/xlarge/217086_TPE_A.jpg" TargetMode="External"/><Relationship Id="rId698" Type="http://schemas.openxmlformats.org/officeDocument/2006/relationships/hyperlink" Target="https://image.skechers.com/img/productimages/xlarge/233132_TPE_A.jpg" TargetMode="External"/><Relationship Id="rId48" Type="http://schemas.openxmlformats.org/officeDocument/2006/relationships/hyperlink" Target="https://image.skechers.com/img/productimages/xlarge/149693_ROS_A.jpg" TargetMode="External"/><Relationship Id="rId113" Type="http://schemas.openxmlformats.org/officeDocument/2006/relationships/hyperlink" Target="https://image.skechers.com/img/productimages/xlarge/149693_ROS_A.jpg" TargetMode="External"/><Relationship Id="rId320" Type="http://schemas.openxmlformats.org/officeDocument/2006/relationships/hyperlink" Target="https://image.skechers.com/img/productimages/xlarge/149693_ROS_A.jpg" TargetMode="External"/><Relationship Id="rId558" Type="http://schemas.openxmlformats.org/officeDocument/2006/relationships/hyperlink" Target="https://image.skechers.com/img/productimages/xlarge/220615WW_CHAR_A.jpg" TargetMode="External"/><Relationship Id="rId723" Type="http://schemas.openxmlformats.org/officeDocument/2006/relationships/hyperlink" Target="https://image.skechers.com/img/productimages/xlarge/233255_BKGY_A.jpg" TargetMode="External"/><Relationship Id="rId765" Type="http://schemas.openxmlformats.org/officeDocument/2006/relationships/hyperlink" Target="https://image.skechers.com/img/productimages/xlarge/237634_BKBR_A.jpg" TargetMode="External"/><Relationship Id="rId155" Type="http://schemas.openxmlformats.org/officeDocument/2006/relationships/hyperlink" Target="https://image.skechers.com/img/productimages/xlarge/149693_ROS_A.jpg" TargetMode="External"/><Relationship Id="rId197" Type="http://schemas.openxmlformats.org/officeDocument/2006/relationships/hyperlink" Target="https://image.skechers.com/img/productimages/xlarge/149693_ROS_A.jpg" TargetMode="External"/><Relationship Id="rId362" Type="http://schemas.openxmlformats.org/officeDocument/2006/relationships/hyperlink" Target="https://image.skechers.com/img/productimages/xlarge/149693_ROS_A.jpg" TargetMode="External"/><Relationship Id="rId418" Type="http://schemas.openxmlformats.org/officeDocument/2006/relationships/hyperlink" Target="https://image.skechers.com/img/productimages/xlarge/183004_WHT_A.jpg" TargetMode="External"/><Relationship Id="rId625" Type="http://schemas.openxmlformats.org/officeDocument/2006/relationships/hyperlink" Target="https://image.skechers.com/img/productimages/xlarge/221220_GYNV_A.jpg" TargetMode="External"/><Relationship Id="rId222" Type="http://schemas.openxmlformats.org/officeDocument/2006/relationships/hyperlink" Target="https://image.skechers.com/img/productimages/xlarge/149693_ROS_A.jpg" TargetMode="External"/><Relationship Id="rId264" Type="http://schemas.openxmlformats.org/officeDocument/2006/relationships/hyperlink" Target="https://image.skechers.com/img/productimages/xlarge/149693_ROS_A.jpg" TargetMode="External"/><Relationship Id="rId471" Type="http://schemas.openxmlformats.org/officeDocument/2006/relationships/hyperlink" Target="https://image.skechers.com/img/productimages/xlarge/211325_BBK_A.jpg" TargetMode="External"/><Relationship Id="rId667" Type="http://schemas.openxmlformats.org/officeDocument/2006/relationships/hyperlink" Target="https://image.skechers.com/img/productimages/xlarge/232846_WBK_A.jpg" TargetMode="External"/><Relationship Id="rId17" Type="http://schemas.openxmlformats.org/officeDocument/2006/relationships/hyperlink" Target="https://image.skechers.com/img/productimages/xlarge/149693_ROS_A.jpg" TargetMode="External"/><Relationship Id="rId59" Type="http://schemas.openxmlformats.org/officeDocument/2006/relationships/hyperlink" Target="https://image.skechers.com/img/productimages/xlarge/149693_ROS_A.jpg" TargetMode="External"/><Relationship Id="rId124" Type="http://schemas.openxmlformats.org/officeDocument/2006/relationships/hyperlink" Target="https://image.skechers.com/img/productimages/xlarge/149693_ROS_A.jpg" TargetMode="External"/><Relationship Id="rId527" Type="http://schemas.openxmlformats.org/officeDocument/2006/relationships/hyperlink" Target="https://image.skechers.com/img/productimages/xlarge/220397_BKW_A.jpg" TargetMode="External"/><Relationship Id="rId569" Type="http://schemas.openxmlformats.org/officeDocument/2006/relationships/hyperlink" Target="https://image.skechers.com/img/productimages/xlarge/220837_GYCC_A.jpg" TargetMode="External"/><Relationship Id="rId734" Type="http://schemas.openxmlformats.org/officeDocument/2006/relationships/hyperlink" Target="https://image.skechers.com/img/productimages/xlarge/233400WW_WNV_A.jpg" TargetMode="External"/><Relationship Id="rId776" Type="http://schemas.openxmlformats.org/officeDocument/2006/relationships/hyperlink" Target="https://image.skechers.com/img/productimages/xlarge/237671_LTGY_A.jpg" TargetMode="External"/><Relationship Id="rId70" Type="http://schemas.openxmlformats.org/officeDocument/2006/relationships/hyperlink" Target="https://image.skechers.com/img/productimages/xlarge/149693_ROS_A.jpg" TargetMode="External"/><Relationship Id="rId166" Type="http://schemas.openxmlformats.org/officeDocument/2006/relationships/hyperlink" Target="https://image.skechers.com/img/productimages/xlarge/149693_ROS_A.jpg" TargetMode="External"/><Relationship Id="rId331" Type="http://schemas.openxmlformats.org/officeDocument/2006/relationships/hyperlink" Target="https://image.skechers.com/img/productimages/xlarge/149693_ROS_A.jpg" TargetMode="External"/><Relationship Id="rId373" Type="http://schemas.openxmlformats.org/officeDocument/2006/relationships/hyperlink" Target="https://image.skechers.com/img/productimages/xlarge/149693_ROS_A.jpg" TargetMode="External"/><Relationship Id="rId429" Type="http://schemas.openxmlformats.org/officeDocument/2006/relationships/hyperlink" Target="https://image.skechers.com/img/productimages/xlarge/183090_BBK_A.jpg" TargetMode="External"/><Relationship Id="rId580" Type="http://schemas.openxmlformats.org/officeDocument/2006/relationships/hyperlink" Target="https://image.skechers.com/img/productimages/xlarge/220872_TPMT_A.jpg" TargetMode="External"/><Relationship Id="rId636" Type="http://schemas.openxmlformats.org/officeDocument/2006/relationships/hyperlink" Target="https://image.skechers.com/img/productimages/xlarge/221241_BBK_A.jpg" TargetMode="External"/><Relationship Id="rId801" Type="http://schemas.openxmlformats.org/officeDocument/2006/relationships/hyperlink" Target="https://image.skechers.com/img/productimages/xlarge/237820_BBK_A.jpg" TargetMode="External"/><Relationship Id="rId1" Type="http://schemas.openxmlformats.org/officeDocument/2006/relationships/hyperlink" Target="https://image.skechers.com/img/productimages/xlarge/149693_ROS_A.jpg" TargetMode="External"/><Relationship Id="rId233" Type="http://schemas.openxmlformats.org/officeDocument/2006/relationships/hyperlink" Target="https://image.skechers.com/img/productimages/xlarge/149693_ROS_A.jpg" TargetMode="External"/><Relationship Id="rId440" Type="http://schemas.openxmlformats.org/officeDocument/2006/relationships/hyperlink" Target="https://image.skechers.com/img/productimages/xlarge/200343_BLK_A.jpg" TargetMode="External"/><Relationship Id="rId678" Type="http://schemas.openxmlformats.org/officeDocument/2006/relationships/hyperlink" Target="https://image.skechers.com/img/productimages/xlarge/233035_GYNV_A.jpg" TargetMode="External"/><Relationship Id="rId28" Type="http://schemas.openxmlformats.org/officeDocument/2006/relationships/hyperlink" Target="https://image.skechers.com/img/productimages/xlarge/149693_ROS_A.jpg" TargetMode="External"/><Relationship Id="rId275" Type="http://schemas.openxmlformats.org/officeDocument/2006/relationships/hyperlink" Target="https://image.skechers.com/img/productimages/xlarge/149693_ROS_A.jpg" TargetMode="External"/><Relationship Id="rId300" Type="http://schemas.openxmlformats.org/officeDocument/2006/relationships/hyperlink" Target="https://image.skechers.com/img/productimages/xlarge/149693_ROS_A.jpg" TargetMode="External"/><Relationship Id="rId482" Type="http://schemas.openxmlformats.org/officeDocument/2006/relationships/hyperlink" Target="https://image.skechers.com/img/productimages/xlarge/211448_BBK_A.jpg" TargetMode="External"/><Relationship Id="rId538" Type="http://schemas.openxmlformats.org/officeDocument/2006/relationships/hyperlink" Target="https://image.skechers.com/img/productimages/xlarge/220607_NVY_A.jpg" TargetMode="External"/><Relationship Id="rId703" Type="http://schemas.openxmlformats.org/officeDocument/2006/relationships/hyperlink" Target="https://image.skechers.com/img/productimages/xlarge/233133_TPE_A.jpg" TargetMode="External"/><Relationship Id="rId745" Type="http://schemas.openxmlformats.org/officeDocument/2006/relationships/hyperlink" Target="https://image.skechers.com/img/productimages/xlarge/237304_BBK_A.jpg" TargetMode="External"/><Relationship Id="rId81" Type="http://schemas.openxmlformats.org/officeDocument/2006/relationships/hyperlink" Target="https://image.skechers.com/img/productimages/xlarge/149693_ROS_A.jpg" TargetMode="External"/><Relationship Id="rId135" Type="http://schemas.openxmlformats.org/officeDocument/2006/relationships/hyperlink" Target="https://image.skechers.com/img/productimages/xlarge/149693_ROS_A.jpg" TargetMode="External"/><Relationship Id="rId177" Type="http://schemas.openxmlformats.org/officeDocument/2006/relationships/hyperlink" Target="https://image.skechers.com/img/productimages/xlarge/149693_ROS_A.jpg" TargetMode="External"/><Relationship Id="rId342" Type="http://schemas.openxmlformats.org/officeDocument/2006/relationships/hyperlink" Target="https://image.skechers.com/img/productimages/xlarge/149693_ROS_A.jpg" TargetMode="External"/><Relationship Id="rId384" Type="http://schemas.openxmlformats.org/officeDocument/2006/relationships/hyperlink" Target="https://image.skechers.com/img/productimages/xlarge/118412_GYMT_A.jpg" TargetMode="External"/><Relationship Id="rId591" Type="http://schemas.openxmlformats.org/officeDocument/2006/relationships/hyperlink" Target="https://image.skechers.com/img/productimages/xlarge/221000_NAT_A.jpg" TargetMode="External"/><Relationship Id="rId605" Type="http://schemas.openxmlformats.org/officeDocument/2006/relationships/hyperlink" Target="https://image.skechers.com/img/productimages/xlarge/221121_BKCC_A.jpg" TargetMode="External"/><Relationship Id="rId787" Type="http://schemas.openxmlformats.org/officeDocument/2006/relationships/hyperlink" Target="https://image.skechers.com/img/productimages/xlarge/237788_BBK_A.jpg" TargetMode="External"/><Relationship Id="rId812" Type="http://schemas.openxmlformats.org/officeDocument/2006/relationships/hyperlink" Target="https://image.skechers.com/img/productimages/xlarge/254172_NTBK_A.jpg" TargetMode="External"/><Relationship Id="rId202" Type="http://schemas.openxmlformats.org/officeDocument/2006/relationships/hyperlink" Target="https://image.skechers.com/img/productimages/xlarge/149693_ROS_A.jpg" TargetMode="External"/><Relationship Id="rId244" Type="http://schemas.openxmlformats.org/officeDocument/2006/relationships/hyperlink" Target="https://image.skechers.com/img/productimages/xlarge/149693_ROS_A.jpg" TargetMode="External"/><Relationship Id="rId647" Type="http://schemas.openxmlformats.org/officeDocument/2006/relationships/hyperlink" Target="https://image.skechers.com/img/productimages/xlarge/232278_BBK_A.jpg" TargetMode="External"/><Relationship Id="rId689" Type="http://schemas.openxmlformats.org/officeDocument/2006/relationships/hyperlink" Target="https://image.skechers.com/img/productimages/xlarge/233110_NTOR_A.jpg" TargetMode="External"/><Relationship Id="rId39" Type="http://schemas.openxmlformats.org/officeDocument/2006/relationships/hyperlink" Target="https://image.skechers.com/img/productimages/xlarge/149693_ROS_A.jpg" TargetMode="External"/><Relationship Id="rId286" Type="http://schemas.openxmlformats.org/officeDocument/2006/relationships/hyperlink" Target="https://image.skechers.com/img/productimages/xlarge/149693_ROS_A.jpg" TargetMode="External"/><Relationship Id="rId451" Type="http://schemas.openxmlformats.org/officeDocument/2006/relationships/hyperlink" Target="https://image.skechers.com/img/productimages/xlarge/205656_BBK_A.jpg" TargetMode="External"/><Relationship Id="rId493" Type="http://schemas.openxmlformats.org/officeDocument/2006/relationships/hyperlink" Target="https://image.skechers.com/img/productimages/xlarge/216782_BBK_A.jpg" TargetMode="External"/><Relationship Id="rId507" Type="http://schemas.openxmlformats.org/officeDocument/2006/relationships/hyperlink" Target="https://image.skechers.com/img/productimages/xlarge/217017_BKW_A.jpg" TargetMode="External"/><Relationship Id="rId549" Type="http://schemas.openxmlformats.org/officeDocument/2006/relationships/hyperlink" Target="https://image.skechers.com/img/productimages/xlarge/220613_ORBL_A.jpg" TargetMode="External"/><Relationship Id="rId714" Type="http://schemas.openxmlformats.org/officeDocument/2006/relationships/hyperlink" Target="https://image.skechers.com/img/productimages/xlarge/233244_BKCC_A.jpg" TargetMode="External"/><Relationship Id="rId756" Type="http://schemas.openxmlformats.org/officeDocument/2006/relationships/hyperlink" Target="https://image.skechers.com/img/productimages/xlarge/237535_BBK_A.jpg" TargetMode="External"/><Relationship Id="rId50" Type="http://schemas.openxmlformats.org/officeDocument/2006/relationships/hyperlink" Target="https://image.skechers.com/img/productimages/xlarge/149693_ROS_A.jpg" TargetMode="External"/><Relationship Id="rId104" Type="http://schemas.openxmlformats.org/officeDocument/2006/relationships/hyperlink" Target="https://image.skechers.com/img/productimages/xlarge/149693_ROS_A.jpg" TargetMode="External"/><Relationship Id="rId146" Type="http://schemas.openxmlformats.org/officeDocument/2006/relationships/hyperlink" Target="https://image.skechers.com/img/productimages/xlarge/149693_ROS_A.jpg" TargetMode="External"/><Relationship Id="rId188" Type="http://schemas.openxmlformats.org/officeDocument/2006/relationships/hyperlink" Target="https://image.skechers.com/img/productimages/xlarge/149693_ROS_A.jpg" TargetMode="External"/><Relationship Id="rId311" Type="http://schemas.openxmlformats.org/officeDocument/2006/relationships/hyperlink" Target="https://image.skechers.com/img/productimages/xlarge/149693_ROS_A.jpg" TargetMode="External"/><Relationship Id="rId353" Type="http://schemas.openxmlformats.org/officeDocument/2006/relationships/hyperlink" Target="https://image.skechers.com/img/productimages/xlarge/52458_OLV_A.jpg" TargetMode="External"/><Relationship Id="rId395" Type="http://schemas.openxmlformats.org/officeDocument/2006/relationships/hyperlink" Target="https://image.skechers.com/img/productimages/xlarge/118424_BLK_A.jpg" TargetMode="External"/><Relationship Id="rId409" Type="http://schemas.openxmlformats.org/officeDocument/2006/relationships/hyperlink" Target="https://image.skechers.com/img/productimages/xlarge/118451_DKTP_A.jpg" TargetMode="External"/><Relationship Id="rId560" Type="http://schemas.openxmlformats.org/officeDocument/2006/relationships/hyperlink" Target="https://image.skechers.com/img/productimages/xlarge/220623_WNV_A.jpg" TargetMode="External"/><Relationship Id="rId798" Type="http://schemas.openxmlformats.org/officeDocument/2006/relationships/hyperlink" Target="https://image.skechers.com/img/productimages/xlarge/237818_BBK_A.jpg" TargetMode="External"/><Relationship Id="rId92" Type="http://schemas.openxmlformats.org/officeDocument/2006/relationships/hyperlink" Target="https://image.skechers.com/img/productimages/xlarge/149693_ROS_A.jpg" TargetMode="External"/><Relationship Id="rId213" Type="http://schemas.openxmlformats.org/officeDocument/2006/relationships/hyperlink" Target="https://image.skechers.com/img/productimages/xlarge/149693_ROS_A.jpg" TargetMode="External"/><Relationship Id="rId420" Type="http://schemas.openxmlformats.org/officeDocument/2006/relationships/hyperlink" Target="https://image.skechers.com/img/productimages/xlarge/183007_BKW_A.jpg" TargetMode="External"/><Relationship Id="rId616" Type="http://schemas.openxmlformats.org/officeDocument/2006/relationships/hyperlink" Target="https://image.skechers.com/img/productimages/xlarge/221141_BBK_A.jpg" TargetMode="External"/><Relationship Id="rId658" Type="http://schemas.openxmlformats.org/officeDocument/2006/relationships/hyperlink" Target="https://image.skechers.com/img/productimages/xlarge/232713_BKRD_A.jpg" TargetMode="External"/><Relationship Id="rId255" Type="http://schemas.openxmlformats.org/officeDocument/2006/relationships/hyperlink" Target="https://image.skechers.com/img/productimages/xlarge/149693_ROS_A.jpg" TargetMode="External"/><Relationship Id="rId297" Type="http://schemas.openxmlformats.org/officeDocument/2006/relationships/hyperlink" Target="https://image.skechers.com/img/productimages/xlarge/149693_ROS_A.jpg" TargetMode="External"/><Relationship Id="rId462" Type="http://schemas.openxmlformats.org/officeDocument/2006/relationships/hyperlink" Target="https://image.skechers.com/img/productimages/xlarge/210986_BKGY_A.jpg" TargetMode="External"/><Relationship Id="rId518" Type="http://schemas.openxmlformats.org/officeDocument/2006/relationships/hyperlink" Target="https://image.skechers.com/img/productimages/xlarge/217087_BKW_A.jpg" TargetMode="External"/><Relationship Id="rId725" Type="http://schemas.openxmlformats.org/officeDocument/2006/relationships/hyperlink" Target="https://image.skechers.com/img/productimages/xlarge/233271_BBK_A.jpg" TargetMode="External"/><Relationship Id="rId115" Type="http://schemas.openxmlformats.org/officeDocument/2006/relationships/hyperlink" Target="https://image.skechers.com/img/productimages/xlarge/149693_ROS_A.jpg" TargetMode="External"/><Relationship Id="rId157" Type="http://schemas.openxmlformats.org/officeDocument/2006/relationships/hyperlink" Target="https://image.skechers.com/img/productimages/xlarge/149693_ROS_A.jpg" TargetMode="External"/><Relationship Id="rId322" Type="http://schemas.openxmlformats.org/officeDocument/2006/relationships/hyperlink" Target="https://image.skechers.com/img/productimages/xlarge/149693_ROS_A.jpg" TargetMode="External"/><Relationship Id="rId364" Type="http://schemas.openxmlformats.org/officeDocument/2006/relationships/hyperlink" Target="https://image.skechers.com/img/productimages/xlarge/149693_ROS_A.jpg" TargetMode="External"/><Relationship Id="rId767" Type="http://schemas.openxmlformats.org/officeDocument/2006/relationships/hyperlink" Target="https://image.skechers.com/img/productimages/xlarge/237641_BKCC_A.jpg" TargetMode="External"/><Relationship Id="rId61" Type="http://schemas.openxmlformats.org/officeDocument/2006/relationships/hyperlink" Target="https://image.skechers.com/img/productimages/xlarge/149693_ROS_A.jpg" TargetMode="External"/><Relationship Id="rId199" Type="http://schemas.openxmlformats.org/officeDocument/2006/relationships/hyperlink" Target="https://image.skechers.com/img/productimages/xlarge/149693_ROS_A.jpg" TargetMode="External"/><Relationship Id="rId571" Type="http://schemas.openxmlformats.org/officeDocument/2006/relationships/hyperlink" Target="https://image.skechers.com/img/productimages/xlarge/220861_BRN_A.jpg" TargetMode="External"/><Relationship Id="rId627" Type="http://schemas.openxmlformats.org/officeDocument/2006/relationships/hyperlink" Target="https://image.skechers.com/img/productimages/xlarge/221220_WBK_A.jpg" TargetMode="External"/><Relationship Id="rId669" Type="http://schemas.openxmlformats.org/officeDocument/2006/relationships/hyperlink" Target="https://image.skechers.com/img/productimages/xlarge/232900_NVY_A.jpg" TargetMode="External"/><Relationship Id="rId19" Type="http://schemas.openxmlformats.org/officeDocument/2006/relationships/hyperlink" Target="https://image.skechers.com/img/productimages/xlarge/149693_ROS_A.jpg" TargetMode="External"/><Relationship Id="rId224" Type="http://schemas.openxmlformats.org/officeDocument/2006/relationships/hyperlink" Target="https://image.skechers.com/img/productimages/xlarge/149693_ROS_A.jpg" TargetMode="External"/><Relationship Id="rId266" Type="http://schemas.openxmlformats.org/officeDocument/2006/relationships/hyperlink" Target="https://image.skechers.com/img/productimages/xlarge/149693_ROS_A.jpg" TargetMode="External"/><Relationship Id="rId431" Type="http://schemas.openxmlformats.org/officeDocument/2006/relationships/hyperlink" Target="https://image.skechers.com/img/productimages/xlarge/183240_WHT_A.jpg" TargetMode="External"/><Relationship Id="rId473" Type="http://schemas.openxmlformats.org/officeDocument/2006/relationships/hyperlink" Target="https://image.skechers.com/img/productimages/xlarge/211325_KHK_A.jpg" TargetMode="External"/><Relationship Id="rId529" Type="http://schemas.openxmlformats.org/officeDocument/2006/relationships/hyperlink" Target="https://image.skechers.com/img/productimages/xlarge/220415_SLT_A.jpg" TargetMode="External"/><Relationship Id="rId680" Type="http://schemas.openxmlformats.org/officeDocument/2006/relationships/hyperlink" Target="https://image.skechers.com/img/productimages/xlarge/233037_BBK_A.jpg" TargetMode="External"/><Relationship Id="rId736" Type="http://schemas.openxmlformats.org/officeDocument/2006/relationships/hyperlink" Target="https://image.skechers.com/img/productimages/xlarge/233401_GYNV_A.jpg" TargetMode="External"/><Relationship Id="rId30" Type="http://schemas.openxmlformats.org/officeDocument/2006/relationships/hyperlink" Target="https://image.skechers.com/img/productimages/xlarge/149693_ROS_A.jpg" TargetMode="External"/><Relationship Id="rId126" Type="http://schemas.openxmlformats.org/officeDocument/2006/relationships/hyperlink" Target="https://image.skechers.com/img/productimages/xlarge/149693_ROS_A.jpg" TargetMode="External"/><Relationship Id="rId168" Type="http://schemas.openxmlformats.org/officeDocument/2006/relationships/hyperlink" Target="https://image.skechers.com/img/productimages/xlarge/149693_ROS_A.jpg" TargetMode="External"/><Relationship Id="rId333" Type="http://schemas.openxmlformats.org/officeDocument/2006/relationships/hyperlink" Target="https://image.skechers.com/img/productimages/xlarge/149693_ROS_A.jpg" TargetMode="External"/><Relationship Id="rId540" Type="http://schemas.openxmlformats.org/officeDocument/2006/relationships/hyperlink" Target="https://image.skechers.com/img/productimages/xlarge/220609_CCBK_A.jpg" TargetMode="External"/><Relationship Id="rId778" Type="http://schemas.openxmlformats.org/officeDocument/2006/relationships/hyperlink" Target="https://image.skechers.com/img/productimages/xlarge/237672_BKCC_A.jpg" TargetMode="External"/><Relationship Id="rId72" Type="http://schemas.openxmlformats.org/officeDocument/2006/relationships/hyperlink" Target="https://image.skechers.com/img/productimages/xlarge/149693_ROS_A.jpg" TargetMode="External"/><Relationship Id="rId375" Type="http://schemas.openxmlformats.org/officeDocument/2006/relationships/hyperlink" Target="https://image.skechers.com/img/productimages/xlarge/104736_BBK_A.jpg" TargetMode="External"/><Relationship Id="rId582" Type="http://schemas.openxmlformats.org/officeDocument/2006/relationships/hyperlink" Target="https://image.skechers.com/img/productimages/xlarge/220880_BLK_A.jpg" TargetMode="External"/><Relationship Id="rId638" Type="http://schemas.openxmlformats.org/officeDocument/2006/relationships/hyperlink" Target="https://image.skechers.com/img/productimages/xlarge/221241_GRY_A.jpg" TargetMode="External"/><Relationship Id="rId803" Type="http://schemas.openxmlformats.org/officeDocument/2006/relationships/hyperlink" Target="https://image.skechers.com/img/productimages/xlarge/237821_BBK_A.jpg" TargetMode="External"/><Relationship Id="rId3" Type="http://schemas.openxmlformats.org/officeDocument/2006/relationships/hyperlink" Target="https://image.skechers.com/img/productimages/xlarge/149693_ROS_A.jpg" TargetMode="External"/><Relationship Id="rId235" Type="http://schemas.openxmlformats.org/officeDocument/2006/relationships/hyperlink" Target="https://image.skechers.com/img/productimages/xlarge/149693_ROS_A.jpg" TargetMode="External"/><Relationship Id="rId277" Type="http://schemas.openxmlformats.org/officeDocument/2006/relationships/hyperlink" Target="https://image.skechers.com/img/productimages/xlarge/149693_ROS_A.jpg" TargetMode="External"/><Relationship Id="rId400" Type="http://schemas.openxmlformats.org/officeDocument/2006/relationships/hyperlink" Target="https://image.skechers.com/img/productimages/xlarge/118430_NVY_A.jpg" TargetMode="External"/><Relationship Id="rId442" Type="http://schemas.openxmlformats.org/officeDocument/2006/relationships/hyperlink" Target="https://image.skechers.com/img/productimages/xlarge/204699_BLK_A.jpg" TargetMode="External"/><Relationship Id="rId484" Type="http://schemas.openxmlformats.org/officeDocument/2006/relationships/hyperlink" Target="https://image.skechers.com/img/productimages/xlarge/216354_BBK_A.jpg" TargetMode="External"/><Relationship Id="rId705" Type="http://schemas.openxmlformats.org/officeDocument/2006/relationships/hyperlink" Target="https://image.skechers.com/img/productimages/xlarge/233184_NVY_A.jpg" TargetMode="External"/><Relationship Id="rId137" Type="http://schemas.openxmlformats.org/officeDocument/2006/relationships/hyperlink" Target="https://image.skechers.com/img/productimages/xlarge/149693_ROS_A.jpg" TargetMode="External"/><Relationship Id="rId302" Type="http://schemas.openxmlformats.org/officeDocument/2006/relationships/hyperlink" Target="https://image.skechers.com/img/productimages/xlarge/149693_ROS_A.jpg" TargetMode="External"/><Relationship Id="rId344" Type="http://schemas.openxmlformats.org/officeDocument/2006/relationships/hyperlink" Target="https://image.skechers.com/img/productimages/xlarge/149693_ROS_A.jpg" TargetMode="External"/><Relationship Id="rId691" Type="http://schemas.openxmlformats.org/officeDocument/2006/relationships/hyperlink" Target="https://image.skechers.com/img/productimages/xlarge/233113_GYMT_A.jpg" TargetMode="External"/><Relationship Id="rId747" Type="http://schemas.openxmlformats.org/officeDocument/2006/relationships/hyperlink" Target="https://image.skechers.com/img/productimages/xlarge/237333_BBK_A.jpg" TargetMode="External"/><Relationship Id="rId789" Type="http://schemas.openxmlformats.org/officeDocument/2006/relationships/hyperlink" Target="https://image.skechers.com/img/productimages/xlarge/237790_BBK_A.jpg" TargetMode="External"/><Relationship Id="rId41" Type="http://schemas.openxmlformats.org/officeDocument/2006/relationships/hyperlink" Target="https://image.skechers.com/img/productimages/xlarge/149693_ROS_A.jpg" TargetMode="External"/><Relationship Id="rId83" Type="http://schemas.openxmlformats.org/officeDocument/2006/relationships/hyperlink" Target="https://image.skechers.com/img/productimages/xlarge/149693_ROS_A.jpg" TargetMode="External"/><Relationship Id="rId179" Type="http://schemas.openxmlformats.org/officeDocument/2006/relationships/hyperlink" Target="https://image.skechers.com/img/productimages/xlarge/149693_ROS_A.jpg" TargetMode="External"/><Relationship Id="rId386" Type="http://schemas.openxmlformats.org/officeDocument/2006/relationships/hyperlink" Target="https://image.skechers.com/img/productimages/xlarge/118416_BBK_A.jpg" TargetMode="External"/><Relationship Id="rId551" Type="http://schemas.openxmlformats.org/officeDocument/2006/relationships/hyperlink" Target="https://image.skechers.com/img/productimages/xlarge/220613_WBK_A.jpg" TargetMode="External"/><Relationship Id="rId593" Type="http://schemas.openxmlformats.org/officeDocument/2006/relationships/hyperlink" Target="https://image.skechers.com/img/productimages/xlarge/221000_SLT_A.jpg" TargetMode="External"/><Relationship Id="rId607" Type="http://schemas.openxmlformats.org/officeDocument/2006/relationships/hyperlink" Target="https://image.skechers.com/img/productimages/xlarge/221121_GRY_A.jpg" TargetMode="External"/><Relationship Id="rId649" Type="http://schemas.openxmlformats.org/officeDocument/2006/relationships/hyperlink" Target="https://image.skechers.com/img/productimages/xlarge/232296_BLK_A.jpg" TargetMode="External"/><Relationship Id="rId814" Type="http://schemas.openxmlformats.org/officeDocument/2006/relationships/hyperlink" Target="https://image.skechers.com/img/productimages/xlarge/254172_NTGY_A.jpg" TargetMode="External"/><Relationship Id="rId190" Type="http://schemas.openxmlformats.org/officeDocument/2006/relationships/hyperlink" Target="https://image.skechers.com/img/productimages/xlarge/149693_ROS_A.jpg" TargetMode="External"/><Relationship Id="rId204" Type="http://schemas.openxmlformats.org/officeDocument/2006/relationships/hyperlink" Target="https://image.skechers.com/img/productimages/xlarge/149693_ROS_A.jpg" TargetMode="External"/><Relationship Id="rId246" Type="http://schemas.openxmlformats.org/officeDocument/2006/relationships/hyperlink" Target="https://image.skechers.com/img/productimages/xlarge/149693_ROS_A.jpg" TargetMode="External"/><Relationship Id="rId288" Type="http://schemas.openxmlformats.org/officeDocument/2006/relationships/hyperlink" Target="https://image.skechers.com/img/productimages/xlarge/149693_ROS_A.jpg" TargetMode="External"/><Relationship Id="rId411" Type="http://schemas.openxmlformats.org/officeDocument/2006/relationships/hyperlink" Target="https://image.skechers.com/img/productimages/xlarge/183004_BBK_A.jpg" TargetMode="External"/><Relationship Id="rId453" Type="http://schemas.openxmlformats.org/officeDocument/2006/relationships/hyperlink" Target="https://image.skechers.com/img/productimages/xlarge/205732_BBK_A.jpg" TargetMode="External"/><Relationship Id="rId509" Type="http://schemas.openxmlformats.org/officeDocument/2006/relationships/hyperlink" Target="https://image.skechers.com/img/productimages/xlarge/217020_BBK_A.jpg" TargetMode="External"/><Relationship Id="rId660" Type="http://schemas.openxmlformats.org/officeDocument/2006/relationships/hyperlink" Target="https://image.skechers.com/img/productimages/xlarge/232730WW_BBK_A.jpg" TargetMode="External"/><Relationship Id="rId106" Type="http://schemas.openxmlformats.org/officeDocument/2006/relationships/hyperlink" Target="https://image.skechers.com/img/productimages/xlarge/149693_ROS_A.jpg" TargetMode="External"/><Relationship Id="rId313" Type="http://schemas.openxmlformats.org/officeDocument/2006/relationships/hyperlink" Target="https://image.skechers.com/img/productimages/xlarge/149693_ROS_A.jpg" TargetMode="External"/><Relationship Id="rId495" Type="http://schemas.openxmlformats.org/officeDocument/2006/relationships/hyperlink" Target="https://image.skechers.com/img/productimages/xlarge/216782WW_BKW_A.jpg" TargetMode="External"/><Relationship Id="rId716" Type="http://schemas.openxmlformats.org/officeDocument/2006/relationships/hyperlink" Target="https://image.skechers.com/img/productimages/xlarge/233244_NVY_A.jpg" TargetMode="External"/><Relationship Id="rId758" Type="http://schemas.openxmlformats.org/officeDocument/2006/relationships/hyperlink" Target="https://image.skechers.com/img/productimages/xlarge/237553_NAT_A.jpg" TargetMode="External"/><Relationship Id="rId10" Type="http://schemas.openxmlformats.org/officeDocument/2006/relationships/hyperlink" Target="https://image.skechers.com/img/productimages/xlarge/149693_ROS_A.jpg" TargetMode="External"/><Relationship Id="rId52" Type="http://schemas.openxmlformats.org/officeDocument/2006/relationships/hyperlink" Target="https://image.skechers.com/img/productimages/xlarge/149693_ROS_A.jpg" TargetMode="External"/><Relationship Id="rId94" Type="http://schemas.openxmlformats.org/officeDocument/2006/relationships/hyperlink" Target="https://image.skechers.com/img/productimages/xlarge/149693_ROS_A.jpg" TargetMode="External"/><Relationship Id="rId148" Type="http://schemas.openxmlformats.org/officeDocument/2006/relationships/hyperlink" Target="https://image.skechers.com/img/productimages/xlarge/149693_ROS_A.jpg" TargetMode="External"/><Relationship Id="rId355" Type="http://schemas.openxmlformats.org/officeDocument/2006/relationships/hyperlink" Target="https://image.skechers.com/img/productimages/xlarge/52458_W_A.jpg" TargetMode="External"/><Relationship Id="rId397" Type="http://schemas.openxmlformats.org/officeDocument/2006/relationships/hyperlink" Target="https://image.skechers.com/img/productimages/xlarge/118424_WHT_A.jpg" TargetMode="External"/><Relationship Id="rId520" Type="http://schemas.openxmlformats.org/officeDocument/2006/relationships/hyperlink" Target="https://image.skechers.com/img/productimages/xlarge/217113_BBK_A.jpg" TargetMode="External"/><Relationship Id="rId562" Type="http://schemas.openxmlformats.org/officeDocument/2006/relationships/hyperlink" Target="https://image.skechers.com/img/productimages/xlarge/220632_TPE_A.jpg" TargetMode="External"/><Relationship Id="rId618" Type="http://schemas.openxmlformats.org/officeDocument/2006/relationships/hyperlink" Target="https://image.skechers.com/img/productimages/xlarge/221141_CRL_A.jpg" TargetMode="External"/><Relationship Id="rId215" Type="http://schemas.openxmlformats.org/officeDocument/2006/relationships/hyperlink" Target="https://image.skechers.com/img/productimages/xlarge/149693_ROS_A.jpg" TargetMode="External"/><Relationship Id="rId257" Type="http://schemas.openxmlformats.org/officeDocument/2006/relationships/hyperlink" Target="https://image.skechers.com/img/productimages/xlarge/149693_ROS_A.jpg" TargetMode="External"/><Relationship Id="rId422" Type="http://schemas.openxmlformats.org/officeDocument/2006/relationships/hyperlink" Target="https://image.skechers.com/img/productimages/xlarge/183007_CHAR_A.jpg" TargetMode="External"/><Relationship Id="rId464" Type="http://schemas.openxmlformats.org/officeDocument/2006/relationships/hyperlink" Target="https://image.skechers.com/img/productimages/xlarge/211145_BBK_A.jpg" TargetMode="External"/><Relationship Id="rId299" Type="http://schemas.openxmlformats.org/officeDocument/2006/relationships/hyperlink" Target="https://image.skechers.com/img/productimages/xlarge/149693_ROS_A.jpg" TargetMode="External"/><Relationship Id="rId727" Type="http://schemas.openxmlformats.org/officeDocument/2006/relationships/hyperlink" Target="https://image.skechers.com/img/productimages/xlarge/233272_BBK_A.jpg" TargetMode="External"/><Relationship Id="rId63" Type="http://schemas.openxmlformats.org/officeDocument/2006/relationships/hyperlink" Target="https://image.skechers.com/img/productimages/xlarge/149693_ROS_A.jpg" TargetMode="External"/><Relationship Id="rId159" Type="http://schemas.openxmlformats.org/officeDocument/2006/relationships/hyperlink" Target="https://image.skechers.com/img/productimages/xlarge/149693_ROS_A.jpg" TargetMode="External"/><Relationship Id="rId366" Type="http://schemas.openxmlformats.org/officeDocument/2006/relationships/hyperlink" Target="https://image.skechers.com/img/productimages/xlarge/149693_ROS_A.jpg" TargetMode="External"/><Relationship Id="rId573" Type="http://schemas.openxmlformats.org/officeDocument/2006/relationships/hyperlink" Target="https://image.skechers.com/img/productimages/xlarge/220861_WBK_A.jpg" TargetMode="External"/><Relationship Id="rId780" Type="http://schemas.openxmlformats.org/officeDocument/2006/relationships/hyperlink" Target="https://image.skechers.com/img/productimages/xlarge/237678_TPBK_A.jpg" TargetMode="External"/><Relationship Id="rId226" Type="http://schemas.openxmlformats.org/officeDocument/2006/relationships/hyperlink" Target="https://image.skechers.com/img/productimages/xlarge/149693_ROS_A.jpg" TargetMode="External"/><Relationship Id="rId433" Type="http://schemas.openxmlformats.org/officeDocument/2006/relationships/hyperlink" Target="https://image.skechers.com/img/productimages/xlarge/183365_BLK_A.jpg" TargetMode="External"/><Relationship Id="rId640" Type="http://schemas.openxmlformats.org/officeDocument/2006/relationships/hyperlink" Target="https://image.skechers.com/img/productimages/xlarge/221241_TPE_A.jpg" TargetMode="External"/><Relationship Id="rId738" Type="http://schemas.openxmlformats.org/officeDocument/2006/relationships/hyperlink" Target="https://image.skechers.com/img/productimages/xlarge/237192_BKCC_A.jpg" TargetMode="External"/><Relationship Id="rId74" Type="http://schemas.openxmlformats.org/officeDocument/2006/relationships/hyperlink" Target="https://image.skechers.com/img/productimages/xlarge/149693_ROS_A.jpg" TargetMode="External"/><Relationship Id="rId377" Type="http://schemas.openxmlformats.org/officeDocument/2006/relationships/hyperlink" Target="https://image.skechers.com/img/productimages/xlarge/118110_BBK_A.jpg" TargetMode="External"/><Relationship Id="rId500" Type="http://schemas.openxmlformats.org/officeDocument/2006/relationships/hyperlink" Target="https://image.skechers.com/img/productimages/xlarge/216812_BKW_A.jpg" TargetMode="External"/><Relationship Id="rId584" Type="http://schemas.openxmlformats.org/officeDocument/2006/relationships/hyperlink" Target="https://image.skechers.com/img/productimages/xlarge/220887_BLK_A.jpg" TargetMode="External"/><Relationship Id="rId805" Type="http://schemas.openxmlformats.org/officeDocument/2006/relationships/hyperlink" Target="https://image.skechers.com/img/productimages/xlarge/246220_BLK_A.jpg" TargetMode="External"/><Relationship Id="rId5" Type="http://schemas.openxmlformats.org/officeDocument/2006/relationships/hyperlink" Target="https://image.skechers.com/img/productimages/xlarge/149693_ROS_A.jpg" TargetMode="External"/><Relationship Id="rId237" Type="http://schemas.openxmlformats.org/officeDocument/2006/relationships/hyperlink" Target="https://image.skechers.com/img/productimages/xlarge/149693_ROS_A.jpg" TargetMode="External"/><Relationship Id="rId791" Type="http://schemas.openxmlformats.org/officeDocument/2006/relationships/hyperlink" Target="https://image.skechers.com/img/productimages/xlarge/237806_BBK_A.jpg" TargetMode="External"/><Relationship Id="rId444" Type="http://schemas.openxmlformats.org/officeDocument/2006/relationships/hyperlink" Target="https://image.skechers.com/img/productimages/xlarge/204699_CHAR_A.jpg" TargetMode="External"/><Relationship Id="rId651" Type="http://schemas.openxmlformats.org/officeDocument/2006/relationships/hyperlink" Target="https://image.skechers.com/img/productimages/xlarge/232474_BBK_A.jpg" TargetMode="External"/><Relationship Id="rId749" Type="http://schemas.openxmlformats.org/officeDocument/2006/relationships/hyperlink" Target="https://image.skechers.com/img/productimages/xlarge/237415_BLK_A.jpg" TargetMode="External"/><Relationship Id="rId290" Type="http://schemas.openxmlformats.org/officeDocument/2006/relationships/hyperlink" Target="https://image.skechers.com/img/productimages/xlarge/149693_ROS_A.jpg" TargetMode="External"/><Relationship Id="rId304" Type="http://schemas.openxmlformats.org/officeDocument/2006/relationships/hyperlink" Target="https://image.skechers.com/img/productimages/xlarge/149693_ROS_A.jpg" TargetMode="External"/><Relationship Id="rId388" Type="http://schemas.openxmlformats.org/officeDocument/2006/relationships/hyperlink" Target="https://image.skechers.com/img/productimages/xlarge/118423_CCL_A.jpg" TargetMode="External"/><Relationship Id="rId511" Type="http://schemas.openxmlformats.org/officeDocument/2006/relationships/hyperlink" Target="https://image.skechers.com/img/productimages/xlarge/217020_DKTP_A.jpg" TargetMode="External"/><Relationship Id="rId609" Type="http://schemas.openxmlformats.org/officeDocument/2006/relationships/hyperlink" Target="https://image.skechers.com/img/productimages/xlarge/221121_OLV_A.jpg" TargetMode="External"/><Relationship Id="rId85" Type="http://schemas.openxmlformats.org/officeDocument/2006/relationships/hyperlink" Target="https://image.skechers.com/img/productimages/xlarge/149693_ROS_A.jpg" TargetMode="External"/><Relationship Id="rId150" Type="http://schemas.openxmlformats.org/officeDocument/2006/relationships/hyperlink" Target="https://image.skechers.com/img/productimages/xlarge/149693_ROS_A.jpg" TargetMode="External"/><Relationship Id="rId595" Type="http://schemas.openxmlformats.org/officeDocument/2006/relationships/hyperlink" Target="https://image.skechers.com/img/productimages/xlarge/221040_GRY_A.jpg" TargetMode="External"/><Relationship Id="rId816" Type="http://schemas.openxmlformats.org/officeDocument/2006/relationships/hyperlink" Target="https://image.skechers.com/img/productimages/xlarge/254179_BBK_A.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29"/>
  <sheetViews>
    <sheetView tabSelected="1" zoomScale="115" zoomScaleNormal="115" workbookViewId="0">
      <pane ySplit="1" topLeftCell="A2" activePane="bottomLeft" state="frozen"/>
      <selection pane="bottomLeft" activeCell="Z2" sqref="Z2"/>
    </sheetView>
  </sheetViews>
  <sheetFormatPr defaultColWidth="15" defaultRowHeight="40" customHeight="1"/>
  <cols>
    <col min="1" max="1" width="10" customWidth="1"/>
    <col min="2" max="2" width="17.26953125" style="1" customWidth="1"/>
    <col min="3" max="3" width="12.81640625" style="1" customWidth="1"/>
    <col min="4" max="4" width="12" style="1" customWidth="1"/>
    <col min="5" max="5" width="15" style="1"/>
    <col min="6" max="6" width="15" style="1" customWidth="1"/>
    <col min="7" max="8" width="15" hidden="1" customWidth="1"/>
    <col min="9" max="9" width="11.7265625" customWidth="1"/>
    <col min="10" max="13" width="50" hidden="1" customWidth="1"/>
    <col min="14" max="14" width="22.36328125" hidden="1" customWidth="1"/>
    <col min="15" max="16" width="50" hidden="1" customWidth="1"/>
    <col min="17" max="18" width="10.7265625" style="1" customWidth="1"/>
    <col min="19" max="19" width="10" style="1" customWidth="1"/>
    <col min="20" max="20" width="10.54296875" style="1" customWidth="1"/>
    <col min="21" max="21" width="11.81640625" customWidth="1"/>
    <col min="22" max="22" width="12" customWidth="1"/>
    <col min="23" max="23" width="13.36328125" customWidth="1"/>
  </cols>
  <sheetData>
    <row r="1" spans="1:25" ht="56.25" customHeight="1">
      <c r="A1" s="2" t="s">
        <v>0</v>
      </c>
      <c r="B1" s="3" t="s">
        <v>1</v>
      </c>
      <c r="C1" s="4" t="s">
        <v>2</v>
      </c>
      <c r="D1" s="2" t="s">
        <v>3</v>
      </c>
      <c r="E1" s="2" t="s">
        <v>4</v>
      </c>
      <c r="F1" s="2" t="s">
        <v>5</v>
      </c>
      <c r="G1" s="2" t="s">
        <v>6</v>
      </c>
      <c r="H1" s="2" t="s">
        <v>7</v>
      </c>
      <c r="I1" s="2" t="s">
        <v>8</v>
      </c>
      <c r="J1" s="2" t="s">
        <v>9</v>
      </c>
      <c r="K1" s="2" t="s">
        <v>10</v>
      </c>
      <c r="L1" s="2" t="s">
        <v>11</v>
      </c>
      <c r="M1" s="2" t="s">
        <v>12</v>
      </c>
      <c r="N1" s="2" t="s">
        <v>13</v>
      </c>
      <c r="O1" s="2" t="s">
        <v>14</v>
      </c>
      <c r="P1" s="2" t="s">
        <v>15</v>
      </c>
      <c r="Q1" s="9" t="s">
        <v>16</v>
      </c>
      <c r="R1" s="9" t="s">
        <v>17</v>
      </c>
      <c r="S1" s="2" t="s">
        <v>18</v>
      </c>
      <c r="T1" s="9" t="s">
        <v>19</v>
      </c>
      <c r="U1" s="10" t="s">
        <v>20</v>
      </c>
      <c r="V1" s="11" t="s">
        <v>21</v>
      </c>
      <c r="W1" s="11" t="s">
        <v>22</v>
      </c>
      <c r="X1" s="11" t="s">
        <v>23</v>
      </c>
      <c r="Y1" t="s">
        <v>24</v>
      </c>
    </row>
    <row r="2" spans="1:25" ht="40" customHeight="1">
      <c r="A2" s="5" t="s">
        <v>25</v>
      </c>
      <c r="B2" s="6" t="s">
        <v>26</v>
      </c>
      <c r="C2" s="6">
        <v>100859</v>
      </c>
      <c r="D2" s="6" t="s">
        <v>27</v>
      </c>
      <c r="E2" s="6" t="s">
        <v>28</v>
      </c>
      <c r="F2" s="6"/>
      <c r="G2" s="6" t="s">
        <v>29</v>
      </c>
      <c r="H2" s="6" t="s">
        <v>30</v>
      </c>
      <c r="I2" s="6" t="s">
        <v>31</v>
      </c>
      <c r="J2" s="6" t="s">
        <v>32</v>
      </c>
      <c r="K2" s="6" t="s">
        <v>33</v>
      </c>
      <c r="L2" s="6" t="s">
        <v>34</v>
      </c>
      <c r="M2" s="6" t="s">
        <v>35</v>
      </c>
      <c r="N2" s="6" t="s">
        <v>36</v>
      </c>
      <c r="O2" s="6" t="s">
        <v>37</v>
      </c>
      <c r="P2" s="6"/>
      <c r="Q2" s="8">
        <v>125</v>
      </c>
      <c r="R2" s="8">
        <v>125.375</v>
      </c>
      <c r="S2" s="8">
        <v>249.9</v>
      </c>
      <c r="T2" s="8">
        <v>14</v>
      </c>
      <c r="U2" s="8"/>
      <c r="V2" s="8">
        <v>0</v>
      </c>
      <c r="W2" s="12">
        <v>0</v>
      </c>
      <c r="Y2">
        <v>0</v>
      </c>
    </row>
    <row r="3" spans="1:25" ht="40" customHeight="1">
      <c r="A3" s="6" t="s">
        <v>38</v>
      </c>
      <c r="B3" s="6" t="s">
        <v>39</v>
      </c>
      <c r="C3" s="6">
        <v>100859</v>
      </c>
      <c r="D3" s="6" t="s">
        <v>40</v>
      </c>
      <c r="E3" s="6" t="s">
        <v>41</v>
      </c>
      <c r="F3" s="6"/>
      <c r="G3" s="6" t="s">
        <v>29</v>
      </c>
      <c r="H3" s="6" t="s">
        <v>30</v>
      </c>
      <c r="I3" s="6" t="s">
        <v>31</v>
      </c>
      <c r="J3" s="6" t="s">
        <v>32</v>
      </c>
      <c r="K3" s="6" t="s">
        <v>42</v>
      </c>
      <c r="L3" s="6" t="s">
        <v>34</v>
      </c>
      <c r="M3" s="6" t="s">
        <v>35</v>
      </c>
      <c r="N3" s="6" t="s">
        <v>36</v>
      </c>
      <c r="O3" s="6" t="s">
        <v>37</v>
      </c>
      <c r="P3" s="6"/>
      <c r="Q3" s="8">
        <v>125</v>
      </c>
      <c r="R3" s="8">
        <v>125.375</v>
      </c>
      <c r="S3" s="8">
        <v>249.9</v>
      </c>
      <c r="T3" s="8">
        <v>14</v>
      </c>
      <c r="U3" s="8"/>
      <c r="V3" s="8">
        <v>0</v>
      </c>
      <c r="W3" s="12">
        <v>0</v>
      </c>
      <c r="Y3">
        <v>0</v>
      </c>
    </row>
    <row r="4" spans="1:25" ht="40" customHeight="1">
      <c r="A4" s="6" t="s">
        <v>43</v>
      </c>
      <c r="B4" s="6" t="s">
        <v>44</v>
      </c>
      <c r="C4" s="6">
        <v>100859</v>
      </c>
      <c r="D4" s="6" t="s">
        <v>45</v>
      </c>
      <c r="E4" s="6" t="s">
        <v>46</v>
      </c>
      <c r="F4" s="6"/>
      <c r="G4" s="6" t="s">
        <v>29</v>
      </c>
      <c r="H4" s="6" t="s">
        <v>30</v>
      </c>
      <c r="I4" s="6" t="s">
        <v>31</v>
      </c>
      <c r="J4" s="6" t="s">
        <v>32</v>
      </c>
      <c r="K4" s="6" t="s">
        <v>47</v>
      </c>
      <c r="L4" s="6" t="s">
        <v>34</v>
      </c>
      <c r="M4" s="6" t="s">
        <v>35</v>
      </c>
      <c r="N4" s="6" t="s">
        <v>36</v>
      </c>
      <c r="O4" s="6" t="s">
        <v>37</v>
      </c>
      <c r="P4" s="6"/>
      <c r="Q4" s="8">
        <v>125</v>
      </c>
      <c r="R4" s="8">
        <v>125.375</v>
      </c>
      <c r="S4" s="8">
        <v>249.9</v>
      </c>
      <c r="T4" s="8">
        <v>14</v>
      </c>
      <c r="U4" s="8"/>
      <c r="V4" s="8">
        <v>0</v>
      </c>
      <c r="W4" s="12">
        <v>0</v>
      </c>
      <c r="Y4">
        <v>0</v>
      </c>
    </row>
    <row r="5" spans="1:25" ht="40" customHeight="1">
      <c r="A5" s="6" t="s">
        <v>48</v>
      </c>
      <c r="B5" s="6" t="s">
        <v>49</v>
      </c>
      <c r="C5" s="6">
        <v>100965</v>
      </c>
      <c r="D5" s="6" t="s">
        <v>27</v>
      </c>
      <c r="E5" s="6" t="s">
        <v>50</v>
      </c>
      <c r="F5" s="6"/>
      <c r="G5" s="6" t="s">
        <v>51</v>
      </c>
      <c r="H5" s="6" t="s">
        <v>52</v>
      </c>
      <c r="I5" s="6" t="s">
        <v>31</v>
      </c>
      <c r="J5" s="6" t="s">
        <v>53</v>
      </c>
      <c r="K5" s="6" t="s">
        <v>33</v>
      </c>
      <c r="L5" s="6" t="s">
        <v>54</v>
      </c>
      <c r="M5" s="6" t="s">
        <v>54</v>
      </c>
      <c r="N5" s="6" t="s">
        <v>36</v>
      </c>
      <c r="O5" s="6" t="s">
        <v>55</v>
      </c>
      <c r="P5" s="6"/>
      <c r="Q5" s="8">
        <v>135</v>
      </c>
      <c r="R5" s="8">
        <v>135.405</v>
      </c>
      <c r="S5" s="8">
        <v>269.89999999999998</v>
      </c>
      <c r="T5" s="8">
        <v>14</v>
      </c>
      <c r="U5" s="8"/>
      <c r="V5" s="8">
        <v>0</v>
      </c>
      <c r="W5" s="12">
        <v>0</v>
      </c>
      <c r="Y5">
        <v>0</v>
      </c>
    </row>
    <row r="6" spans="1:25" ht="40" customHeight="1">
      <c r="A6" s="6" t="s">
        <v>56</v>
      </c>
      <c r="B6" s="6" t="s">
        <v>57</v>
      </c>
      <c r="C6" s="6">
        <v>100965</v>
      </c>
      <c r="D6" s="6" t="s">
        <v>40</v>
      </c>
      <c r="E6" s="6" t="s">
        <v>58</v>
      </c>
      <c r="F6" s="6"/>
      <c r="G6" s="6" t="s">
        <v>51</v>
      </c>
      <c r="H6" s="6" t="s">
        <v>52</v>
      </c>
      <c r="I6" s="6" t="s">
        <v>31</v>
      </c>
      <c r="J6" s="6" t="s">
        <v>53</v>
      </c>
      <c r="K6" s="6" t="s">
        <v>42</v>
      </c>
      <c r="L6" s="6" t="s">
        <v>54</v>
      </c>
      <c r="M6" s="6" t="s">
        <v>54</v>
      </c>
      <c r="N6" s="6" t="s">
        <v>36</v>
      </c>
      <c r="O6" s="6" t="s">
        <v>55</v>
      </c>
      <c r="P6" s="6"/>
      <c r="Q6" s="8">
        <v>135</v>
      </c>
      <c r="R6" s="8">
        <v>135.405</v>
      </c>
      <c r="S6" s="8">
        <v>269.89999999999998</v>
      </c>
      <c r="T6" s="8">
        <v>14</v>
      </c>
      <c r="U6" s="8"/>
      <c r="V6" s="8">
        <v>0</v>
      </c>
      <c r="W6" s="12">
        <v>0</v>
      </c>
      <c r="Y6">
        <v>0</v>
      </c>
    </row>
    <row r="7" spans="1:25" ht="40" customHeight="1">
      <c r="A7" s="6" t="s">
        <v>59</v>
      </c>
      <c r="B7" s="6" t="s">
        <v>60</v>
      </c>
      <c r="C7" s="6">
        <v>100965</v>
      </c>
      <c r="D7" s="6" t="s">
        <v>45</v>
      </c>
      <c r="E7" s="6" t="s">
        <v>61</v>
      </c>
      <c r="F7" s="6"/>
      <c r="G7" s="6" t="s">
        <v>51</v>
      </c>
      <c r="H7" s="6" t="s">
        <v>52</v>
      </c>
      <c r="I7" s="6" t="s">
        <v>31</v>
      </c>
      <c r="J7" s="6" t="s">
        <v>53</v>
      </c>
      <c r="K7" s="6" t="s">
        <v>47</v>
      </c>
      <c r="L7" s="6" t="s">
        <v>54</v>
      </c>
      <c r="M7" s="6" t="s">
        <v>54</v>
      </c>
      <c r="N7" s="6" t="s">
        <v>36</v>
      </c>
      <c r="O7" s="6" t="s">
        <v>55</v>
      </c>
      <c r="P7" s="6"/>
      <c r="Q7" s="8">
        <v>135</v>
      </c>
      <c r="R7" s="8">
        <v>135.405</v>
      </c>
      <c r="S7" s="8">
        <v>269.89999999999998</v>
      </c>
      <c r="T7" s="8">
        <v>14</v>
      </c>
      <c r="U7" s="8"/>
      <c r="V7" s="8">
        <v>0</v>
      </c>
      <c r="W7" s="12">
        <v>0</v>
      </c>
      <c r="Y7">
        <v>0</v>
      </c>
    </row>
    <row r="8" spans="1:25" ht="40" customHeight="1">
      <c r="A8" s="6" t="s">
        <v>62</v>
      </c>
      <c r="B8" s="6" t="s">
        <v>63</v>
      </c>
      <c r="C8" s="6">
        <v>104494</v>
      </c>
      <c r="D8" s="6" t="s">
        <v>64</v>
      </c>
      <c r="E8" s="6" t="s">
        <v>65</v>
      </c>
      <c r="F8" s="6"/>
      <c r="G8" s="6" t="s">
        <v>66</v>
      </c>
      <c r="H8" s="6" t="s">
        <v>67</v>
      </c>
      <c r="I8" s="6" t="s">
        <v>31</v>
      </c>
      <c r="J8" s="6" t="s">
        <v>68</v>
      </c>
      <c r="K8" s="6" t="s">
        <v>69</v>
      </c>
      <c r="L8" s="6" t="s">
        <v>54</v>
      </c>
      <c r="M8" s="6" t="s">
        <v>54</v>
      </c>
      <c r="N8" s="6" t="s">
        <v>70</v>
      </c>
      <c r="O8" s="6" t="s">
        <v>71</v>
      </c>
      <c r="P8" s="6"/>
      <c r="Q8" s="8">
        <v>165</v>
      </c>
      <c r="R8" s="8">
        <v>165.495</v>
      </c>
      <c r="S8" s="8">
        <v>329.9</v>
      </c>
      <c r="T8" s="8">
        <v>14</v>
      </c>
      <c r="U8" s="8"/>
      <c r="V8" s="8">
        <v>0</v>
      </c>
      <c r="W8" s="12">
        <v>0</v>
      </c>
      <c r="X8">
        <f>VLOOKUP(E8,[1]Sheet2!$A:$C,3,FALSE)</f>
        <v>1</v>
      </c>
      <c r="Y8">
        <v>1</v>
      </c>
    </row>
    <row r="9" spans="1:25" ht="40" customHeight="1">
      <c r="A9" s="5" t="s">
        <v>72</v>
      </c>
      <c r="B9" s="6" t="s">
        <v>73</v>
      </c>
      <c r="C9" s="6">
        <v>104494</v>
      </c>
      <c r="D9" s="6" t="s">
        <v>74</v>
      </c>
      <c r="E9" s="6" t="s">
        <v>75</v>
      </c>
      <c r="F9" s="6"/>
      <c r="G9" s="6" t="s">
        <v>66</v>
      </c>
      <c r="H9" s="6" t="s">
        <v>67</v>
      </c>
      <c r="I9" s="6" t="s">
        <v>31</v>
      </c>
      <c r="J9" s="6" t="s">
        <v>68</v>
      </c>
      <c r="K9" s="6" t="s">
        <v>76</v>
      </c>
      <c r="L9" s="6" t="s">
        <v>54</v>
      </c>
      <c r="M9" s="6" t="s">
        <v>54</v>
      </c>
      <c r="N9" s="6" t="s">
        <v>70</v>
      </c>
      <c r="O9" s="6" t="s">
        <v>71</v>
      </c>
      <c r="P9" s="6"/>
      <c r="Q9" s="8">
        <v>165</v>
      </c>
      <c r="R9" s="8">
        <v>165.495</v>
      </c>
      <c r="S9" s="8">
        <v>329.9</v>
      </c>
      <c r="T9" s="8">
        <v>14</v>
      </c>
      <c r="U9" s="8"/>
      <c r="V9" s="8">
        <v>0</v>
      </c>
      <c r="W9" s="12">
        <v>0</v>
      </c>
      <c r="X9">
        <f>VLOOKUP(E9,[1]Sheet2!$A:$C,3,FALSE)</f>
        <v>1</v>
      </c>
      <c r="Y9">
        <v>1</v>
      </c>
    </row>
    <row r="10" spans="1:25" ht="40" customHeight="1">
      <c r="A10" s="6" t="s">
        <v>77</v>
      </c>
      <c r="B10" s="6" t="s">
        <v>78</v>
      </c>
      <c r="C10" s="6">
        <v>104550</v>
      </c>
      <c r="D10" s="6" t="s">
        <v>27</v>
      </c>
      <c r="E10" s="6" t="s">
        <v>79</v>
      </c>
      <c r="F10" s="6"/>
      <c r="G10" s="6" t="s">
        <v>80</v>
      </c>
      <c r="H10" s="6" t="s">
        <v>81</v>
      </c>
      <c r="I10" s="6" t="s">
        <v>31</v>
      </c>
      <c r="J10" s="6" t="s">
        <v>82</v>
      </c>
      <c r="K10" s="6" t="s">
        <v>83</v>
      </c>
      <c r="L10" s="6" t="s">
        <v>84</v>
      </c>
      <c r="M10" s="6" t="s">
        <v>85</v>
      </c>
      <c r="N10" s="6" t="s">
        <v>70</v>
      </c>
      <c r="O10" s="6" t="s">
        <v>86</v>
      </c>
      <c r="P10" s="6"/>
      <c r="Q10" s="8">
        <v>135</v>
      </c>
      <c r="R10" s="8">
        <v>135.405</v>
      </c>
      <c r="S10" s="8">
        <v>269.89999999999998</v>
      </c>
      <c r="T10" s="8">
        <v>14</v>
      </c>
      <c r="U10" s="8"/>
      <c r="V10" s="8">
        <v>0</v>
      </c>
      <c r="W10" s="12">
        <v>0</v>
      </c>
      <c r="Y10">
        <v>0</v>
      </c>
    </row>
    <row r="11" spans="1:25" ht="40" customHeight="1">
      <c r="A11" s="6" t="s">
        <v>87</v>
      </c>
      <c r="B11" s="6" t="s">
        <v>88</v>
      </c>
      <c r="C11" s="6">
        <v>104550</v>
      </c>
      <c r="D11" s="6" t="s">
        <v>89</v>
      </c>
      <c r="E11" s="6" t="s">
        <v>90</v>
      </c>
      <c r="F11" s="6"/>
      <c r="G11" s="6" t="s">
        <v>80</v>
      </c>
      <c r="H11" s="6" t="s">
        <v>81</v>
      </c>
      <c r="I11" s="6" t="s">
        <v>31</v>
      </c>
      <c r="J11" s="6" t="s">
        <v>82</v>
      </c>
      <c r="K11" s="6" t="s">
        <v>91</v>
      </c>
      <c r="L11" s="6" t="s">
        <v>84</v>
      </c>
      <c r="M11" s="6" t="s">
        <v>85</v>
      </c>
      <c r="N11" s="6" t="s">
        <v>70</v>
      </c>
      <c r="O11" s="6" t="s">
        <v>86</v>
      </c>
      <c r="P11" s="6"/>
      <c r="Q11" s="8">
        <v>135</v>
      </c>
      <c r="R11" s="8">
        <v>135.405</v>
      </c>
      <c r="S11" s="8">
        <v>269.89999999999998</v>
      </c>
      <c r="T11" s="8">
        <v>14</v>
      </c>
      <c r="U11" s="8"/>
      <c r="V11" s="8">
        <v>0</v>
      </c>
      <c r="W11" s="12">
        <v>0</v>
      </c>
      <c r="Y11">
        <v>0</v>
      </c>
    </row>
    <row r="12" spans="1:25" ht="40" customHeight="1">
      <c r="A12" s="6" t="s">
        <v>92</v>
      </c>
      <c r="B12" s="6" t="s">
        <v>93</v>
      </c>
      <c r="C12" s="6">
        <v>104550</v>
      </c>
      <c r="D12" s="6" t="s">
        <v>94</v>
      </c>
      <c r="E12" s="6" t="s">
        <v>95</v>
      </c>
      <c r="F12" s="6"/>
      <c r="G12" s="6" t="s">
        <v>80</v>
      </c>
      <c r="H12" s="6" t="s">
        <v>81</v>
      </c>
      <c r="I12" s="6" t="s">
        <v>31</v>
      </c>
      <c r="J12" s="6" t="s">
        <v>82</v>
      </c>
      <c r="K12" s="6" t="s">
        <v>96</v>
      </c>
      <c r="L12" s="6" t="s">
        <v>84</v>
      </c>
      <c r="M12" s="6" t="s">
        <v>85</v>
      </c>
      <c r="N12" s="6" t="s">
        <v>70</v>
      </c>
      <c r="O12" s="6" t="s">
        <v>86</v>
      </c>
      <c r="P12" s="6"/>
      <c r="Q12" s="8">
        <v>135</v>
      </c>
      <c r="R12" s="8">
        <v>135.405</v>
      </c>
      <c r="S12" s="8">
        <v>269.89999999999998</v>
      </c>
      <c r="T12" s="8">
        <v>14</v>
      </c>
      <c r="U12" s="8"/>
      <c r="V12" s="8">
        <v>0</v>
      </c>
      <c r="W12" s="12">
        <v>0</v>
      </c>
      <c r="Y12">
        <v>0</v>
      </c>
    </row>
    <row r="13" spans="1:25" ht="40" customHeight="1">
      <c r="A13" s="6" t="s">
        <v>97</v>
      </c>
      <c r="B13" s="6" t="s">
        <v>98</v>
      </c>
      <c r="C13" s="6">
        <v>104556</v>
      </c>
      <c r="D13" s="6" t="s">
        <v>99</v>
      </c>
      <c r="E13" s="6" t="s">
        <v>100</v>
      </c>
      <c r="F13" s="6"/>
      <c r="G13" s="6" t="s">
        <v>80</v>
      </c>
      <c r="H13" s="6" t="s">
        <v>101</v>
      </c>
      <c r="I13" s="6" t="s">
        <v>31</v>
      </c>
      <c r="J13" s="6" t="s">
        <v>102</v>
      </c>
      <c r="K13" s="6" t="s">
        <v>103</v>
      </c>
      <c r="L13" s="6" t="s">
        <v>104</v>
      </c>
      <c r="M13" s="6" t="s">
        <v>105</v>
      </c>
      <c r="N13" s="6" t="s">
        <v>70</v>
      </c>
      <c r="O13" s="6" t="s">
        <v>106</v>
      </c>
      <c r="P13" s="6"/>
      <c r="Q13" s="8">
        <v>150</v>
      </c>
      <c r="R13" s="8">
        <v>150.44999999999999</v>
      </c>
      <c r="S13" s="8">
        <v>299.89999999999998</v>
      </c>
      <c r="T13" s="8">
        <v>14</v>
      </c>
      <c r="U13" s="8"/>
      <c r="V13" s="8">
        <v>0</v>
      </c>
      <c r="W13" s="12">
        <v>0</v>
      </c>
      <c r="Y13">
        <v>0</v>
      </c>
    </row>
    <row r="14" spans="1:25" ht="40" customHeight="1">
      <c r="A14" s="6" t="s">
        <v>107</v>
      </c>
      <c r="B14" s="6" t="s">
        <v>108</v>
      </c>
      <c r="C14" s="6">
        <v>104556</v>
      </c>
      <c r="D14" s="6" t="s">
        <v>109</v>
      </c>
      <c r="E14" s="6" t="s">
        <v>110</v>
      </c>
      <c r="F14" s="6"/>
      <c r="G14" s="6" t="s">
        <v>80</v>
      </c>
      <c r="H14" s="6" t="s">
        <v>101</v>
      </c>
      <c r="I14" s="6" t="s">
        <v>31</v>
      </c>
      <c r="J14" s="6" t="s">
        <v>102</v>
      </c>
      <c r="K14" s="6" t="s">
        <v>111</v>
      </c>
      <c r="L14" s="6" t="s">
        <v>104</v>
      </c>
      <c r="M14" s="6" t="s">
        <v>105</v>
      </c>
      <c r="N14" s="6" t="s">
        <v>70</v>
      </c>
      <c r="O14" s="6" t="s">
        <v>106</v>
      </c>
      <c r="P14" s="6"/>
      <c r="Q14" s="8">
        <v>150</v>
      </c>
      <c r="R14" s="8">
        <v>150.44999999999999</v>
      </c>
      <c r="S14" s="8">
        <v>299.89999999999998</v>
      </c>
      <c r="T14" s="8">
        <v>14</v>
      </c>
      <c r="U14" s="8"/>
      <c r="V14" s="8">
        <v>0</v>
      </c>
      <c r="W14" s="12">
        <v>0</v>
      </c>
      <c r="Y14">
        <v>0</v>
      </c>
    </row>
    <row r="15" spans="1:25" ht="40" customHeight="1">
      <c r="A15" s="6" t="s">
        <v>112</v>
      </c>
      <c r="B15" s="6" t="s">
        <v>113</v>
      </c>
      <c r="C15" s="6">
        <v>104556</v>
      </c>
      <c r="D15" s="6" t="s">
        <v>45</v>
      </c>
      <c r="E15" s="6" t="s">
        <v>114</v>
      </c>
      <c r="F15" s="6"/>
      <c r="G15" s="6" t="s">
        <v>80</v>
      </c>
      <c r="H15" s="6" t="s">
        <v>101</v>
      </c>
      <c r="I15" s="6" t="s">
        <v>31</v>
      </c>
      <c r="J15" s="6" t="s">
        <v>102</v>
      </c>
      <c r="K15" s="6" t="s">
        <v>115</v>
      </c>
      <c r="L15" s="6" t="s">
        <v>104</v>
      </c>
      <c r="M15" s="6" t="s">
        <v>105</v>
      </c>
      <c r="N15" s="6" t="s">
        <v>70</v>
      </c>
      <c r="O15" s="6" t="s">
        <v>106</v>
      </c>
      <c r="P15" s="6"/>
      <c r="Q15" s="8">
        <v>150</v>
      </c>
      <c r="R15" s="8">
        <v>150.44999999999999</v>
      </c>
      <c r="S15" s="8">
        <v>299.89999999999998</v>
      </c>
      <c r="T15" s="8">
        <v>14</v>
      </c>
      <c r="U15" s="8"/>
      <c r="V15" s="8">
        <v>0</v>
      </c>
      <c r="W15" s="12">
        <v>0</v>
      </c>
      <c r="Y15">
        <v>0</v>
      </c>
    </row>
    <row r="16" spans="1:25" ht="40" customHeight="1">
      <c r="A16" s="6" t="s">
        <v>116</v>
      </c>
      <c r="B16" s="6" t="s">
        <v>117</v>
      </c>
      <c r="C16" s="6">
        <v>104614</v>
      </c>
      <c r="D16" s="6" t="s">
        <v>99</v>
      </c>
      <c r="E16" s="6" t="s">
        <v>118</v>
      </c>
      <c r="F16" s="6"/>
      <c r="G16" s="6" t="s">
        <v>119</v>
      </c>
      <c r="H16" s="6" t="s">
        <v>120</v>
      </c>
      <c r="I16" s="6" t="s">
        <v>31</v>
      </c>
      <c r="J16" s="6" t="s">
        <v>121</v>
      </c>
      <c r="K16" s="6" t="s">
        <v>122</v>
      </c>
      <c r="L16" s="6" t="s">
        <v>54</v>
      </c>
      <c r="M16" s="6" t="s">
        <v>54</v>
      </c>
      <c r="N16" s="6" t="s">
        <v>70</v>
      </c>
      <c r="O16" s="6" t="s">
        <v>123</v>
      </c>
      <c r="P16" s="6"/>
      <c r="Q16" s="8">
        <v>185</v>
      </c>
      <c r="R16" s="8">
        <v>185.55500000000001</v>
      </c>
      <c r="S16" s="8">
        <v>369.9</v>
      </c>
      <c r="T16" s="8">
        <v>14</v>
      </c>
      <c r="U16" s="8"/>
      <c r="V16" s="8">
        <v>0</v>
      </c>
      <c r="W16" s="12">
        <v>0</v>
      </c>
      <c r="Y16">
        <v>0</v>
      </c>
    </row>
    <row r="17" spans="1:25" ht="40" customHeight="1">
      <c r="A17" s="6" t="s">
        <v>124</v>
      </c>
      <c r="B17" s="6" t="s">
        <v>125</v>
      </c>
      <c r="C17" s="6">
        <v>104614</v>
      </c>
      <c r="D17" s="6" t="s">
        <v>126</v>
      </c>
      <c r="E17" s="6" t="s">
        <v>127</v>
      </c>
      <c r="F17" s="6"/>
      <c r="G17" s="6" t="s">
        <v>119</v>
      </c>
      <c r="H17" s="6" t="s">
        <v>120</v>
      </c>
      <c r="I17" s="6" t="s">
        <v>31</v>
      </c>
      <c r="J17" s="6" t="s">
        <v>121</v>
      </c>
      <c r="K17" s="6" t="s">
        <v>128</v>
      </c>
      <c r="L17" s="6" t="s">
        <v>54</v>
      </c>
      <c r="M17" s="6" t="s">
        <v>54</v>
      </c>
      <c r="N17" s="6" t="s">
        <v>70</v>
      </c>
      <c r="O17" s="6" t="s">
        <v>123</v>
      </c>
      <c r="P17" s="6"/>
      <c r="Q17" s="8">
        <v>185</v>
      </c>
      <c r="R17" s="8">
        <v>185.55500000000001</v>
      </c>
      <c r="S17" s="8">
        <v>369.9</v>
      </c>
      <c r="T17" s="8">
        <v>14</v>
      </c>
      <c r="U17" s="8"/>
      <c r="V17" s="8">
        <v>0</v>
      </c>
      <c r="W17" s="12">
        <v>0</v>
      </c>
      <c r="Y17">
        <v>0</v>
      </c>
    </row>
    <row r="18" spans="1:25" ht="40" customHeight="1">
      <c r="A18" s="5" t="s">
        <v>129</v>
      </c>
      <c r="B18" s="6" t="s">
        <v>130</v>
      </c>
      <c r="C18" s="6">
        <v>104736</v>
      </c>
      <c r="D18" s="6" t="s">
        <v>27</v>
      </c>
      <c r="E18" s="6" t="s">
        <v>131</v>
      </c>
      <c r="F18" s="6"/>
      <c r="G18" s="6" t="s">
        <v>132</v>
      </c>
      <c r="H18" s="6" t="s">
        <v>133</v>
      </c>
      <c r="I18" s="6" t="s">
        <v>31</v>
      </c>
      <c r="J18" s="6" t="s">
        <v>134</v>
      </c>
      <c r="K18" s="6" t="s">
        <v>33</v>
      </c>
      <c r="L18" s="6" t="s">
        <v>135</v>
      </c>
      <c r="M18" s="6" t="s">
        <v>136</v>
      </c>
      <c r="N18" s="6" t="s">
        <v>70</v>
      </c>
      <c r="O18" s="6" t="s">
        <v>55</v>
      </c>
      <c r="P18" s="6"/>
      <c r="Q18" s="8">
        <v>140</v>
      </c>
      <c r="R18" s="8">
        <v>140.41999999999999</v>
      </c>
      <c r="S18" s="8">
        <v>279.89999999999998</v>
      </c>
      <c r="T18" s="8">
        <v>14</v>
      </c>
      <c r="U18" s="8"/>
      <c r="V18" s="8">
        <v>0</v>
      </c>
      <c r="W18" s="12">
        <v>0</v>
      </c>
      <c r="Y18">
        <v>0</v>
      </c>
    </row>
    <row r="19" spans="1:25" ht="40" customHeight="1">
      <c r="A19" s="6" t="s">
        <v>137</v>
      </c>
      <c r="B19" s="6" t="s">
        <v>138</v>
      </c>
      <c r="C19" s="6">
        <v>104736</v>
      </c>
      <c r="D19" s="6" t="s">
        <v>64</v>
      </c>
      <c r="E19" s="6" t="s">
        <v>139</v>
      </c>
      <c r="F19" s="6"/>
      <c r="G19" s="6" t="s">
        <v>132</v>
      </c>
      <c r="H19" s="6" t="s">
        <v>133</v>
      </c>
      <c r="I19" s="6" t="s">
        <v>31</v>
      </c>
      <c r="J19" s="6" t="s">
        <v>134</v>
      </c>
      <c r="K19" s="6" t="s">
        <v>33</v>
      </c>
      <c r="L19" s="6" t="s">
        <v>135</v>
      </c>
      <c r="M19" s="6" t="s">
        <v>136</v>
      </c>
      <c r="N19" s="6" t="s">
        <v>70</v>
      </c>
      <c r="O19" s="6" t="s">
        <v>55</v>
      </c>
      <c r="P19" s="6"/>
      <c r="Q19" s="8">
        <v>140</v>
      </c>
      <c r="R19" s="8">
        <v>140.41999999999999</v>
      </c>
      <c r="S19" s="8">
        <v>279.89999999999998</v>
      </c>
      <c r="T19" s="8">
        <v>14</v>
      </c>
      <c r="U19" s="8"/>
      <c r="V19" s="8">
        <v>0</v>
      </c>
      <c r="W19" s="12">
        <v>0</v>
      </c>
      <c r="Y19">
        <v>0</v>
      </c>
    </row>
    <row r="20" spans="1:25" ht="40" customHeight="1">
      <c r="A20" s="6" t="s">
        <v>140</v>
      </c>
      <c r="B20" s="6" t="s">
        <v>141</v>
      </c>
      <c r="C20" s="6">
        <v>104736</v>
      </c>
      <c r="D20" s="6" t="s">
        <v>142</v>
      </c>
      <c r="E20" s="6" t="s">
        <v>143</v>
      </c>
      <c r="F20" s="6"/>
      <c r="G20" s="6" t="s">
        <v>132</v>
      </c>
      <c r="H20" s="6" t="s">
        <v>133</v>
      </c>
      <c r="I20" s="6" t="s">
        <v>31</v>
      </c>
      <c r="J20" s="6" t="s">
        <v>134</v>
      </c>
      <c r="K20" s="6" t="s">
        <v>144</v>
      </c>
      <c r="L20" s="6" t="s">
        <v>135</v>
      </c>
      <c r="M20" s="6" t="s">
        <v>136</v>
      </c>
      <c r="N20" s="6" t="s">
        <v>70</v>
      </c>
      <c r="O20" s="6" t="s">
        <v>55</v>
      </c>
      <c r="P20" s="6"/>
      <c r="Q20" s="8">
        <v>140</v>
      </c>
      <c r="R20" s="8">
        <v>140.41999999999999</v>
      </c>
      <c r="S20" s="8">
        <v>279.89999999999998</v>
      </c>
      <c r="T20" s="8">
        <v>14</v>
      </c>
      <c r="U20" s="8"/>
      <c r="V20" s="8">
        <v>0</v>
      </c>
      <c r="W20" s="12">
        <v>0</v>
      </c>
      <c r="Y20">
        <v>0</v>
      </c>
    </row>
    <row r="21" spans="1:25" ht="40" customHeight="1">
      <c r="A21" s="6" t="s">
        <v>145</v>
      </c>
      <c r="B21" s="6" t="s">
        <v>146</v>
      </c>
      <c r="C21" s="7">
        <v>117324</v>
      </c>
      <c r="D21" s="6" t="s">
        <v>147</v>
      </c>
      <c r="E21" s="7" t="s">
        <v>148</v>
      </c>
      <c r="F21" s="6"/>
      <c r="G21" s="6" t="s">
        <v>149</v>
      </c>
      <c r="H21" s="6" t="s">
        <v>150</v>
      </c>
      <c r="I21" s="6" t="s">
        <v>31</v>
      </c>
      <c r="J21" s="6" t="s">
        <v>151</v>
      </c>
      <c r="K21" s="6" t="s">
        <v>83</v>
      </c>
      <c r="L21" s="6" t="s">
        <v>152</v>
      </c>
      <c r="M21" s="6" t="s">
        <v>153</v>
      </c>
      <c r="N21" s="6" t="s">
        <v>154</v>
      </c>
      <c r="O21" s="6" t="s">
        <v>155</v>
      </c>
      <c r="P21" s="6"/>
      <c r="Q21" s="8">
        <v>140</v>
      </c>
      <c r="R21" s="8">
        <v>140.41999999999999</v>
      </c>
      <c r="S21" s="8">
        <v>279.89999999999998</v>
      </c>
      <c r="T21" s="8">
        <v>14</v>
      </c>
      <c r="U21" s="8"/>
      <c r="V21" s="8">
        <v>0</v>
      </c>
      <c r="W21" s="12">
        <v>0</v>
      </c>
      <c r="Y21">
        <v>0</v>
      </c>
    </row>
    <row r="22" spans="1:25" ht="40" customHeight="1">
      <c r="A22" s="6" t="s">
        <v>156</v>
      </c>
      <c r="B22" s="8" t="s">
        <v>157</v>
      </c>
      <c r="C22" s="8" t="s">
        <v>158</v>
      </c>
      <c r="D22" s="6" t="s">
        <v>27</v>
      </c>
      <c r="E22" s="8" t="s">
        <v>159</v>
      </c>
      <c r="F22" s="6" t="s">
        <v>5</v>
      </c>
      <c r="G22" s="6" t="s">
        <v>149</v>
      </c>
      <c r="H22" s="6" t="s">
        <v>150</v>
      </c>
      <c r="I22" s="6" t="s">
        <v>31</v>
      </c>
      <c r="J22" s="6" t="s">
        <v>151</v>
      </c>
      <c r="K22" s="6" t="s">
        <v>83</v>
      </c>
      <c r="L22" s="6" t="s">
        <v>152</v>
      </c>
      <c r="M22" s="6" t="s">
        <v>153</v>
      </c>
      <c r="N22" s="6" t="s">
        <v>154</v>
      </c>
      <c r="O22" s="6" t="s">
        <v>155</v>
      </c>
      <c r="P22" s="6"/>
      <c r="Q22" s="8">
        <v>140</v>
      </c>
      <c r="R22" s="8">
        <v>140.41999999999999</v>
      </c>
      <c r="S22" s="8">
        <v>279.89999999999998</v>
      </c>
      <c r="T22" s="8">
        <v>14</v>
      </c>
      <c r="U22" s="8"/>
      <c r="V22" s="8">
        <v>0</v>
      </c>
      <c r="W22" s="12">
        <v>0</v>
      </c>
      <c r="X22">
        <f>VLOOKUP(E22,[1]Sheet2!$A:$C,3,FALSE)</f>
        <v>2</v>
      </c>
      <c r="Y22">
        <v>2</v>
      </c>
    </row>
    <row r="23" spans="1:25" ht="40" customHeight="1">
      <c r="A23" s="6" t="s">
        <v>160</v>
      </c>
      <c r="B23" s="6" t="s">
        <v>161</v>
      </c>
      <c r="C23" s="7">
        <v>117324</v>
      </c>
      <c r="D23" s="6" t="s">
        <v>126</v>
      </c>
      <c r="E23" s="7" t="s">
        <v>162</v>
      </c>
      <c r="F23" s="6"/>
      <c r="G23" s="6" t="s">
        <v>149</v>
      </c>
      <c r="H23" s="6" t="s">
        <v>150</v>
      </c>
      <c r="I23" s="6" t="s">
        <v>31</v>
      </c>
      <c r="J23" s="6" t="s">
        <v>151</v>
      </c>
      <c r="K23" s="6" t="s">
        <v>163</v>
      </c>
      <c r="L23" s="6" t="s">
        <v>152</v>
      </c>
      <c r="M23" s="6" t="s">
        <v>153</v>
      </c>
      <c r="N23" s="6" t="s">
        <v>154</v>
      </c>
      <c r="O23" s="6" t="s">
        <v>155</v>
      </c>
      <c r="P23" s="6"/>
      <c r="Q23" s="8">
        <v>140</v>
      </c>
      <c r="R23" s="8">
        <v>140.41999999999999</v>
      </c>
      <c r="S23" s="8">
        <v>279.89999999999998</v>
      </c>
      <c r="T23" s="8">
        <v>14</v>
      </c>
      <c r="U23" s="8"/>
      <c r="V23" s="8">
        <v>0</v>
      </c>
      <c r="W23" s="12">
        <v>0</v>
      </c>
      <c r="Y23">
        <v>0</v>
      </c>
    </row>
    <row r="24" spans="1:25" ht="40" customHeight="1">
      <c r="A24" s="6" t="s">
        <v>164</v>
      </c>
      <c r="B24" s="8" t="s">
        <v>165</v>
      </c>
      <c r="C24" s="8" t="s">
        <v>158</v>
      </c>
      <c r="D24" s="6" t="s">
        <v>45</v>
      </c>
      <c r="E24" s="8" t="s">
        <v>166</v>
      </c>
      <c r="F24" s="6" t="s">
        <v>5</v>
      </c>
      <c r="G24" s="6" t="s">
        <v>149</v>
      </c>
      <c r="H24" s="6" t="s">
        <v>150</v>
      </c>
      <c r="I24" s="6" t="s">
        <v>31</v>
      </c>
      <c r="J24" s="6" t="s">
        <v>151</v>
      </c>
      <c r="K24" s="6" t="s">
        <v>167</v>
      </c>
      <c r="L24" s="6" t="s">
        <v>152</v>
      </c>
      <c r="M24" s="6" t="s">
        <v>153</v>
      </c>
      <c r="N24" s="6" t="s">
        <v>154</v>
      </c>
      <c r="O24" s="6" t="s">
        <v>155</v>
      </c>
      <c r="P24" s="6"/>
      <c r="Q24" s="8">
        <v>140</v>
      </c>
      <c r="R24" s="8">
        <v>140.41999999999999</v>
      </c>
      <c r="S24" s="8">
        <v>279.89999999999998</v>
      </c>
      <c r="T24" s="8">
        <v>14</v>
      </c>
      <c r="U24" s="8"/>
      <c r="V24" s="8">
        <v>0</v>
      </c>
      <c r="W24" s="12">
        <v>0</v>
      </c>
      <c r="Y24">
        <v>0</v>
      </c>
    </row>
    <row r="25" spans="1:25" ht="40" customHeight="1">
      <c r="A25" s="6" t="s">
        <v>168</v>
      </c>
      <c r="B25" s="6" t="s">
        <v>169</v>
      </c>
      <c r="C25" s="6">
        <v>117497</v>
      </c>
      <c r="D25" s="6" t="s">
        <v>170</v>
      </c>
      <c r="E25" s="6" t="s">
        <v>171</v>
      </c>
      <c r="F25" s="6"/>
      <c r="G25" s="6" t="s">
        <v>172</v>
      </c>
      <c r="H25" s="6" t="s">
        <v>173</v>
      </c>
      <c r="I25" s="6" t="s">
        <v>31</v>
      </c>
      <c r="J25" s="6" t="s">
        <v>174</v>
      </c>
      <c r="K25" s="6" t="s">
        <v>175</v>
      </c>
      <c r="L25" s="6" t="s">
        <v>176</v>
      </c>
      <c r="M25" s="6" t="s">
        <v>177</v>
      </c>
      <c r="N25" s="6" t="s">
        <v>154</v>
      </c>
      <c r="O25" s="6" t="s">
        <v>155</v>
      </c>
      <c r="P25" s="6"/>
      <c r="Q25" s="8">
        <v>150</v>
      </c>
      <c r="R25" s="8">
        <v>150.44999999999999</v>
      </c>
      <c r="S25" s="8">
        <v>299.89999999999998</v>
      </c>
      <c r="T25" s="8">
        <v>14</v>
      </c>
      <c r="U25" s="8"/>
      <c r="V25" s="8">
        <v>0</v>
      </c>
      <c r="W25" s="12">
        <v>0</v>
      </c>
      <c r="Y25">
        <v>0</v>
      </c>
    </row>
    <row r="26" spans="1:25" ht="40" customHeight="1">
      <c r="A26" s="6" t="s">
        <v>178</v>
      </c>
      <c r="B26" s="6" t="s">
        <v>179</v>
      </c>
      <c r="C26" s="6">
        <v>117497</v>
      </c>
      <c r="D26" s="6" t="s">
        <v>180</v>
      </c>
      <c r="E26" s="6" t="s">
        <v>181</v>
      </c>
      <c r="F26" s="6"/>
      <c r="G26" s="6" t="s">
        <v>172</v>
      </c>
      <c r="H26" s="6" t="s">
        <v>173</v>
      </c>
      <c r="I26" s="6" t="s">
        <v>31</v>
      </c>
      <c r="J26" s="6" t="s">
        <v>174</v>
      </c>
      <c r="K26" s="6" t="s">
        <v>182</v>
      </c>
      <c r="L26" s="6" t="s">
        <v>176</v>
      </c>
      <c r="M26" s="6" t="s">
        <v>177</v>
      </c>
      <c r="N26" s="6" t="s">
        <v>154</v>
      </c>
      <c r="O26" s="6" t="s">
        <v>155</v>
      </c>
      <c r="P26" s="6"/>
      <c r="Q26" s="8">
        <v>150</v>
      </c>
      <c r="R26" s="8">
        <v>150.44999999999999</v>
      </c>
      <c r="S26" s="8">
        <v>299.89999999999998</v>
      </c>
      <c r="T26" s="8">
        <v>14</v>
      </c>
      <c r="U26" s="8"/>
      <c r="V26" s="8">
        <v>0</v>
      </c>
      <c r="W26" s="12">
        <v>0</v>
      </c>
      <c r="X26">
        <f>VLOOKUP(E26,[1]Sheet2!$A:$C,3,FALSE)</f>
        <v>1</v>
      </c>
      <c r="Y26">
        <v>1</v>
      </c>
    </row>
    <row r="27" spans="1:25" ht="40" customHeight="1">
      <c r="A27" s="6" t="s">
        <v>183</v>
      </c>
      <c r="B27" s="6" t="s">
        <v>184</v>
      </c>
      <c r="C27" s="6">
        <v>117624</v>
      </c>
      <c r="D27" s="6" t="s">
        <v>147</v>
      </c>
      <c r="E27" s="6" t="s">
        <v>185</v>
      </c>
      <c r="F27" s="6"/>
      <c r="G27" s="6" t="s">
        <v>186</v>
      </c>
      <c r="H27" s="6" t="s">
        <v>187</v>
      </c>
      <c r="I27" s="6" t="s">
        <v>31</v>
      </c>
      <c r="J27" s="6" t="s">
        <v>188</v>
      </c>
      <c r="K27" s="6" t="s">
        <v>189</v>
      </c>
      <c r="L27" s="6" t="s">
        <v>190</v>
      </c>
      <c r="M27" s="6" t="s">
        <v>191</v>
      </c>
      <c r="N27" s="6" t="s">
        <v>154</v>
      </c>
      <c r="O27" s="6" t="s">
        <v>192</v>
      </c>
      <c r="P27" s="6"/>
      <c r="Q27" s="8">
        <v>150</v>
      </c>
      <c r="R27" s="8">
        <v>150.44999999999999</v>
      </c>
      <c r="S27" s="8">
        <v>299.89999999999998</v>
      </c>
      <c r="T27" s="8">
        <v>14</v>
      </c>
      <c r="U27" s="8"/>
      <c r="V27" s="8">
        <v>0</v>
      </c>
      <c r="W27" s="12">
        <v>0</v>
      </c>
      <c r="Y27">
        <v>0</v>
      </c>
    </row>
    <row r="28" spans="1:25" ht="40" customHeight="1">
      <c r="A28" s="6" t="s">
        <v>193</v>
      </c>
      <c r="B28" s="6" t="s">
        <v>194</v>
      </c>
      <c r="C28" s="6">
        <v>117624</v>
      </c>
      <c r="D28" s="6" t="s">
        <v>195</v>
      </c>
      <c r="E28" s="6" t="s">
        <v>196</v>
      </c>
      <c r="F28" s="6"/>
      <c r="G28" s="6" t="s">
        <v>186</v>
      </c>
      <c r="H28" s="6" t="s">
        <v>187</v>
      </c>
      <c r="I28" s="6" t="s">
        <v>31</v>
      </c>
      <c r="J28" s="6" t="s">
        <v>188</v>
      </c>
      <c r="K28" s="6" t="s">
        <v>197</v>
      </c>
      <c r="L28" s="6" t="s">
        <v>190</v>
      </c>
      <c r="M28" s="6" t="s">
        <v>191</v>
      </c>
      <c r="N28" s="6" t="s">
        <v>154</v>
      </c>
      <c r="O28" s="6" t="s">
        <v>192</v>
      </c>
      <c r="P28" s="6"/>
      <c r="Q28" s="8">
        <v>150</v>
      </c>
      <c r="R28" s="8">
        <v>150.44999999999999</v>
      </c>
      <c r="S28" s="8">
        <v>299.89999999999998</v>
      </c>
      <c r="T28" s="8">
        <v>14</v>
      </c>
      <c r="U28" s="8"/>
      <c r="V28" s="8">
        <v>0</v>
      </c>
      <c r="W28" s="12">
        <v>0</v>
      </c>
      <c r="Y28">
        <v>0</v>
      </c>
    </row>
    <row r="29" spans="1:25" ht="40" customHeight="1">
      <c r="A29" s="6" t="s">
        <v>198</v>
      </c>
      <c r="B29" s="6" t="s">
        <v>199</v>
      </c>
      <c r="C29" s="6">
        <v>117624</v>
      </c>
      <c r="D29" s="6" t="s">
        <v>200</v>
      </c>
      <c r="E29" s="6" t="s">
        <v>201</v>
      </c>
      <c r="F29" s="6"/>
      <c r="G29" s="6" t="s">
        <v>186</v>
      </c>
      <c r="H29" s="6" t="s">
        <v>187</v>
      </c>
      <c r="I29" s="6" t="s">
        <v>31</v>
      </c>
      <c r="J29" s="6" t="s">
        <v>188</v>
      </c>
      <c r="K29" s="6" t="s">
        <v>202</v>
      </c>
      <c r="L29" s="6" t="s">
        <v>190</v>
      </c>
      <c r="M29" s="6" t="s">
        <v>191</v>
      </c>
      <c r="N29" s="6" t="s">
        <v>154</v>
      </c>
      <c r="O29" s="6" t="s">
        <v>192</v>
      </c>
      <c r="P29" s="6"/>
      <c r="Q29" s="8">
        <v>150</v>
      </c>
      <c r="R29" s="8">
        <v>150.44999999999999</v>
      </c>
      <c r="S29" s="8">
        <v>299.89999999999998</v>
      </c>
      <c r="T29" s="8">
        <v>14</v>
      </c>
      <c r="U29" s="8"/>
      <c r="V29" s="8">
        <v>0</v>
      </c>
      <c r="W29" s="12">
        <v>0</v>
      </c>
      <c r="Y29">
        <v>0</v>
      </c>
    </row>
    <row r="30" spans="1:25" ht="40" customHeight="1">
      <c r="A30" s="6" t="s">
        <v>203</v>
      </c>
      <c r="B30" s="6" t="s">
        <v>204</v>
      </c>
      <c r="C30" s="6">
        <v>117624</v>
      </c>
      <c r="D30" s="6" t="s">
        <v>45</v>
      </c>
      <c r="E30" s="6" t="s">
        <v>205</v>
      </c>
      <c r="F30" s="6"/>
      <c r="G30" s="6" t="s">
        <v>186</v>
      </c>
      <c r="H30" s="6" t="s">
        <v>187</v>
      </c>
      <c r="I30" s="6" t="s">
        <v>31</v>
      </c>
      <c r="J30" s="6" t="s">
        <v>188</v>
      </c>
      <c r="K30" s="6" t="s">
        <v>206</v>
      </c>
      <c r="L30" s="6" t="s">
        <v>190</v>
      </c>
      <c r="M30" s="6" t="s">
        <v>191</v>
      </c>
      <c r="N30" s="6" t="s">
        <v>154</v>
      </c>
      <c r="O30" s="6" t="s">
        <v>192</v>
      </c>
      <c r="P30" s="6"/>
      <c r="Q30" s="8">
        <v>150</v>
      </c>
      <c r="R30" s="8">
        <v>150.44999999999999</v>
      </c>
      <c r="S30" s="8">
        <v>299.89999999999998</v>
      </c>
      <c r="T30" s="8">
        <v>14</v>
      </c>
      <c r="U30" s="8"/>
      <c r="V30" s="8">
        <v>0</v>
      </c>
      <c r="W30" s="12">
        <v>0</v>
      </c>
      <c r="Y30">
        <v>0</v>
      </c>
    </row>
    <row r="31" spans="1:25" ht="40" customHeight="1">
      <c r="A31" s="6" t="s">
        <v>207</v>
      </c>
      <c r="B31" s="6" t="s">
        <v>208</v>
      </c>
      <c r="C31" s="6">
        <v>117624</v>
      </c>
      <c r="D31" s="6" t="s">
        <v>126</v>
      </c>
      <c r="E31" s="6" t="s">
        <v>209</v>
      </c>
      <c r="F31" s="6"/>
      <c r="G31" s="6" t="s">
        <v>186</v>
      </c>
      <c r="H31" s="6" t="s">
        <v>187</v>
      </c>
      <c r="I31" s="6" t="s">
        <v>31</v>
      </c>
      <c r="J31" s="6" t="s">
        <v>188</v>
      </c>
      <c r="K31" s="6" t="s">
        <v>210</v>
      </c>
      <c r="L31" s="6" t="s">
        <v>190</v>
      </c>
      <c r="M31" s="6" t="s">
        <v>191</v>
      </c>
      <c r="N31" s="6" t="s">
        <v>154</v>
      </c>
      <c r="O31" s="6" t="s">
        <v>192</v>
      </c>
      <c r="P31" s="6"/>
      <c r="Q31" s="8">
        <v>150</v>
      </c>
      <c r="R31" s="8">
        <v>150.44999999999999</v>
      </c>
      <c r="S31" s="8">
        <v>299.89999999999998</v>
      </c>
      <c r="T31" s="8">
        <v>14</v>
      </c>
      <c r="U31" s="8"/>
      <c r="V31" s="8">
        <v>0</v>
      </c>
      <c r="W31" s="12">
        <v>0</v>
      </c>
      <c r="Y31">
        <v>0</v>
      </c>
    </row>
    <row r="32" spans="1:25" ht="40" customHeight="1">
      <c r="A32" s="6" t="s">
        <v>211</v>
      </c>
      <c r="B32" s="6" t="s">
        <v>212</v>
      </c>
      <c r="C32" s="6">
        <v>117629</v>
      </c>
      <c r="D32" s="6" t="s">
        <v>27</v>
      </c>
      <c r="E32" s="6" t="s">
        <v>213</v>
      </c>
      <c r="F32" s="6"/>
      <c r="G32" s="6" t="s">
        <v>214</v>
      </c>
      <c r="H32" s="6" t="s">
        <v>215</v>
      </c>
      <c r="I32" s="6" t="s">
        <v>31</v>
      </c>
      <c r="J32" s="6" t="s">
        <v>216</v>
      </c>
      <c r="K32" s="6" t="s">
        <v>217</v>
      </c>
      <c r="L32" s="6" t="s">
        <v>218</v>
      </c>
      <c r="M32" s="6" t="s">
        <v>219</v>
      </c>
      <c r="N32" s="6" t="s">
        <v>154</v>
      </c>
      <c r="O32" s="6" t="s">
        <v>220</v>
      </c>
      <c r="P32" s="6"/>
      <c r="Q32" s="8">
        <v>150</v>
      </c>
      <c r="R32" s="8">
        <v>150.44999999999999</v>
      </c>
      <c r="S32" s="8">
        <v>299.89999999999998</v>
      </c>
      <c r="T32" s="8">
        <v>14</v>
      </c>
      <c r="U32" s="8"/>
      <c r="V32" s="8">
        <v>0</v>
      </c>
      <c r="W32" s="12">
        <v>0</v>
      </c>
      <c r="Y32">
        <v>0</v>
      </c>
    </row>
    <row r="33" spans="1:25" ht="40" customHeight="1">
      <c r="A33" s="6" t="s">
        <v>221</v>
      </c>
      <c r="B33" s="6" t="s">
        <v>222</v>
      </c>
      <c r="C33" s="6">
        <v>117629</v>
      </c>
      <c r="D33" s="6" t="s">
        <v>109</v>
      </c>
      <c r="E33" s="6" t="s">
        <v>223</v>
      </c>
      <c r="F33" s="6"/>
      <c r="G33" s="6" t="s">
        <v>214</v>
      </c>
      <c r="H33" s="6" t="s">
        <v>215</v>
      </c>
      <c r="I33" s="6" t="s">
        <v>31</v>
      </c>
      <c r="J33" s="6" t="s">
        <v>216</v>
      </c>
      <c r="K33" s="6" t="s">
        <v>224</v>
      </c>
      <c r="L33" s="6" t="s">
        <v>218</v>
      </c>
      <c r="M33" s="6" t="s">
        <v>219</v>
      </c>
      <c r="N33" s="6" t="s">
        <v>154</v>
      </c>
      <c r="O33" s="6" t="s">
        <v>220</v>
      </c>
      <c r="P33" s="6"/>
      <c r="Q33" s="8">
        <v>150</v>
      </c>
      <c r="R33" s="8">
        <v>150.44999999999999</v>
      </c>
      <c r="S33" s="8">
        <v>299.89999999999998</v>
      </c>
      <c r="T33" s="8">
        <v>14</v>
      </c>
      <c r="U33" s="8"/>
      <c r="V33" s="8">
        <v>0</v>
      </c>
      <c r="W33" s="12">
        <v>0</v>
      </c>
      <c r="Y33">
        <v>0</v>
      </c>
    </row>
    <row r="34" spans="1:25" ht="40" customHeight="1">
      <c r="A34" s="6" t="s">
        <v>225</v>
      </c>
      <c r="B34" s="6" t="s">
        <v>226</v>
      </c>
      <c r="C34" s="6">
        <v>117629</v>
      </c>
      <c r="D34" s="6" t="s">
        <v>200</v>
      </c>
      <c r="E34" s="6" t="s">
        <v>227</v>
      </c>
      <c r="F34" s="6"/>
      <c r="G34" s="6" t="s">
        <v>214</v>
      </c>
      <c r="H34" s="6" t="s">
        <v>215</v>
      </c>
      <c r="I34" s="6" t="s">
        <v>31</v>
      </c>
      <c r="J34" s="6" t="s">
        <v>216</v>
      </c>
      <c r="K34" s="6" t="s">
        <v>228</v>
      </c>
      <c r="L34" s="6" t="s">
        <v>218</v>
      </c>
      <c r="M34" s="6" t="s">
        <v>219</v>
      </c>
      <c r="N34" s="6" t="s">
        <v>154</v>
      </c>
      <c r="O34" s="6" t="s">
        <v>220</v>
      </c>
      <c r="P34" s="6"/>
      <c r="Q34" s="8">
        <v>150</v>
      </c>
      <c r="R34" s="8">
        <v>150.44999999999999</v>
      </c>
      <c r="S34" s="8">
        <v>299.89999999999998</v>
      </c>
      <c r="T34" s="8">
        <v>14</v>
      </c>
      <c r="U34" s="8"/>
      <c r="V34" s="8">
        <v>0</v>
      </c>
      <c r="W34" s="12">
        <v>0</v>
      </c>
      <c r="Y34">
        <v>0</v>
      </c>
    </row>
    <row r="35" spans="1:25" ht="40" customHeight="1">
      <c r="A35" s="6" t="s">
        <v>229</v>
      </c>
      <c r="B35" s="6" t="s">
        <v>230</v>
      </c>
      <c r="C35" s="6">
        <v>117700</v>
      </c>
      <c r="D35" s="6" t="s">
        <v>27</v>
      </c>
      <c r="E35" s="6" t="s">
        <v>231</v>
      </c>
      <c r="F35" s="6"/>
      <c r="G35" s="6" t="s">
        <v>232</v>
      </c>
      <c r="H35" s="6" t="s">
        <v>215</v>
      </c>
      <c r="I35" s="6" t="s">
        <v>31</v>
      </c>
      <c r="J35" s="6" t="s">
        <v>233</v>
      </c>
      <c r="K35" s="6" t="s">
        <v>33</v>
      </c>
      <c r="L35" s="6" t="s">
        <v>234</v>
      </c>
      <c r="M35" s="6" t="s">
        <v>235</v>
      </c>
      <c r="N35" s="6" t="s">
        <v>154</v>
      </c>
      <c r="O35" s="6" t="s">
        <v>236</v>
      </c>
      <c r="P35" s="6"/>
      <c r="Q35" s="8">
        <v>125</v>
      </c>
      <c r="R35" s="8">
        <v>125.375</v>
      </c>
      <c r="S35" s="8">
        <v>249.9</v>
      </c>
      <c r="T35" s="8">
        <v>14</v>
      </c>
      <c r="U35" s="8"/>
      <c r="V35" s="8">
        <v>0</v>
      </c>
      <c r="W35" s="12">
        <v>0</v>
      </c>
      <c r="Y35">
        <v>0</v>
      </c>
    </row>
    <row r="36" spans="1:25" ht="40" customHeight="1">
      <c r="A36" s="6" t="s">
        <v>237</v>
      </c>
      <c r="B36" s="6" t="s">
        <v>238</v>
      </c>
      <c r="C36" s="6">
        <v>117700</v>
      </c>
      <c r="D36" s="6" t="s">
        <v>239</v>
      </c>
      <c r="E36" s="6" t="s">
        <v>240</v>
      </c>
      <c r="F36" s="6"/>
      <c r="G36" s="6" t="s">
        <v>232</v>
      </c>
      <c r="H36" s="6" t="s">
        <v>215</v>
      </c>
      <c r="I36" s="6" t="s">
        <v>31</v>
      </c>
      <c r="J36" s="6" t="s">
        <v>233</v>
      </c>
      <c r="K36" s="6" t="s">
        <v>241</v>
      </c>
      <c r="L36" s="6" t="s">
        <v>234</v>
      </c>
      <c r="M36" s="6" t="s">
        <v>235</v>
      </c>
      <c r="N36" s="6" t="s">
        <v>154</v>
      </c>
      <c r="O36" s="6" t="s">
        <v>236</v>
      </c>
      <c r="P36" s="6"/>
      <c r="Q36" s="8">
        <v>125</v>
      </c>
      <c r="R36" s="8">
        <v>125.375</v>
      </c>
      <c r="S36" s="8">
        <v>249.9</v>
      </c>
      <c r="T36" s="8">
        <v>14</v>
      </c>
      <c r="U36" s="8"/>
      <c r="V36" s="8">
        <v>0</v>
      </c>
      <c r="W36" s="12">
        <v>0</v>
      </c>
      <c r="Y36">
        <v>0</v>
      </c>
    </row>
    <row r="37" spans="1:25" ht="40" customHeight="1">
      <c r="A37" s="6" t="s">
        <v>242</v>
      </c>
      <c r="B37" s="6" t="s">
        <v>243</v>
      </c>
      <c r="C37" s="6">
        <v>117700</v>
      </c>
      <c r="D37" s="6" t="s">
        <v>244</v>
      </c>
      <c r="E37" s="6" t="s">
        <v>245</v>
      </c>
      <c r="F37" s="6"/>
      <c r="G37" s="6" t="s">
        <v>232</v>
      </c>
      <c r="H37" s="6" t="s">
        <v>215</v>
      </c>
      <c r="I37" s="6" t="s">
        <v>31</v>
      </c>
      <c r="J37" s="6" t="s">
        <v>233</v>
      </c>
      <c r="K37" s="6" t="s">
        <v>246</v>
      </c>
      <c r="L37" s="6" t="s">
        <v>234</v>
      </c>
      <c r="M37" s="6" t="s">
        <v>235</v>
      </c>
      <c r="N37" s="6" t="s">
        <v>154</v>
      </c>
      <c r="O37" s="6" t="s">
        <v>236</v>
      </c>
      <c r="P37" s="6"/>
      <c r="Q37" s="8">
        <v>125</v>
      </c>
      <c r="R37" s="8">
        <v>125.375</v>
      </c>
      <c r="S37" s="8">
        <v>249.9</v>
      </c>
      <c r="T37" s="8">
        <v>14</v>
      </c>
      <c r="U37" s="8"/>
      <c r="V37" s="8">
        <v>0</v>
      </c>
      <c r="W37" s="12">
        <v>0</v>
      </c>
      <c r="Y37">
        <v>0</v>
      </c>
    </row>
    <row r="38" spans="1:25" ht="40" customHeight="1">
      <c r="A38" s="6" t="s">
        <v>247</v>
      </c>
      <c r="B38" s="6" t="s">
        <v>248</v>
      </c>
      <c r="C38" s="6">
        <v>117700</v>
      </c>
      <c r="D38" s="6" t="s">
        <v>109</v>
      </c>
      <c r="E38" s="6" t="s">
        <v>249</v>
      </c>
      <c r="F38" s="6"/>
      <c r="G38" s="6" t="s">
        <v>232</v>
      </c>
      <c r="H38" s="6" t="s">
        <v>215</v>
      </c>
      <c r="I38" s="6" t="s">
        <v>31</v>
      </c>
      <c r="J38" s="6" t="s">
        <v>233</v>
      </c>
      <c r="K38" s="6" t="s">
        <v>250</v>
      </c>
      <c r="L38" s="6" t="s">
        <v>234</v>
      </c>
      <c r="M38" s="6" t="s">
        <v>235</v>
      </c>
      <c r="N38" s="6" t="s">
        <v>154</v>
      </c>
      <c r="O38" s="6" t="s">
        <v>236</v>
      </c>
      <c r="P38" s="6"/>
      <c r="Q38" s="8">
        <v>125</v>
      </c>
      <c r="R38" s="8">
        <v>125.375</v>
      </c>
      <c r="S38" s="8">
        <v>249.9</v>
      </c>
      <c r="T38" s="8">
        <v>14</v>
      </c>
      <c r="U38" s="8"/>
      <c r="V38" s="8">
        <v>0</v>
      </c>
      <c r="W38" s="12">
        <v>0</v>
      </c>
      <c r="Y38">
        <v>0</v>
      </c>
    </row>
    <row r="39" spans="1:25" ht="40" customHeight="1">
      <c r="A39" s="6" t="s">
        <v>251</v>
      </c>
      <c r="B39" s="6" t="s">
        <v>252</v>
      </c>
      <c r="C39" s="6">
        <v>117700</v>
      </c>
      <c r="D39" s="6" t="s">
        <v>45</v>
      </c>
      <c r="E39" s="6" t="s">
        <v>253</v>
      </c>
      <c r="F39" s="6"/>
      <c r="G39" s="6" t="s">
        <v>232</v>
      </c>
      <c r="H39" s="6" t="s">
        <v>215</v>
      </c>
      <c r="I39" s="6" t="s">
        <v>31</v>
      </c>
      <c r="J39" s="6" t="s">
        <v>233</v>
      </c>
      <c r="K39" s="6" t="s">
        <v>47</v>
      </c>
      <c r="L39" s="6" t="s">
        <v>234</v>
      </c>
      <c r="M39" s="6" t="s">
        <v>235</v>
      </c>
      <c r="N39" s="6" t="s">
        <v>154</v>
      </c>
      <c r="O39" s="6" t="s">
        <v>236</v>
      </c>
      <c r="P39" s="6"/>
      <c r="Q39" s="8">
        <v>125</v>
      </c>
      <c r="R39" s="8">
        <v>125.375</v>
      </c>
      <c r="S39" s="8">
        <v>249.9</v>
      </c>
      <c r="T39" s="8">
        <v>14</v>
      </c>
      <c r="U39" s="8"/>
      <c r="V39" s="8">
        <v>0</v>
      </c>
      <c r="W39" s="12">
        <v>0</v>
      </c>
      <c r="Y39">
        <v>0</v>
      </c>
    </row>
    <row r="40" spans="1:25" ht="40" customHeight="1">
      <c r="A40" s="6" t="s">
        <v>254</v>
      </c>
      <c r="B40" s="6" t="s">
        <v>255</v>
      </c>
      <c r="C40" s="6" t="s">
        <v>256</v>
      </c>
      <c r="D40" s="6" t="s">
        <v>27</v>
      </c>
      <c r="E40" s="6" t="s">
        <v>257</v>
      </c>
      <c r="F40" s="6" t="s">
        <v>5</v>
      </c>
      <c r="G40" s="6" t="s">
        <v>258</v>
      </c>
      <c r="H40" s="6" t="s">
        <v>259</v>
      </c>
      <c r="I40" s="6" t="s">
        <v>31</v>
      </c>
      <c r="J40" s="6" t="s">
        <v>260</v>
      </c>
      <c r="K40" s="6" t="s">
        <v>261</v>
      </c>
      <c r="L40" s="6" t="s">
        <v>262</v>
      </c>
      <c r="M40" s="6" t="s">
        <v>263</v>
      </c>
      <c r="N40" s="6" t="s">
        <v>154</v>
      </c>
      <c r="O40" s="6" t="s">
        <v>264</v>
      </c>
      <c r="P40" s="6"/>
      <c r="Q40" s="8">
        <v>125</v>
      </c>
      <c r="R40" s="8">
        <v>125.375</v>
      </c>
      <c r="S40" s="8">
        <v>249.9</v>
      </c>
      <c r="T40" s="8">
        <v>14</v>
      </c>
      <c r="U40" s="8"/>
      <c r="V40" s="8">
        <v>0</v>
      </c>
      <c r="W40" s="12">
        <v>0</v>
      </c>
      <c r="Y40">
        <v>0</v>
      </c>
    </row>
    <row r="41" spans="1:25" ht="40" customHeight="1">
      <c r="A41" s="6" t="s">
        <v>265</v>
      </c>
      <c r="B41" s="6" t="s">
        <v>266</v>
      </c>
      <c r="C41" s="6">
        <v>117715</v>
      </c>
      <c r="D41" s="6" t="s">
        <v>126</v>
      </c>
      <c r="E41" s="6" t="s">
        <v>267</v>
      </c>
      <c r="F41" s="6"/>
      <c r="G41" s="6" t="s">
        <v>258</v>
      </c>
      <c r="H41" s="6" t="s">
        <v>259</v>
      </c>
      <c r="I41" s="6" t="s">
        <v>31</v>
      </c>
      <c r="J41" s="6" t="s">
        <v>260</v>
      </c>
      <c r="K41" s="8"/>
      <c r="L41" s="8"/>
      <c r="M41" s="8"/>
      <c r="N41" s="8"/>
      <c r="O41" s="8"/>
      <c r="P41" s="8"/>
      <c r="Q41" s="8">
        <v>125</v>
      </c>
      <c r="R41" s="8">
        <v>125.375</v>
      </c>
      <c r="S41" s="8">
        <v>249.9</v>
      </c>
      <c r="T41" s="8">
        <v>14</v>
      </c>
      <c r="U41" s="8"/>
      <c r="V41" s="8">
        <v>0</v>
      </c>
      <c r="W41" s="12">
        <v>0</v>
      </c>
      <c r="Y41">
        <v>0</v>
      </c>
    </row>
    <row r="42" spans="1:25" ht="40" customHeight="1">
      <c r="A42" s="6" t="s">
        <v>268</v>
      </c>
      <c r="B42" s="6" t="s">
        <v>269</v>
      </c>
      <c r="C42" s="6" t="s">
        <v>256</v>
      </c>
      <c r="D42" s="6" t="s">
        <v>126</v>
      </c>
      <c r="E42" s="6" t="s">
        <v>270</v>
      </c>
      <c r="F42" s="6" t="s">
        <v>5</v>
      </c>
      <c r="G42" s="6" t="s">
        <v>258</v>
      </c>
      <c r="H42" s="6" t="s">
        <v>259</v>
      </c>
      <c r="I42" s="6" t="s">
        <v>31</v>
      </c>
      <c r="J42" s="6" t="s">
        <v>260</v>
      </c>
      <c r="K42" s="8"/>
      <c r="L42" s="8"/>
      <c r="M42" s="8"/>
      <c r="N42" s="8"/>
      <c r="O42" s="8"/>
      <c r="P42" s="8"/>
      <c r="Q42" s="8">
        <v>125</v>
      </c>
      <c r="R42" s="8">
        <v>125.375</v>
      </c>
      <c r="S42" s="8">
        <v>249.9</v>
      </c>
      <c r="T42" s="8">
        <v>14</v>
      </c>
      <c r="U42" s="8"/>
      <c r="V42" s="8">
        <v>0</v>
      </c>
      <c r="W42" s="12">
        <v>0</v>
      </c>
      <c r="Y42">
        <v>0</v>
      </c>
    </row>
    <row r="43" spans="1:25" ht="40" customHeight="1">
      <c r="A43" s="6" t="s">
        <v>271</v>
      </c>
      <c r="B43" s="6" t="s">
        <v>272</v>
      </c>
      <c r="C43" s="6">
        <v>117733</v>
      </c>
      <c r="D43" s="6" t="s">
        <v>27</v>
      </c>
      <c r="E43" s="6" t="s">
        <v>273</v>
      </c>
      <c r="F43" s="6"/>
      <c r="G43" s="6" t="s">
        <v>274</v>
      </c>
      <c r="H43" s="6" t="s">
        <v>275</v>
      </c>
      <c r="I43" s="6" t="s">
        <v>31</v>
      </c>
      <c r="J43" s="6" t="s">
        <v>276</v>
      </c>
      <c r="K43" s="6" t="s">
        <v>33</v>
      </c>
      <c r="L43" s="6" t="s">
        <v>54</v>
      </c>
      <c r="M43" s="6" t="s">
        <v>54</v>
      </c>
      <c r="N43" s="6" t="s">
        <v>154</v>
      </c>
      <c r="O43" s="6" t="s">
        <v>236</v>
      </c>
      <c r="P43" s="6"/>
      <c r="Q43" s="8">
        <v>125</v>
      </c>
      <c r="R43" s="8">
        <v>125.375</v>
      </c>
      <c r="S43" s="8">
        <v>249.9</v>
      </c>
      <c r="T43" s="8">
        <v>14</v>
      </c>
      <c r="U43" s="8"/>
      <c r="V43" s="8">
        <v>0</v>
      </c>
      <c r="W43" s="12">
        <v>0</v>
      </c>
      <c r="Y43">
        <v>0</v>
      </c>
    </row>
    <row r="44" spans="1:25" ht="40" customHeight="1">
      <c r="A44" s="6" t="s">
        <v>277</v>
      </c>
      <c r="B44" s="6" t="s">
        <v>278</v>
      </c>
      <c r="C44" s="6">
        <v>117733</v>
      </c>
      <c r="D44" s="6" t="s">
        <v>279</v>
      </c>
      <c r="E44" s="6" t="s">
        <v>280</v>
      </c>
      <c r="F44" s="6"/>
      <c r="G44" s="6" t="s">
        <v>274</v>
      </c>
      <c r="H44" s="6" t="s">
        <v>275</v>
      </c>
      <c r="I44" s="6" t="s">
        <v>31</v>
      </c>
      <c r="J44" s="6" t="s">
        <v>276</v>
      </c>
      <c r="K44" s="6" t="s">
        <v>281</v>
      </c>
      <c r="L44" s="6" t="s">
        <v>54</v>
      </c>
      <c r="M44" s="6" t="s">
        <v>54</v>
      </c>
      <c r="N44" s="6" t="s">
        <v>154</v>
      </c>
      <c r="O44" s="6" t="s">
        <v>236</v>
      </c>
      <c r="P44" s="6"/>
      <c r="Q44" s="8">
        <v>125</v>
      </c>
      <c r="R44" s="8">
        <v>125.375</v>
      </c>
      <c r="S44" s="8">
        <v>249.9</v>
      </c>
      <c r="T44" s="8">
        <v>14</v>
      </c>
      <c r="U44" s="8"/>
      <c r="V44" s="8">
        <v>0</v>
      </c>
      <c r="W44" s="12">
        <v>0</v>
      </c>
      <c r="Y44">
        <v>0</v>
      </c>
    </row>
    <row r="45" spans="1:25" ht="40" customHeight="1">
      <c r="A45" s="6" t="s">
        <v>282</v>
      </c>
      <c r="B45" s="6" t="s">
        <v>283</v>
      </c>
      <c r="C45" s="6">
        <v>117733</v>
      </c>
      <c r="D45" s="6" t="s">
        <v>74</v>
      </c>
      <c r="E45" s="6" t="s">
        <v>284</v>
      </c>
      <c r="F45" s="6"/>
      <c r="G45" s="6" t="s">
        <v>274</v>
      </c>
      <c r="H45" s="6" t="s">
        <v>275</v>
      </c>
      <c r="I45" s="6" t="s">
        <v>31</v>
      </c>
      <c r="J45" s="6" t="s">
        <v>276</v>
      </c>
      <c r="K45" s="6" t="s">
        <v>76</v>
      </c>
      <c r="L45" s="6" t="s">
        <v>54</v>
      </c>
      <c r="M45" s="6" t="s">
        <v>54</v>
      </c>
      <c r="N45" s="6" t="s">
        <v>154</v>
      </c>
      <c r="O45" s="6" t="s">
        <v>236</v>
      </c>
      <c r="P45" s="6"/>
      <c r="Q45" s="8">
        <v>125</v>
      </c>
      <c r="R45" s="8">
        <v>125.375</v>
      </c>
      <c r="S45" s="8">
        <v>249.9</v>
      </c>
      <c r="T45" s="8">
        <v>14</v>
      </c>
      <c r="U45" s="8"/>
      <c r="V45" s="8">
        <v>0</v>
      </c>
      <c r="W45" s="12">
        <v>0</v>
      </c>
      <c r="Y45">
        <v>0</v>
      </c>
    </row>
    <row r="46" spans="1:25" ht="40" customHeight="1">
      <c r="A46" s="6" t="s">
        <v>285</v>
      </c>
      <c r="B46" s="6" t="s">
        <v>286</v>
      </c>
      <c r="C46" s="6">
        <v>117733</v>
      </c>
      <c r="D46" s="6" t="s">
        <v>126</v>
      </c>
      <c r="E46" s="6" t="s">
        <v>287</v>
      </c>
      <c r="F46" s="6"/>
      <c r="G46" s="6" t="s">
        <v>274</v>
      </c>
      <c r="H46" s="6" t="s">
        <v>275</v>
      </c>
      <c r="I46" s="6" t="s">
        <v>31</v>
      </c>
      <c r="J46" s="6" t="s">
        <v>276</v>
      </c>
      <c r="K46" s="6" t="s">
        <v>288</v>
      </c>
      <c r="L46" s="6" t="s">
        <v>54</v>
      </c>
      <c r="M46" s="6" t="s">
        <v>54</v>
      </c>
      <c r="N46" s="6" t="s">
        <v>154</v>
      </c>
      <c r="O46" s="6" t="s">
        <v>236</v>
      </c>
      <c r="P46" s="6"/>
      <c r="Q46" s="8">
        <v>125</v>
      </c>
      <c r="R46" s="8">
        <v>125.375</v>
      </c>
      <c r="S46" s="8">
        <v>249.9</v>
      </c>
      <c r="T46" s="8">
        <v>14</v>
      </c>
      <c r="U46" s="8"/>
      <c r="V46" s="8">
        <v>0</v>
      </c>
      <c r="W46" s="12">
        <v>0</v>
      </c>
      <c r="Y46">
        <v>0</v>
      </c>
    </row>
    <row r="47" spans="1:25" ht="40" customHeight="1">
      <c r="A47" s="6" t="s">
        <v>289</v>
      </c>
      <c r="B47" s="6" t="s">
        <v>290</v>
      </c>
      <c r="C47" s="6">
        <v>117734</v>
      </c>
      <c r="D47" s="6" t="s">
        <v>27</v>
      </c>
      <c r="E47" s="6" t="s">
        <v>291</v>
      </c>
      <c r="F47" s="6"/>
      <c r="G47" s="6" t="s">
        <v>274</v>
      </c>
      <c r="H47" s="6" t="s">
        <v>292</v>
      </c>
      <c r="I47" s="6" t="s">
        <v>31</v>
      </c>
      <c r="J47" s="6" t="s">
        <v>293</v>
      </c>
      <c r="K47" s="6" t="s">
        <v>33</v>
      </c>
      <c r="L47" s="6" t="s">
        <v>54</v>
      </c>
      <c r="M47" s="6" t="s">
        <v>54</v>
      </c>
      <c r="N47" s="6" t="s">
        <v>154</v>
      </c>
      <c r="O47" s="6" t="s">
        <v>294</v>
      </c>
      <c r="P47" s="6"/>
      <c r="Q47" s="8">
        <v>125</v>
      </c>
      <c r="R47" s="8">
        <v>125.375</v>
      </c>
      <c r="S47" s="8">
        <v>249.9</v>
      </c>
      <c r="T47" s="8">
        <v>14</v>
      </c>
      <c r="U47" s="8"/>
      <c r="V47" s="8">
        <v>0</v>
      </c>
      <c r="W47" s="12">
        <v>0</v>
      </c>
      <c r="X47">
        <f>VLOOKUP(E47,[1]Sheet2!$A:$C,3,FALSE)</f>
        <v>1</v>
      </c>
      <c r="Y47">
        <v>1</v>
      </c>
    </row>
    <row r="48" spans="1:25" ht="40" customHeight="1">
      <c r="A48" s="6" t="s">
        <v>295</v>
      </c>
      <c r="B48" s="6" t="s">
        <v>296</v>
      </c>
      <c r="C48" s="6">
        <v>117734</v>
      </c>
      <c r="D48" s="6" t="s">
        <v>147</v>
      </c>
      <c r="E48" s="6" t="s">
        <v>297</v>
      </c>
      <c r="F48" s="6"/>
      <c r="G48" s="6" t="s">
        <v>274</v>
      </c>
      <c r="H48" s="6" t="s">
        <v>292</v>
      </c>
      <c r="I48" s="6" t="s">
        <v>31</v>
      </c>
      <c r="J48" s="6" t="s">
        <v>293</v>
      </c>
      <c r="K48" s="6" t="s">
        <v>33</v>
      </c>
      <c r="L48" s="6" t="s">
        <v>54</v>
      </c>
      <c r="M48" s="6" t="s">
        <v>54</v>
      </c>
      <c r="N48" s="6" t="s">
        <v>154</v>
      </c>
      <c r="O48" s="6" t="s">
        <v>294</v>
      </c>
      <c r="P48" s="6"/>
      <c r="Q48" s="8">
        <v>125</v>
      </c>
      <c r="R48" s="8">
        <v>125.375</v>
      </c>
      <c r="S48" s="8">
        <v>249.9</v>
      </c>
      <c r="T48" s="8">
        <v>14</v>
      </c>
      <c r="U48" s="8"/>
      <c r="V48" s="8">
        <v>0</v>
      </c>
      <c r="W48" s="12">
        <v>0</v>
      </c>
      <c r="Y48">
        <v>0</v>
      </c>
    </row>
    <row r="49" spans="1:25" ht="40" customHeight="1">
      <c r="A49" s="6" t="s">
        <v>298</v>
      </c>
      <c r="B49" s="6" t="s">
        <v>299</v>
      </c>
      <c r="C49" s="6">
        <v>117734</v>
      </c>
      <c r="D49" s="6" t="s">
        <v>279</v>
      </c>
      <c r="E49" s="6" t="s">
        <v>300</v>
      </c>
      <c r="F49" s="6"/>
      <c r="G49" s="6" t="s">
        <v>274</v>
      </c>
      <c r="H49" s="6" t="s">
        <v>292</v>
      </c>
      <c r="I49" s="6" t="s">
        <v>31</v>
      </c>
      <c r="J49" s="6" t="s">
        <v>293</v>
      </c>
      <c r="K49" s="6" t="s">
        <v>281</v>
      </c>
      <c r="L49" s="6" t="s">
        <v>54</v>
      </c>
      <c r="M49" s="6" t="s">
        <v>54</v>
      </c>
      <c r="N49" s="6" t="s">
        <v>154</v>
      </c>
      <c r="O49" s="6" t="s">
        <v>294</v>
      </c>
      <c r="P49" s="6"/>
      <c r="Q49" s="8">
        <v>125</v>
      </c>
      <c r="R49" s="8">
        <v>125.375</v>
      </c>
      <c r="S49" s="8">
        <v>249.9</v>
      </c>
      <c r="T49" s="8">
        <v>14</v>
      </c>
      <c r="U49" s="8"/>
      <c r="V49" s="8">
        <v>0</v>
      </c>
      <c r="W49" s="12">
        <v>0</v>
      </c>
      <c r="Y49">
        <v>0</v>
      </c>
    </row>
    <row r="50" spans="1:25" ht="40" customHeight="1">
      <c r="A50" s="6" t="s">
        <v>301</v>
      </c>
      <c r="B50" s="6" t="s">
        <v>302</v>
      </c>
      <c r="C50" s="6">
        <v>117734</v>
      </c>
      <c r="D50" s="6" t="s">
        <v>109</v>
      </c>
      <c r="E50" s="6" t="s">
        <v>303</v>
      </c>
      <c r="F50" s="6"/>
      <c r="G50" s="6" t="s">
        <v>274</v>
      </c>
      <c r="H50" s="6" t="s">
        <v>292</v>
      </c>
      <c r="I50" s="6" t="s">
        <v>31</v>
      </c>
      <c r="J50" s="6" t="s">
        <v>293</v>
      </c>
      <c r="K50" s="6" t="s">
        <v>250</v>
      </c>
      <c r="L50" s="6" t="s">
        <v>54</v>
      </c>
      <c r="M50" s="6" t="s">
        <v>54</v>
      </c>
      <c r="N50" s="6" t="s">
        <v>154</v>
      </c>
      <c r="O50" s="6" t="s">
        <v>294</v>
      </c>
      <c r="P50" s="6"/>
      <c r="Q50" s="8">
        <v>125</v>
      </c>
      <c r="R50" s="8">
        <v>125.375</v>
      </c>
      <c r="S50" s="8">
        <v>249.9</v>
      </c>
      <c r="T50" s="8">
        <v>14</v>
      </c>
      <c r="U50" s="8"/>
      <c r="V50" s="8">
        <v>0</v>
      </c>
      <c r="W50" s="12">
        <v>0</v>
      </c>
      <c r="X50">
        <f>VLOOKUP(E50,[1]Sheet2!$A:$C,3,FALSE)</f>
        <v>1</v>
      </c>
      <c r="Y50">
        <v>1</v>
      </c>
    </row>
    <row r="51" spans="1:25" ht="40" customHeight="1">
      <c r="A51" s="6" t="s">
        <v>304</v>
      </c>
      <c r="B51" s="6" t="s">
        <v>305</v>
      </c>
      <c r="C51" s="6">
        <v>117734</v>
      </c>
      <c r="D51" s="6" t="s">
        <v>45</v>
      </c>
      <c r="E51" s="6" t="s">
        <v>306</v>
      </c>
      <c r="F51" s="6"/>
      <c r="G51" s="6" t="s">
        <v>274</v>
      </c>
      <c r="H51" s="6" t="s">
        <v>292</v>
      </c>
      <c r="I51" s="6" t="s">
        <v>31</v>
      </c>
      <c r="J51" s="6" t="s">
        <v>293</v>
      </c>
      <c r="K51" s="6" t="s">
        <v>47</v>
      </c>
      <c r="L51" s="6" t="s">
        <v>54</v>
      </c>
      <c r="M51" s="6" t="s">
        <v>54</v>
      </c>
      <c r="N51" s="6" t="s">
        <v>154</v>
      </c>
      <c r="O51" s="6" t="s">
        <v>294</v>
      </c>
      <c r="P51" s="6"/>
      <c r="Q51" s="8">
        <v>125</v>
      </c>
      <c r="R51" s="8">
        <v>125.375</v>
      </c>
      <c r="S51" s="8">
        <v>249.9</v>
      </c>
      <c r="T51" s="8">
        <v>14</v>
      </c>
      <c r="U51" s="8"/>
      <c r="V51" s="8">
        <v>0</v>
      </c>
      <c r="W51" s="12">
        <v>0</v>
      </c>
      <c r="Y51">
        <v>0</v>
      </c>
    </row>
    <row r="52" spans="1:25" ht="40" customHeight="1">
      <c r="A52" s="6" t="s">
        <v>307</v>
      </c>
      <c r="B52" s="6" t="s">
        <v>308</v>
      </c>
      <c r="C52" s="6">
        <v>117743</v>
      </c>
      <c r="D52" s="6" t="s">
        <v>27</v>
      </c>
      <c r="E52" s="6" t="s">
        <v>309</v>
      </c>
      <c r="F52" s="6"/>
      <c r="G52" s="6" t="s">
        <v>186</v>
      </c>
      <c r="H52" s="6" t="s">
        <v>310</v>
      </c>
      <c r="I52" s="6" t="s">
        <v>31</v>
      </c>
      <c r="J52" s="6" t="s">
        <v>311</v>
      </c>
      <c r="K52" s="6" t="s">
        <v>217</v>
      </c>
      <c r="L52" s="6" t="s">
        <v>312</v>
      </c>
      <c r="M52" s="6" t="s">
        <v>313</v>
      </c>
      <c r="N52" s="6" t="s">
        <v>154</v>
      </c>
      <c r="O52" s="6" t="s">
        <v>314</v>
      </c>
      <c r="P52" s="6"/>
      <c r="Q52" s="8">
        <v>150</v>
      </c>
      <c r="R52" s="8">
        <v>150.44999999999999</v>
      </c>
      <c r="S52" s="8">
        <v>299.89999999999998</v>
      </c>
      <c r="T52" s="8">
        <v>14</v>
      </c>
      <c r="U52" s="8"/>
      <c r="V52" s="8">
        <v>0</v>
      </c>
      <c r="W52" s="12">
        <v>0</v>
      </c>
      <c r="Y52">
        <v>0</v>
      </c>
    </row>
    <row r="53" spans="1:25" ht="40" customHeight="1">
      <c r="A53" s="6" t="s">
        <v>315</v>
      </c>
      <c r="B53" s="6" t="s">
        <v>316</v>
      </c>
      <c r="C53" s="6">
        <v>117743</v>
      </c>
      <c r="D53" s="6" t="s">
        <v>317</v>
      </c>
      <c r="E53" s="6" t="s">
        <v>318</v>
      </c>
      <c r="F53" s="6"/>
      <c r="G53" s="6" t="s">
        <v>186</v>
      </c>
      <c r="H53" s="6" t="s">
        <v>310</v>
      </c>
      <c r="I53" s="6" t="s">
        <v>31</v>
      </c>
      <c r="J53" s="6" t="s">
        <v>311</v>
      </c>
      <c r="K53" s="6" t="s">
        <v>319</v>
      </c>
      <c r="L53" s="6" t="s">
        <v>312</v>
      </c>
      <c r="M53" s="6" t="s">
        <v>313</v>
      </c>
      <c r="N53" s="6" t="s">
        <v>154</v>
      </c>
      <c r="O53" s="6" t="s">
        <v>314</v>
      </c>
      <c r="P53" s="6"/>
      <c r="Q53" s="8">
        <v>150</v>
      </c>
      <c r="R53" s="8">
        <v>150.44999999999999</v>
      </c>
      <c r="S53" s="8">
        <v>299.89999999999998</v>
      </c>
      <c r="T53" s="8">
        <v>14</v>
      </c>
      <c r="U53" s="8"/>
      <c r="V53" s="8">
        <v>0</v>
      </c>
      <c r="W53" s="12">
        <v>0</v>
      </c>
      <c r="X53">
        <f>VLOOKUP(E53,[1]Sheet2!$A:$C,3,FALSE)</f>
        <v>1</v>
      </c>
      <c r="Y53">
        <v>1</v>
      </c>
    </row>
    <row r="54" spans="1:25" ht="40" customHeight="1">
      <c r="A54" s="6" t="s">
        <v>320</v>
      </c>
      <c r="B54" s="6" t="s">
        <v>321</v>
      </c>
      <c r="C54" s="6">
        <v>117743</v>
      </c>
      <c r="D54" s="6" t="s">
        <v>109</v>
      </c>
      <c r="E54" s="6" t="s">
        <v>322</v>
      </c>
      <c r="F54" s="6"/>
      <c r="G54" s="6" t="s">
        <v>186</v>
      </c>
      <c r="H54" s="6" t="s">
        <v>310</v>
      </c>
      <c r="I54" s="6" t="s">
        <v>31</v>
      </c>
      <c r="J54" s="6" t="s">
        <v>311</v>
      </c>
      <c r="K54" s="6" t="s">
        <v>224</v>
      </c>
      <c r="L54" s="6" t="s">
        <v>312</v>
      </c>
      <c r="M54" s="6" t="s">
        <v>313</v>
      </c>
      <c r="N54" s="6" t="s">
        <v>154</v>
      </c>
      <c r="O54" s="6" t="s">
        <v>314</v>
      </c>
      <c r="P54" s="6"/>
      <c r="Q54" s="8">
        <v>150</v>
      </c>
      <c r="R54" s="8">
        <v>150.44999999999999</v>
      </c>
      <c r="S54" s="8">
        <v>299.89999999999998</v>
      </c>
      <c r="T54" s="8">
        <v>14</v>
      </c>
      <c r="U54" s="8"/>
      <c r="V54" s="8">
        <v>0</v>
      </c>
      <c r="W54" s="12">
        <v>0</v>
      </c>
      <c r="X54">
        <f>VLOOKUP(E54,[1]Sheet2!$A:$C,3,FALSE)</f>
        <v>1</v>
      </c>
      <c r="Y54">
        <v>1</v>
      </c>
    </row>
    <row r="55" spans="1:25" ht="40" customHeight="1">
      <c r="A55" s="6" t="s">
        <v>323</v>
      </c>
      <c r="B55" s="6" t="s">
        <v>324</v>
      </c>
      <c r="C55" s="7">
        <v>117756</v>
      </c>
      <c r="D55" s="6" t="s">
        <v>147</v>
      </c>
      <c r="E55" s="7" t="s">
        <v>325</v>
      </c>
      <c r="F55" s="6"/>
      <c r="G55" s="6" t="s">
        <v>326</v>
      </c>
      <c r="H55" s="6" t="s">
        <v>327</v>
      </c>
      <c r="I55" s="6" t="s">
        <v>31</v>
      </c>
      <c r="J55" s="6" t="s">
        <v>328</v>
      </c>
      <c r="K55" s="6" t="s">
        <v>33</v>
      </c>
      <c r="L55" s="6" t="s">
        <v>176</v>
      </c>
      <c r="M55" s="6" t="s">
        <v>329</v>
      </c>
      <c r="N55" s="6" t="s">
        <v>154</v>
      </c>
      <c r="O55" s="6" t="s">
        <v>330</v>
      </c>
      <c r="P55" s="6"/>
      <c r="Q55" s="8">
        <v>150</v>
      </c>
      <c r="R55" s="8">
        <v>150.44999999999999</v>
      </c>
      <c r="S55" s="8">
        <v>299.89999999999998</v>
      </c>
      <c r="T55" s="8">
        <v>14</v>
      </c>
      <c r="U55" s="8"/>
      <c r="V55" s="8">
        <v>0</v>
      </c>
      <c r="W55" s="12">
        <v>0</v>
      </c>
      <c r="Y55">
        <v>0</v>
      </c>
    </row>
    <row r="56" spans="1:25" ht="40" customHeight="1">
      <c r="A56" s="6" t="s">
        <v>331</v>
      </c>
      <c r="B56" s="6" t="s">
        <v>332</v>
      </c>
      <c r="C56" s="6">
        <v>117756</v>
      </c>
      <c r="D56" s="6" t="s">
        <v>333</v>
      </c>
      <c r="E56" s="6" t="s">
        <v>334</v>
      </c>
      <c r="F56" s="6"/>
      <c r="G56" s="6" t="s">
        <v>326</v>
      </c>
      <c r="H56" s="6" t="s">
        <v>327</v>
      </c>
      <c r="I56" s="6" t="s">
        <v>31</v>
      </c>
      <c r="J56" s="6" t="s">
        <v>328</v>
      </c>
      <c r="K56" s="6" t="s">
        <v>335</v>
      </c>
      <c r="L56" s="6" t="s">
        <v>176</v>
      </c>
      <c r="M56" s="6" t="s">
        <v>329</v>
      </c>
      <c r="N56" s="6" t="s">
        <v>154</v>
      </c>
      <c r="O56" s="6" t="s">
        <v>330</v>
      </c>
      <c r="P56" s="6"/>
      <c r="Q56" s="8">
        <v>150</v>
      </c>
      <c r="R56" s="8">
        <v>150.44999999999999</v>
      </c>
      <c r="S56" s="8">
        <v>299.89999999999998</v>
      </c>
      <c r="T56" s="8">
        <v>14</v>
      </c>
      <c r="U56" s="8"/>
      <c r="V56" s="8">
        <v>0</v>
      </c>
      <c r="W56" s="12">
        <v>0</v>
      </c>
      <c r="Y56">
        <v>0</v>
      </c>
    </row>
    <row r="57" spans="1:25" ht="40" customHeight="1">
      <c r="A57" s="6" t="s">
        <v>336</v>
      </c>
      <c r="B57" s="6" t="s">
        <v>337</v>
      </c>
      <c r="C57" s="6">
        <v>117756</v>
      </c>
      <c r="D57" s="6" t="s">
        <v>109</v>
      </c>
      <c r="E57" s="6" t="s">
        <v>338</v>
      </c>
      <c r="F57" s="6"/>
      <c r="G57" s="6" t="s">
        <v>326</v>
      </c>
      <c r="H57" s="6" t="s">
        <v>327</v>
      </c>
      <c r="I57" s="6" t="s">
        <v>31</v>
      </c>
      <c r="J57" s="6" t="s">
        <v>328</v>
      </c>
      <c r="K57" s="6" t="s">
        <v>250</v>
      </c>
      <c r="L57" s="6" t="s">
        <v>176</v>
      </c>
      <c r="M57" s="6" t="s">
        <v>329</v>
      </c>
      <c r="N57" s="6" t="s">
        <v>154</v>
      </c>
      <c r="O57" s="6" t="s">
        <v>330</v>
      </c>
      <c r="P57" s="6"/>
      <c r="Q57" s="8">
        <v>150</v>
      </c>
      <c r="R57" s="8">
        <v>150.44999999999999</v>
      </c>
      <c r="S57" s="8">
        <v>299.89999999999998</v>
      </c>
      <c r="T57" s="8">
        <v>14</v>
      </c>
      <c r="U57" s="8"/>
      <c r="V57" s="8">
        <v>0</v>
      </c>
      <c r="W57" s="12">
        <v>0</v>
      </c>
      <c r="Y57">
        <v>0</v>
      </c>
    </row>
    <row r="58" spans="1:25" ht="40" customHeight="1">
      <c r="A58" s="6" t="s">
        <v>339</v>
      </c>
      <c r="B58" s="6" t="s">
        <v>340</v>
      </c>
      <c r="C58" s="6">
        <v>117756</v>
      </c>
      <c r="D58" s="6" t="s">
        <v>200</v>
      </c>
      <c r="E58" s="6" t="s">
        <v>341</v>
      </c>
      <c r="F58" s="6"/>
      <c r="G58" s="6" t="s">
        <v>326</v>
      </c>
      <c r="H58" s="6" t="s">
        <v>327</v>
      </c>
      <c r="I58" s="6" t="s">
        <v>31</v>
      </c>
      <c r="J58" s="6" t="s">
        <v>328</v>
      </c>
      <c r="K58" s="6" t="s">
        <v>342</v>
      </c>
      <c r="L58" s="6" t="s">
        <v>176</v>
      </c>
      <c r="M58" s="6" t="s">
        <v>329</v>
      </c>
      <c r="N58" s="6" t="s">
        <v>154</v>
      </c>
      <c r="O58" s="6" t="s">
        <v>330</v>
      </c>
      <c r="P58" s="6"/>
      <c r="Q58" s="8">
        <v>150</v>
      </c>
      <c r="R58" s="8">
        <v>150.44999999999999</v>
      </c>
      <c r="S58" s="8">
        <v>299.89999999999998</v>
      </c>
      <c r="T58" s="8">
        <v>14</v>
      </c>
      <c r="U58" s="8"/>
      <c r="V58" s="8">
        <v>0</v>
      </c>
      <c r="W58" s="12">
        <v>0</v>
      </c>
      <c r="Y58">
        <v>0</v>
      </c>
    </row>
    <row r="59" spans="1:25" ht="40" customHeight="1">
      <c r="A59" s="6" t="s">
        <v>343</v>
      </c>
      <c r="B59" s="6" t="s">
        <v>344</v>
      </c>
      <c r="C59" s="6">
        <v>117756</v>
      </c>
      <c r="D59" s="6" t="s">
        <v>345</v>
      </c>
      <c r="E59" s="6" t="s">
        <v>346</v>
      </c>
      <c r="F59" s="6"/>
      <c r="G59" s="6" t="s">
        <v>326</v>
      </c>
      <c r="H59" s="6" t="s">
        <v>327</v>
      </c>
      <c r="I59" s="6" t="s">
        <v>31</v>
      </c>
      <c r="J59" s="6" t="s">
        <v>328</v>
      </c>
      <c r="K59" s="6" t="s">
        <v>347</v>
      </c>
      <c r="L59" s="6" t="s">
        <v>176</v>
      </c>
      <c r="M59" s="6" t="s">
        <v>329</v>
      </c>
      <c r="N59" s="6" t="s">
        <v>154</v>
      </c>
      <c r="O59" s="6" t="s">
        <v>330</v>
      </c>
      <c r="P59" s="6"/>
      <c r="Q59" s="8">
        <v>150</v>
      </c>
      <c r="R59" s="8">
        <v>150.44999999999999</v>
      </c>
      <c r="S59" s="8">
        <v>299.89999999999998</v>
      </c>
      <c r="T59" s="8">
        <v>14</v>
      </c>
      <c r="U59" s="8"/>
      <c r="V59" s="8">
        <v>0</v>
      </c>
      <c r="W59" s="12">
        <v>0</v>
      </c>
      <c r="Y59">
        <v>0</v>
      </c>
    </row>
    <row r="60" spans="1:25" ht="40" customHeight="1">
      <c r="A60" s="6" t="s">
        <v>348</v>
      </c>
      <c r="B60" s="8" t="s">
        <v>349</v>
      </c>
      <c r="C60" s="8" t="s">
        <v>350</v>
      </c>
      <c r="D60" s="6" t="s">
        <v>27</v>
      </c>
      <c r="E60" s="8" t="s">
        <v>351</v>
      </c>
      <c r="F60" s="6" t="s">
        <v>5</v>
      </c>
      <c r="G60" s="6" t="s">
        <v>326</v>
      </c>
      <c r="H60" s="6" t="s">
        <v>327</v>
      </c>
      <c r="I60" s="6" t="s">
        <v>31</v>
      </c>
      <c r="J60" s="6" t="s">
        <v>328</v>
      </c>
      <c r="K60" s="6" t="s">
        <v>33</v>
      </c>
      <c r="L60" s="6" t="s">
        <v>176</v>
      </c>
      <c r="M60" s="6" t="s">
        <v>329</v>
      </c>
      <c r="N60" s="6" t="s">
        <v>154</v>
      </c>
      <c r="O60" s="6" t="s">
        <v>330</v>
      </c>
      <c r="P60" s="6"/>
      <c r="Q60" s="8">
        <v>150</v>
      </c>
      <c r="R60" s="8">
        <v>150.44999999999999</v>
      </c>
      <c r="S60" s="8">
        <v>299.89999999999998</v>
      </c>
      <c r="T60" s="8">
        <v>14</v>
      </c>
      <c r="U60" s="8"/>
      <c r="V60" s="8">
        <v>0</v>
      </c>
      <c r="W60" s="12">
        <v>0</v>
      </c>
      <c r="Y60">
        <v>0</v>
      </c>
    </row>
    <row r="61" spans="1:25" ht="40" customHeight="1">
      <c r="A61" s="6" t="s">
        <v>352</v>
      </c>
      <c r="B61" s="6" t="s">
        <v>353</v>
      </c>
      <c r="C61" s="7">
        <v>117756</v>
      </c>
      <c r="D61" s="6" t="s">
        <v>126</v>
      </c>
      <c r="E61" s="7" t="s">
        <v>354</v>
      </c>
      <c r="F61" s="6"/>
      <c r="G61" s="6" t="s">
        <v>326</v>
      </c>
      <c r="H61" s="6" t="s">
        <v>327</v>
      </c>
      <c r="I61" s="6" t="s">
        <v>31</v>
      </c>
      <c r="J61" s="6" t="s">
        <v>328</v>
      </c>
      <c r="K61" s="6" t="s">
        <v>288</v>
      </c>
      <c r="L61" s="6" t="s">
        <v>176</v>
      </c>
      <c r="M61" s="6" t="s">
        <v>329</v>
      </c>
      <c r="N61" s="6" t="s">
        <v>154</v>
      </c>
      <c r="O61" s="6" t="s">
        <v>330</v>
      </c>
      <c r="P61" s="6"/>
      <c r="Q61" s="8">
        <v>150</v>
      </c>
      <c r="R61" s="8">
        <v>150.44999999999999</v>
      </c>
      <c r="S61" s="8">
        <v>299.89999999999998</v>
      </c>
      <c r="T61" s="8">
        <v>14</v>
      </c>
      <c r="U61" s="8"/>
      <c r="V61" s="8">
        <v>0</v>
      </c>
      <c r="W61" s="12">
        <v>0</v>
      </c>
      <c r="Y61">
        <v>0</v>
      </c>
    </row>
    <row r="62" spans="1:25" ht="40" customHeight="1">
      <c r="A62" s="6" t="s">
        <v>355</v>
      </c>
      <c r="B62" s="8" t="s">
        <v>356</v>
      </c>
      <c r="C62" s="8" t="s">
        <v>350</v>
      </c>
      <c r="D62" s="6" t="s">
        <v>357</v>
      </c>
      <c r="E62" s="8" t="s">
        <v>358</v>
      </c>
      <c r="F62" s="6" t="s">
        <v>5</v>
      </c>
      <c r="G62" s="6" t="s">
        <v>326</v>
      </c>
      <c r="H62" s="6" t="s">
        <v>327</v>
      </c>
      <c r="I62" s="6" t="s">
        <v>31</v>
      </c>
      <c r="J62" s="6" t="s">
        <v>328</v>
      </c>
      <c r="K62" s="6" t="s">
        <v>359</v>
      </c>
      <c r="L62" s="6" t="s">
        <v>176</v>
      </c>
      <c r="M62" s="6" t="s">
        <v>329</v>
      </c>
      <c r="N62" s="6" t="s">
        <v>154</v>
      </c>
      <c r="O62" s="6" t="s">
        <v>330</v>
      </c>
      <c r="P62" s="6"/>
      <c r="Q62" s="8">
        <v>150</v>
      </c>
      <c r="R62" s="8">
        <v>150.44999999999999</v>
      </c>
      <c r="S62" s="8">
        <v>299.89999999999998</v>
      </c>
      <c r="T62" s="8">
        <v>14</v>
      </c>
      <c r="U62" s="8"/>
      <c r="V62" s="8">
        <v>0</v>
      </c>
      <c r="W62" s="12">
        <v>0</v>
      </c>
      <c r="Y62">
        <v>0</v>
      </c>
    </row>
    <row r="63" spans="1:25" ht="40" customHeight="1">
      <c r="A63" s="6" t="s">
        <v>360</v>
      </c>
      <c r="B63" s="6" t="s">
        <v>361</v>
      </c>
      <c r="C63" s="6">
        <v>117759</v>
      </c>
      <c r="D63" s="6" t="s">
        <v>27</v>
      </c>
      <c r="E63" s="6" t="s">
        <v>362</v>
      </c>
      <c r="F63" s="6"/>
      <c r="G63" s="6" t="s">
        <v>326</v>
      </c>
      <c r="H63" s="6" t="s">
        <v>363</v>
      </c>
      <c r="I63" s="6" t="s">
        <v>31</v>
      </c>
      <c r="J63" s="6" t="s">
        <v>364</v>
      </c>
      <c r="K63" s="6" t="s">
        <v>365</v>
      </c>
      <c r="L63" s="6" t="s">
        <v>54</v>
      </c>
      <c r="M63" s="6" t="s">
        <v>54</v>
      </c>
      <c r="N63" s="6" t="s">
        <v>154</v>
      </c>
      <c r="O63" s="6" t="s">
        <v>366</v>
      </c>
      <c r="P63" s="6"/>
      <c r="Q63" s="8">
        <v>135</v>
      </c>
      <c r="R63" s="8">
        <v>135.405</v>
      </c>
      <c r="S63" s="8">
        <v>269.89999999999998</v>
      </c>
      <c r="T63" s="8">
        <v>14</v>
      </c>
      <c r="U63" s="8"/>
      <c r="V63" s="8">
        <v>0</v>
      </c>
      <c r="W63" s="12">
        <v>0</v>
      </c>
      <c r="X63">
        <f>VLOOKUP(E63,[1]Sheet2!$A:$C,3,FALSE)</f>
        <v>1</v>
      </c>
      <c r="Y63">
        <v>1</v>
      </c>
    </row>
    <row r="64" spans="1:25" ht="40" customHeight="1">
      <c r="A64" s="6" t="s">
        <v>367</v>
      </c>
      <c r="B64" s="6" t="s">
        <v>368</v>
      </c>
      <c r="C64" s="6">
        <v>117759</v>
      </c>
      <c r="D64" s="6" t="s">
        <v>147</v>
      </c>
      <c r="E64" s="6" t="s">
        <v>369</v>
      </c>
      <c r="F64" s="6"/>
      <c r="G64" s="6" t="s">
        <v>326</v>
      </c>
      <c r="H64" s="6" t="s">
        <v>363</v>
      </c>
      <c r="I64" s="6" t="s">
        <v>31</v>
      </c>
      <c r="J64" s="6" t="s">
        <v>364</v>
      </c>
      <c r="K64" s="6" t="s">
        <v>365</v>
      </c>
      <c r="L64" s="6" t="s">
        <v>54</v>
      </c>
      <c r="M64" s="6" t="s">
        <v>54</v>
      </c>
      <c r="N64" s="6" t="s">
        <v>154</v>
      </c>
      <c r="O64" s="6" t="s">
        <v>366</v>
      </c>
      <c r="P64" s="6"/>
      <c r="Q64" s="8">
        <v>135</v>
      </c>
      <c r="R64" s="8">
        <v>135.405</v>
      </c>
      <c r="S64" s="8">
        <v>269.89999999999998</v>
      </c>
      <c r="T64" s="8">
        <v>14</v>
      </c>
      <c r="U64" s="8"/>
      <c r="V64" s="8">
        <v>0</v>
      </c>
      <c r="W64" s="12">
        <v>0</v>
      </c>
      <c r="Y64">
        <v>0</v>
      </c>
    </row>
    <row r="65" spans="1:25" ht="40" customHeight="1">
      <c r="A65" s="6" t="s">
        <v>370</v>
      </c>
      <c r="B65" s="6" t="s">
        <v>371</v>
      </c>
      <c r="C65" s="6">
        <v>117759</v>
      </c>
      <c r="D65" s="6" t="s">
        <v>244</v>
      </c>
      <c r="E65" s="6" t="s">
        <v>372</v>
      </c>
      <c r="F65" s="6"/>
      <c r="G65" s="6" t="s">
        <v>326</v>
      </c>
      <c r="H65" s="6" t="s">
        <v>363</v>
      </c>
      <c r="I65" s="6" t="s">
        <v>31</v>
      </c>
      <c r="J65" s="6" t="s">
        <v>364</v>
      </c>
      <c r="K65" s="6" t="s">
        <v>373</v>
      </c>
      <c r="L65" s="6" t="s">
        <v>54</v>
      </c>
      <c r="M65" s="6" t="s">
        <v>54</v>
      </c>
      <c r="N65" s="6" t="s">
        <v>154</v>
      </c>
      <c r="O65" s="6" t="s">
        <v>366</v>
      </c>
      <c r="P65" s="6"/>
      <c r="Q65" s="8">
        <v>135</v>
      </c>
      <c r="R65" s="8">
        <v>135.405</v>
      </c>
      <c r="S65" s="8">
        <v>269.89999999999998</v>
      </c>
      <c r="T65" s="8">
        <v>14</v>
      </c>
      <c r="U65" s="8"/>
      <c r="V65" s="8">
        <v>0</v>
      </c>
      <c r="W65" s="12">
        <v>0</v>
      </c>
      <c r="Y65">
        <v>0</v>
      </c>
    </row>
    <row r="66" spans="1:25" ht="40" customHeight="1">
      <c r="A66" s="6" t="s">
        <v>374</v>
      </c>
      <c r="B66" s="6" t="s">
        <v>375</v>
      </c>
      <c r="C66" s="6">
        <v>117759</v>
      </c>
      <c r="D66" s="6" t="s">
        <v>376</v>
      </c>
      <c r="E66" s="6" t="s">
        <v>377</v>
      </c>
      <c r="F66" s="6"/>
      <c r="G66" s="6" t="s">
        <v>326</v>
      </c>
      <c r="H66" s="6" t="s">
        <v>363</v>
      </c>
      <c r="I66" s="6" t="s">
        <v>31</v>
      </c>
      <c r="J66" s="6" t="s">
        <v>364</v>
      </c>
      <c r="K66" s="6" t="s">
        <v>378</v>
      </c>
      <c r="L66" s="6" t="s">
        <v>54</v>
      </c>
      <c r="M66" s="6" t="s">
        <v>54</v>
      </c>
      <c r="N66" s="6" t="s">
        <v>154</v>
      </c>
      <c r="O66" s="6" t="s">
        <v>366</v>
      </c>
      <c r="P66" s="6"/>
      <c r="Q66" s="8">
        <v>135</v>
      </c>
      <c r="R66" s="8">
        <v>135.405</v>
      </c>
      <c r="S66" s="8">
        <v>269.89999999999998</v>
      </c>
      <c r="T66" s="8">
        <v>14</v>
      </c>
      <c r="U66" s="8"/>
      <c r="V66" s="8">
        <v>0</v>
      </c>
      <c r="W66" s="12">
        <v>0</v>
      </c>
      <c r="Y66">
        <v>0</v>
      </c>
    </row>
    <row r="67" spans="1:25" ht="40" customHeight="1">
      <c r="A67" s="6" t="s">
        <v>379</v>
      </c>
      <c r="B67" s="6" t="s">
        <v>380</v>
      </c>
      <c r="C67" s="6">
        <v>117861</v>
      </c>
      <c r="D67" s="6" t="s">
        <v>147</v>
      </c>
      <c r="E67" s="6" t="s">
        <v>381</v>
      </c>
      <c r="F67" s="6"/>
      <c r="G67" s="6" t="s">
        <v>382</v>
      </c>
      <c r="H67" s="6" t="s">
        <v>215</v>
      </c>
      <c r="I67" s="6" t="s">
        <v>31</v>
      </c>
      <c r="J67" s="6" t="s">
        <v>383</v>
      </c>
      <c r="K67" s="6" t="s">
        <v>384</v>
      </c>
      <c r="L67" s="6" t="s">
        <v>54</v>
      </c>
      <c r="M67" s="6" t="s">
        <v>54</v>
      </c>
      <c r="N67" s="6" t="s">
        <v>154</v>
      </c>
      <c r="O67" s="6" t="s">
        <v>385</v>
      </c>
      <c r="P67" s="6"/>
      <c r="Q67" s="8">
        <v>140</v>
      </c>
      <c r="R67" s="8">
        <v>140.41999999999999</v>
      </c>
      <c r="S67" s="8">
        <v>279.89999999999998</v>
      </c>
      <c r="T67" s="8">
        <v>14</v>
      </c>
      <c r="U67" s="8"/>
      <c r="V67" s="8">
        <v>0</v>
      </c>
      <c r="W67" s="12">
        <v>0</v>
      </c>
      <c r="Y67">
        <v>0</v>
      </c>
    </row>
    <row r="68" spans="1:25" ht="40" customHeight="1">
      <c r="A68" s="6" t="s">
        <v>386</v>
      </c>
      <c r="B68" s="6" t="s">
        <v>387</v>
      </c>
      <c r="C68" s="6">
        <v>117861</v>
      </c>
      <c r="D68" s="6" t="s">
        <v>40</v>
      </c>
      <c r="E68" s="6" t="s">
        <v>388</v>
      </c>
      <c r="F68" s="6"/>
      <c r="G68" s="6" t="s">
        <v>382</v>
      </c>
      <c r="H68" s="6" t="s">
        <v>215</v>
      </c>
      <c r="I68" s="6" t="s">
        <v>31</v>
      </c>
      <c r="J68" s="6" t="s">
        <v>383</v>
      </c>
      <c r="K68" s="6" t="s">
        <v>389</v>
      </c>
      <c r="L68" s="6" t="s">
        <v>54</v>
      </c>
      <c r="M68" s="6" t="s">
        <v>54</v>
      </c>
      <c r="N68" s="6" t="s">
        <v>154</v>
      </c>
      <c r="O68" s="6" t="s">
        <v>385</v>
      </c>
      <c r="P68" s="6"/>
      <c r="Q68" s="8">
        <v>140</v>
      </c>
      <c r="R68" s="8">
        <v>140.41999999999999</v>
      </c>
      <c r="S68" s="8">
        <v>279.89999999999998</v>
      </c>
      <c r="T68" s="8">
        <v>14</v>
      </c>
      <c r="U68" s="8"/>
      <c r="V68" s="8">
        <v>0</v>
      </c>
      <c r="W68" s="12">
        <v>0</v>
      </c>
      <c r="Y68">
        <v>0</v>
      </c>
    </row>
    <row r="69" spans="1:25" ht="40" customHeight="1">
      <c r="A69" s="6" t="s">
        <v>390</v>
      </c>
      <c r="B69" s="6" t="s">
        <v>391</v>
      </c>
      <c r="C69" s="6">
        <v>117861</v>
      </c>
      <c r="D69" s="6" t="s">
        <v>392</v>
      </c>
      <c r="E69" s="6" t="s">
        <v>393</v>
      </c>
      <c r="F69" s="6"/>
      <c r="G69" s="6" t="s">
        <v>382</v>
      </c>
      <c r="H69" s="6" t="s">
        <v>215</v>
      </c>
      <c r="I69" s="6" t="s">
        <v>31</v>
      </c>
      <c r="J69" s="6" t="s">
        <v>383</v>
      </c>
      <c r="K69" s="6" t="s">
        <v>394</v>
      </c>
      <c r="L69" s="6" t="s">
        <v>54</v>
      </c>
      <c r="M69" s="6" t="s">
        <v>54</v>
      </c>
      <c r="N69" s="6" t="s">
        <v>154</v>
      </c>
      <c r="O69" s="6" t="s">
        <v>385</v>
      </c>
      <c r="P69" s="6"/>
      <c r="Q69" s="8">
        <v>140</v>
      </c>
      <c r="R69" s="8">
        <v>140.41999999999999</v>
      </c>
      <c r="S69" s="8">
        <v>279.89999999999998</v>
      </c>
      <c r="T69" s="8">
        <v>14</v>
      </c>
      <c r="U69" s="8"/>
      <c r="V69" s="8">
        <v>0</v>
      </c>
      <c r="W69" s="12">
        <v>0</v>
      </c>
      <c r="Y69">
        <v>0</v>
      </c>
    </row>
    <row r="70" spans="1:25" ht="40" customHeight="1">
      <c r="A70" s="6" t="s">
        <v>395</v>
      </c>
      <c r="B70" s="6" t="s">
        <v>396</v>
      </c>
      <c r="C70" s="6">
        <v>117861</v>
      </c>
      <c r="D70" s="6" t="s">
        <v>109</v>
      </c>
      <c r="E70" s="6" t="s">
        <v>397</v>
      </c>
      <c r="F70" s="6"/>
      <c r="G70" s="6" t="s">
        <v>382</v>
      </c>
      <c r="H70" s="6" t="s">
        <v>215</v>
      </c>
      <c r="I70" s="6" t="s">
        <v>31</v>
      </c>
      <c r="J70" s="6" t="s">
        <v>383</v>
      </c>
      <c r="K70" s="6" t="s">
        <v>398</v>
      </c>
      <c r="L70" s="6" t="s">
        <v>54</v>
      </c>
      <c r="M70" s="6" t="s">
        <v>54</v>
      </c>
      <c r="N70" s="6" t="s">
        <v>154</v>
      </c>
      <c r="O70" s="6" t="s">
        <v>385</v>
      </c>
      <c r="P70" s="6"/>
      <c r="Q70" s="8">
        <v>140</v>
      </c>
      <c r="R70" s="8">
        <v>140.41999999999999</v>
      </c>
      <c r="S70" s="8">
        <v>279.89999999999998</v>
      </c>
      <c r="T70" s="8">
        <v>14</v>
      </c>
      <c r="U70" s="8"/>
      <c r="V70" s="8">
        <v>0</v>
      </c>
      <c r="W70" s="12">
        <v>0</v>
      </c>
      <c r="Y70">
        <v>0</v>
      </c>
    </row>
    <row r="71" spans="1:25" ht="40" customHeight="1">
      <c r="A71" s="6" t="s">
        <v>399</v>
      </c>
      <c r="B71" s="6" t="s">
        <v>400</v>
      </c>
      <c r="C71" s="6">
        <v>117863</v>
      </c>
      <c r="D71" s="6" t="s">
        <v>27</v>
      </c>
      <c r="E71" s="6" t="s">
        <v>401</v>
      </c>
      <c r="F71" s="6"/>
      <c r="G71" s="6" t="s">
        <v>382</v>
      </c>
      <c r="H71" s="6" t="s">
        <v>402</v>
      </c>
      <c r="I71" s="6" t="s">
        <v>31</v>
      </c>
      <c r="J71" s="6" t="s">
        <v>403</v>
      </c>
      <c r="K71" s="6" t="s">
        <v>33</v>
      </c>
      <c r="L71" s="6" t="s">
        <v>54</v>
      </c>
      <c r="M71" s="6" t="s">
        <v>54</v>
      </c>
      <c r="N71" s="6" t="s">
        <v>154</v>
      </c>
      <c r="O71" s="6" t="s">
        <v>404</v>
      </c>
      <c r="P71" s="6"/>
      <c r="Q71" s="8">
        <v>160</v>
      </c>
      <c r="R71" s="8">
        <v>160.47999999999999</v>
      </c>
      <c r="S71" s="8">
        <v>319.89999999999998</v>
      </c>
      <c r="T71" s="8">
        <v>14</v>
      </c>
      <c r="U71" s="8"/>
      <c r="V71" s="8">
        <v>0</v>
      </c>
      <c r="W71" s="12">
        <v>0</v>
      </c>
      <c r="Y71">
        <v>0</v>
      </c>
    </row>
    <row r="72" spans="1:25" ht="40" customHeight="1">
      <c r="A72" s="6" t="s">
        <v>405</v>
      </c>
      <c r="B72" s="6" t="s">
        <v>406</v>
      </c>
      <c r="C72" s="6">
        <v>117863</v>
      </c>
      <c r="D72" s="6" t="s">
        <v>142</v>
      </c>
      <c r="E72" s="6" t="s">
        <v>407</v>
      </c>
      <c r="F72" s="6"/>
      <c r="G72" s="6" t="s">
        <v>382</v>
      </c>
      <c r="H72" s="6" t="s">
        <v>402</v>
      </c>
      <c r="I72" s="6" t="s">
        <v>31</v>
      </c>
      <c r="J72" s="6" t="s">
        <v>403</v>
      </c>
      <c r="K72" s="6" t="s">
        <v>144</v>
      </c>
      <c r="L72" s="6" t="s">
        <v>54</v>
      </c>
      <c r="M72" s="6" t="s">
        <v>54</v>
      </c>
      <c r="N72" s="6" t="s">
        <v>154</v>
      </c>
      <c r="O72" s="6" t="s">
        <v>404</v>
      </c>
      <c r="P72" s="6"/>
      <c r="Q72" s="8">
        <v>160</v>
      </c>
      <c r="R72" s="8">
        <v>160.47999999999999</v>
      </c>
      <c r="S72" s="8">
        <v>319.89999999999998</v>
      </c>
      <c r="T72" s="8">
        <v>14</v>
      </c>
      <c r="U72" s="8"/>
      <c r="V72" s="8">
        <v>0</v>
      </c>
      <c r="W72" s="12">
        <v>0</v>
      </c>
      <c r="Y72">
        <v>0</v>
      </c>
    </row>
    <row r="73" spans="1:25" ht="40" customHeight="1">
      <c r="A73" s="6" t="s">
        <v>408</v>
      </c>
      <c r="B73" s="6" t="s">
        <v>409</v>
      </c>
      <c r="C73" s="6">
        <v>117863</v>
      </c>
      <c r="D73" s="6" t="s">
        <v>410</v>
      </c>
      <c r="E73" s="6" t="s">
        <v>411</v>
      </c>
      <c r="F73" s="6"/>
      <c r="G73" s="6" t="s">
        <v>382</v>
      </c>
      <c r="H73" s="6" t="s">
        <v>402</v>
      </c>
      <c r="I73" s="6" t="s">
        <v>31</v>
      </c>
      <c r="J73" s="6" t="s">
        <v>403</v>
      </c>
      <c r="K73" s="6" t="s">
        <v>412</v>
      </c>
      <c r="L73" s="6" t="s">
        <v>54</v>
      </c>
      <c r="M73" s="6" t="s">
        <v>54</v>
      </c>
      <c r="N73" s="6" t="s">
        <v>154</v>
      </c>
      <c r="O73" s="6" t="s">
        <v>404</v>
      </c>
      <c r="P73" s="6"/>
      <c r="Q73" s="8">
        <v>160</v>
      </c>
      <c r="R73" s="8">
        <v>160.47999999999999</v>
      </c>
      <c r="S73" s="8">
        <v>319.89999999999998</v>
      </c>
      <c r="T73" s="8">
        <v>14</v>
      </c>
      <c r="U73" s="8"/>
      <c r="V73" s="8">
        <v>0</v>
      </c>
      <c r="W73" s="12">
        <v>0</v>
      </c>
      <c r="Y73">
        <v>0</v>
      </c>
    </row>
    <row r="74" spans="1:25" ht="40" customHeight="1">
      <c r="A74" s="5" t="s">
        <v>413</v>
      </c>
      <c r="B74" s="6" t="s">
        <v>414</v>
      </c>
      <c r="C74" s="6">
        <v>118110</v>
      </c>
      <c r="D74" s="6" t="s">
        <v>27</v>
      </c>
      <c r="E74" s="6" t="s">
        <v>415</v>
      </c>
      <c r="F74" s="6"/>
      <c r="G74" s="6" t="s">
        <v>149</v>
      </c>
      <c r="H74" s="6" t="s">
        <v>416</v>
      </c>
      <c r="I74" s="6" t="s">
        <v>417</v>
      </c>
      <c r="J74" s="6" t="s">
        <v>418</v>
      </c>
      <c r="K74" s="6" t="s">
        <v>261</v>
      </c>
      <c r="L74" s="6" t="s">
        <v>54</v>
      </c>
      <c r="M74" s="6" t="s">
        <v>54</v>
      </c>
      <c r="N74" s="6" t="s">
        <v>419</v>
      </c>
      <c r="O74" s="6" t="s">
        <v>420</v>
      </c>
      <c r="P74" s="6"/>
      <c r="Q74" s="8">
        <v>125</v>
      </c>
      <c r="R74" s="8">
        <v>125.375</v>
      </c>
      <c r="S74" s="8">
        <v>249.9</v>
      </c>
      <c r="T74" s="8">
        <v>14</v>
      </c>
      <c r="U74" s="8">
        <v>2</v>
      </c>
      <c r="V74" s="8">
        <f>T74*U74</f>
        <v>28</v>
      </c>
      <c r="W74" s="12">
        <f>R74*V74</f>
        <v>3510.5</v>
      </c>
      <c r="Y74">
        <v>2</v>
      </c>
    </row>
    <row r="75" spans="1:25" ht="40" customHeight="1">
      <c r="A75" s="5" t="s">
        <v>421</v>
      </c>
      <c r="B75" s="6" t="s">
        <v>422</v>
      </c>
      <c r="C75" s="7">
        <v>118113</v>
      </c>
      <c r="D75" s="6" t="s">
        <v>142</v>
      </c>
      <c r="E75" s="7" t="s">
        <v>423</v>
      </c>
      <c r="F75" s="6"/>
      <c r="G75" s="6" t="s">
        <v>149</v>
      </c>
      <c r="H75" s="6" t="s">
        <v>424</v>
      </c>
      <c r="I75" s="6" t="s">
        <v>417</v>
      </c>
      <c r="J75" s="6" t="s">
        <v>151</v>
      </c>
      <c r="K75" s="6" t="s">
        <v>425</v>
      </c>
      <c r="L75" s="6" t="s">
        <v>152</v>
      </c>
      <c r="M75" s="6" t="s">
        <v>153</v>
      </c>
      <c r="N75" s="6" t="s">
        <v>419</v>
      </c>
      <c r="O75" s="6" t="s">
        <v>155</v>
      </c>
      <c r="P75" s="6"/>
      <c r="Q75" s="8">
        <v>140</v>
      </c>
      <c r="R75" s="8">
        <v>140.41999999999999</v>
      </c>
      <c r="S75" s="8">
        <v>279.89999999999998</v>
      </c>
      <c r="T75" s="8">
        <v>14</v>
      </c>
      <c r="U75" s="8">
        <v>2</v>
      </c>
      <c r="V75" s="8">
        <f t="shared" ref="V75:V107" si="0">T75*U75</f>
        <v>28</v>
      </c>
      <c r="W75" s="12">
        <f t="shared" ref="W75:W107" si="1">R75*V75</f>
        <v>3931.76</v>
      </c>
      <c r="Y75">
        <v>2</v>
      </c>
    </row>
    <row r="76" spans="1:25" ht="40" customHeight="1">
      <c r="A76" s="5" t="s">
        <v>426</v>
      </c>
      <c r="B76" s="8" t="s">
        <v>427</v>
      </c>
      <c r="C76" s="1" t="s">
        <v>428</v>
      </c>
      <c r="D76" s="6" t="s">
        <v>27</v>
      </c>
      <c r="E76" s="1" t="s">
        <v>429</v>
      </c>
      <c r="F76" s="6" t="s">
        <v>5</v>
      </c>
      <c r="G76" s="6" t="s">
        <v>149</v>
      </c>
      <c r="H76" s="6" t="s">
        <v>424</v>
      </c>
      <c r="I76" s="6" t="s">
        <v>417</v>
      </c>
      <c r="J76" s="6" t="s">
        <v>151</v>
      </c>
      <c r="K76" s="6" t="s">
        <v>83</v>
      </c>
      <c r="L76" s="6" t="s">
        <v>152</v>
      </c>
      <c r="M76" s="6" t="s">
        <v>153</v>
      </c>
      <c r="N76" s="6" t="s">
        <v>419</v>
      </c>
      <c r="O76" s="6" t="s">
        <v>155</v>
      </c>
      <c r="P76" s="6"/>
      <c r="Q76" s="8">
        <v>140</v>
      </c>
      <c r="R76" s="8">
        <v>140.41999999999999</v>
      </c>
      <c r="S76" s="8">
        <v>279.89999999999998</v>
      </c>
      <c r="T76" s="8">
        <v>14</v>
      </c>
      <c r="U76" s="8">
        <v>2</v>
      </c>
      <c r="V76" s="8">
        <f t="shared" si="0"/>
        <v>28</v>
      </c>
      <c r="W76" s="12">
        <f t="shared" si="1"/>
        <v>3931.76</v>
      </c>
      <c r="Y76">
        <v>2</v>
      </c>
    </row>
    <row r="77" spans="1:25" ht="40" customHeight="1">
      <c r="A77" s="5" t="s">
        <v>430</v>
      </c>
      <c r="B77" s="8" t="s">
        <v>431</v>
      </c>
      <c r="C77" s="8" t="s">
        <v>428</v>
      </c>
      <c r="D77" s="6" t="s">
        <v>147</v>
      </c>
      <c r="E77" s="8" t="s">
        <v>432</v>
      </c>
      <c r="F77" s="6" t="s">
        <v>5</v>
      </c>
      <c r="G77" s="6" t="s">
        <v>149</v>
      </c>
      <c r="H77" s="6" t="s">
        <v>424</v>
      </c>
      <c r="I77" s="6" t="s">
        <v>417</v>
      </c>
      <c r="J77" s="6" t="s">
        <v>151</v>
      </c>
      <c r="K77" s="6" t="s">
        <v>83</v>
      </c>
      <c r="L77" s="6" t="s">
        <v>152</v>
      </c>
      <c r="M77" s="6" t="s">
        <v>153</v>
      </c>
      <c r="N77" s="6" t="s">
        <v>419</v>
      </c>
      <c r="O77" s="6" t="s">
        <v>155</v>
      </c>
      <c r="P77" s="6"/>
      <c r="Q77" s="8">
        <v>140</v>
      </c>
      <c r="R77" s="8">
        <v>140.41999999999999</v>
      </c>
      <c r="S77" s="8">
        <v>279.89999999999998</v>
      </c>
      <c r="T77" s="8">
        <v>14</v>
      </c>
      <c r="U77" s="8">
        <v>2</v>
      </c>
      <c r="V77" s="8">
        <f t="shared" si="0"/>
        <v>28</v>
      </c>
      <c r="W77" s="12">
        <f t="shared" si="1"/>
        <v>3931.76</v>
      </c>
      <c r="Y77">
        <v>2</v>
      </c>
    </row>
    <row r="78" spans="1:25" ht="40" customHeight="1">
      <c r="A78" s="5" t="s">
        <v>433</v>
      </c>
      <c r="B78" s="6" t="s">
        <v>434</v>
      </c>
      <c r="C78" s="7">
        <v>118312</v>
      </c>
      <c r="D78" s="6" t="s">
        <v>147</v>
      </c>
      <c r="E78" s="7" t="s">
        <v>435</v>
      </c>
      <c r="F78" s="6"/>
      <c r="G78" s="6" t="s">
        <v>172</v>
      </c>
      <c r="H78" s="6" t="s">
        <v>436</v>
      </c>
      <c r="I78" s="6" t="s">
        <v>417</v>
      </c>
      <c r="J78" s="6" t="s">
        <v>174</v>
      </c>
      <c r="K78" s="6" t="s">
        <v>33</v>
      </c>
      <c r="L78" s="6" t="s">
        <v>437</v>
      </c>
      <c r="M78" s="6" t="s">
        <v>438</v>
      </c>
      <c r="N78" s="6" t="s">
        <v>419</v>
      </c>
      <c r="O78" s="6" t="s">
        <v>155</v>
      </c>
      <c r="P78" s="6"/>
      <c r="Q78" s="8">
        <v>150</v>
      </c>
      <c r="R78" s="8">
        <v>150.44999999999999</v>
      </c>
      <c r="S78" s="8">
        <v>299.89999999999998</v>
      </c>
      <c r="T78" s="8">
        <v>14</v>
      </c>
      <c r="U78" s="8"/>
      <c r="V78" s="8">
        <f t="shared" si="0"/>
        <v>0</v>
      </c>
      <c r="W78" s="12">
        <f t="shared" si="1"/>
        <v>0</v>
      </c>
      <c r="X78">
        <f>VLOOKUP(E78,[1]Sheet2!$A:$C,3,FALSE)</f>
        <v>1</v>
      </c>
      <c r="Y78">
        <v>1</v>
      </c>
    </row>
    <row r="79" spans="1:25" ht="40" customHeight="1">
      <c r="A79" s="5" t="s">
        <v>439</v>
      </c>
      <c r="B79" s="8" t="s">
        <v>440</v>
      </c>
      <c r="C79" s="8" t="s">
        <v>441</v>
      </c>
      <c r="D79" s="6" t="s">
        <v>27</v>
      </c>
      <c r="E79" s="8" t="s">
        <v>442</v>
      </c>
      <c r="F79" s="6" t="s">
        <v>5</v>
      </c>
      <c r="G79" s="6" t="s">
        <v>172</v>
      </c>
      <c r="H79" s="6" t="s">
        <v>436</v>
      </c>
      <c r="I79" s="6" t="s">
        <v>417</v>
      </c>
      <c r="J79" s="6" t="s">
        <v>174</v>
      </c>
      <c r="K79" s="6" t="s">
        <v>33</v>
      </c>
      <c r="L79" s="6" t="s">
        <v>437</v>
      </c>
      <c r="M79" s="6" t="s">
        <v>438</v>
      </c>
      <c r="N79" s="6" t="s">
        <v>419</v>
      </c>
      <c r="O79" s="6" t="s">
        <v>155</v>
      </c>
      <c r="P79" s="6"/>
      <c r="Q79" s="8">
        <v>150</v>
      </c>
      <c r="R79" s="8">
        <v>150.44999999999999</v>
      </c>
      <c r="S79" s="8">
        <v>299.89999999999998</v>
      </c>
      <c r="T79" s="8">
        <v>14</v>
      </c>
      <c r="U79" s="8"/>
      <c r="V79" s="8">
        <f t="shared" si="0"/>
        <v>0</v>
      </c>
      <c r="W79" s="12">
        <f t="shared" si="1"/>
        <v>0</v>
      </c>
      <c r="Y79">
        <v>0</v>
      </c>
    </row>
    <row r="80" spans="1:25" ht="40" customHeight="1">
      <c r="A80" s="5" t="s">
        <v>443</v>
      </c>
      <c r="B80" s="6" t="s">
        <v>444</v>
      </c>
      <c r="C80" s="6">
        <v>118412</v>
      </c>
      <c r="D80" s="6" t="s">
        <v>445</v>
      </c>
      <c r="E80" s="6" t="s">
        <v>446</v>
      </c>
      <c r="F80" s="6"/>
      <c r="G80" s="6" t="s">
        <v>186</v>
      </c>
      <c r="H80" s="6" t="s">
        <v>215</v>
      </c>
      <c r="I80" s="6" t="s">
        <v>417</v>
      </c>
      <c r="J80" s="6" t="s">
        <v>447</v>
      </c>
      <c r="K80" s="6" t="s">
        <v>448</v>
      </c>
      <c r="L80" s="6" t="s">
        <v>54</v>
      </c>
      <c r="M80" s="6" t="s">
        <v>54</v>
      </c>
      <c r="N80" s="6" t="s">
        <v>419</v>
      </c>
      <c r="O80" s="6" t="s">
        <v>449</v>
      </c>
      <c r="P80" s="6"/>
      <c r="Q80" s="8">
        <v>175</v>
      </c>
      <c r="R80" s="8">
        <v>175.52500000000001</v>
      </c>
      <c r="S80" s="8">
        <v>349.9</v>
      </c>
      <c r="T80" s="8">
        <v>14</v>
      </c>
      <c r="U80" s="8">
        <v>2</v>
      </c>
      <c r="V80" s="8">
        <f t="shared" si="0"/>
        <v>28</v>
      </c>
      <c r="W80" s="12">
        <f t="shared" si="1"/>
        <v>4914.7</v>
      </c>
      <c r="Y80">
        <v>2</v>
      </c>
    </row>
    <row r="81" spans="1:25" ht="40" customHeight="1">
      <c r="A81" s="5" t="s">
        <v>450</v>
      </c>
      <c r="B81" s="6" t="s">
        <v>451</v>
      </c>
      <c r="C81" s="6">
        <v>118412</v>
      </c>
      <c r="D81" s="6" t="s">
        <v>195</v>
      </c>
      <c r="E81" s="6" t="s">
        <v>452</v>
      </c>
      <c r="F81" s="6"/>
      <c r="G81" s="6" t="s">
        <v>186</v>
      </c>
      <c r="H81" s="6" t="s">
        <v>215</v>
      </c>
      <c r="I81" s="6" t="s">
        <v>417</v>
      </c>
      <c r="J81" s="6" t="s">
        <v>447</v>
      </c>
      <c r="K81" s="6" t="s">
        <v>453</v>
      </c>
      <c r="L81" s="6" t="s">
        <v>54</v>
      </c>
      <c r="M81" s="6" t="s">
        <v>54</v>
      </c>
      <c r="N81" s="6" t="s">
        <v>419</v>
      </c>
      <c r="O81" s="6" t="s">
        <v>449</v>
      </c>
      <c r="P81" s="6"/>
      <c r="Q81" s="8">
        <v>175</v>
      </c>
      <c r="R81" s="8">
        <v>175.52500000000001</v>
      </c>
      <c r="S81" s="8">
        <v>349.9</v>
      </c>
      <c r="T81" s="8">
        <v>14</v>
      </c>
      <c r="U81" s="8">
        <v>2</v>
      </c>
      <c r="V81" s="8">
        <f t="shared" si="0"/>
        <v>28</v>
      </c>
      <c r="W81" s="12">
        <f t="shared" si="1"/>
        <v>4914.7</v>
      </c>
      <c r="Y81">
        <v>2</v>
      </c>
    </row>
    <row r="82" spans="1:25" ht="40" customHeight="1">
      <c r="A82" s="5" t="s">
        <v>454</v>
      </c>
      <c r="B82" s="6" t="s">
        <v>455</v>
      </c>
      <c r="C82" s="6">
        <v>118412</v>
      </c>
      <c r="D82" s="6" t="s">
        <v>456</v>
      </c>
      <c r="E82" s="6" t="s">
        <v>457</v>
      </c>
      <c r="F82" s="6"/>
      <c r="G82" s="6" t="s">
        <v>186</v>
      </c>
      <c r="H82" s="6" t="s">
        <v>215</v>
      </c>
      <c r="I82" s="6" t="s">
        <v>417</v>
      </c>
      <c r="J82" s="6" t="s">
        <v>447</v>
      </c>
      <c r="K82" s="6" t="s">
        <v>458</v>
      </c>
      <c r="L82" s="6" t="s">
        <v>54</v>
      </c>
      <c r="M82" s="6" t="s">
        <v>54</v>
      </c>
      <c r="N82" s="6" t="s">
        <v>419</v>
      </c>
      <c r="O82" s="6" t="s">
        <v>449</v>
      </c>
      <c r="P82" s="6"/>
      <c r="Q82" s="8">
        <v>175</v>
      </c>
      <c r="R82" s="8">
        <v>175.52500000000001</v>
      </c>
      <c r="S82" s="8">
        <v>349.9</v>
      </c>
      <c r="T82" s="8">
        <v>14</v>
      </c>
      <c r="U82" s="8">
        <v>2</v>
      </c>
      <c r="V82" s="8">
        <f t="shared" si="0"/>
        <v>28</v>
      </c>
      <c r="W82" s="12">
        <f t="shared" si="1"/>
        <v>4914.7</v>
      </c>
      <c r="Y82">
        <v>2</v>
      </c>
    </row>
    <row r="83" spans="1:25" ht="40" customHeight="1">
      <c r="A83" s="5" t="s">
        <v>459</v>
      </c>
      <c r="B83" s="6" t="s">
        <v>460</v>
      </c>
      <c r="C83" s="6">
        <v>118416</v>
      </c>
      <c r="D83" s="6" t="s">
        <v>27</v>
      </c>
      <c r="E83" s="6" t="s">
        <v>461</v>
      </c>
      <c r="F83" s="6"/>
      <c r="G83" s="6" t="s">
        <v>186</v>
      </c>
      <c r="H83" s="6" t="s">
        <v>462</v>
      </c>
      <c r="I83" s="6" t="s">
        <v>417</v>
      </c>
      <c r="J83" s="6" t="s">
        <v>463</v>
      </c>
      <c r="K83" s="6" t="s">
        <v>464</v>
      </c>
      <c r="L83" s="6" t="s">
        <v>54</v>
      </c>
      <c r="M83" s="6" t="s">
        <v>54</v>
      </c>
      <c r="N83" s="6" t="s">
        <v>419</v>
      </c>
      <c r="O83" s="6" t="s">
        <v>465</v>
      </c>
      <c r="P83" s="6"/>
      <c r="Q83" s="8">
        <v>200</v>
      </c>
      <c r="R83" s="8">
        <v>200.6</v>
      </c>
      <c r="S83" s="8">
        <v>399.9</v>
      </c>
      <c r="T83" s="8">
        <v>14</v>
      </c>
      <c r="U83" s="8">
        <v>2</v>
      </c>
      <c r="V83" s="8">
        <f t="shared" si="0"/>
        <v>28</v>
      </c>
      <c r="W83" s="12">
        <f t="shared" si="1"/>
        <v>5616.8</v>
      </c>
      <c r="Y83">
        <v>2</v>
      </c>
    </row>
    <row r="84" spans="1:25" ht="40" customHeight="1">
      <c r="A84" s="5" t="s">
        <v>466</v>
      </c>
      <c r="B84" s="6" t="s">
        <v>467</v>
      </c>
      <c r="C84" s="7">
        <v>118423</v>
      </c>
      <c r="D84" s="6" t="s">
        <v>147</v>
      </c>
      <c r="E84" s="7" t="s">
        <v>468</v>
      </c>
      <c r="F84" s="6"/>
      <c r="G84" s="6" t="s">
        <v>186</v>
      </c>
      <c r="H84" s="6" t="s">
        <v>215</v>
      </c>
      <c r="I84" s="6" t="s">
        <v>417</v>
      </c>
      <c r="J84" s="6" t="s">
        <v>469</v>
      </c>
      <c r="K84" s="6" t="s">
        <v>33</v>
      </c>
      <c r="L84" s="6" t="s">
        <v>190</v>
      </c>
      <c r="M84" s="6" t="s">
        <v>470</v>
      </c>
      <c r="N84" s="6" t="s">
        <v>419</v>
      </c>
      <c r="O84" s="6" t="s">
        <v>471</v>
      </c>
      <c r="P84" s="6"/>
      <c r="Q84" s="8">
        <v>150</v>
      </c>
      <c r="R84" s="8">
        <v>150.44999999999999</v>
      </c>
      <c r="S84" s="8">
        <v>299.89999999999998</v>
      </c>
      <c r="T84" s="8">
        <v>14</v>
      </c>
      <c r="U84" s="8"/>
      <c r="V84" s="8">
        <f t="shared" si="0"/>
        <v>0</v>
      </c>
      <c r="W84" s="12">
        <f t="shared" si="1"/>
        <v>0</v>
      </c>
      <c r="Y84">
        <v>0</v>
      </c>
    </row>
    <row r="85" spans="1:25" ht="40" customHeight="1">
      <c r="A85" s="5" t="s">
        <v>472</v>
      </c>
      <c r="B85" s="6" t="s">
        <v>473</v>
      </c>
      <c r="C85" s="6">
        <v>118423</v>
      </c>
      <c r="D85" s="6" t="s">
        <v>474</v>
      </c>
      <c r="E85" s="6" t="s">
        <v>475</v>
      </c>
      <c r="F85" s="6"/>
      <c r="G85" s="6" t="s">
        <v>186</v>
      </c>
      <c r="H85" s="6" t="s">
        <v>215</v>
      </c>
      <c r="I85" s="6" t="s">
        <v>417</v>
      </c>
      <c r="J85" s="6" t="s">
        <v>469</v>
      </c>
      <c r="K85" s="6" t="s">
        <v>476</v>
      </c>
      <c r="L85" s="6" t="s">
        <v>190</v>
      </c>
      <c r="M85" s="6" t="s">
        <v>470</v>
      </c>
      <c r="N85" s="6" t="s">
        <v>419</v>
      </c>
      <c r="O85" s="6" t="s">
        <v>471</v>
      </c>
      <c r="P85" s="6"/>
      <c r="Q85" s="8">
        <v>150</v>
      </c>
      <c r="R85" s="8">
        <v>150.44999999999999</v>
      </c>
      <c r="S85" s="8">
        <v>299.89999999999998</v>
      </c>
      <c r="T85" s="8">
        <v>14</v>
      </c>
      <c r="U85" s="8"/>
      <c r="V85" s="8">
        <f t="shared" si="0"/>
        <v>0</v>
      </c>
      <c r="W85" s="12">
        <f t="shared" si="1"/>
        <v>0</v>
      </c>
      <c r="Y85">
        <v>0</v>
      </c>
    </row>
    <row r="86" spans="1:25" ht="40" customHeight="1">
      <c r="A86" s="5" t="s">
        <v>477</v>
      </c>
      <c r="B86" s="6" t="s">
        <v>478</v>
      </c>
      <c r="C86" s="6">
        <v>118423</v>
      </c>
      <c r="D86" s="6" t="s">
        <v>479</v>
      </c>
      <c r="E86" s="6" t="s">
        <v>480</v>
      </c>
      <c r="F86" s="6"/>
      <c r="G86" s="6" t="s">
        <v>186</v>
      </c>
      <c r="H86" s="6" t="s">
        <v>215</v>
      </c>
      <c r="I86" s="6" t="s">
        <v>417</v>
      </c>
      <c r="J86" s="6" t="s">
        <v>469</v>
      </c>
      <c r="K86" s="6" t="s">
        <v>481</v>
      </c>
      <c r="L86" s="6" t="s">
        <v>190</v>
      </c>
      <c r="M86" s="6" t="s">
        <v>470</v>
      </c>
      <c r="N86" s="6" t="s">
        <v>419</v>
      </c>
      <c r="O86" s="6" t="s">
        <v>471</v>
      </c>
      <c r="P86" s="6"/>
      <c r="Q86" s="8">
        <v>150</v>
      </c>
      <c r="R86" s="8">
        <v>150.44999999999999</v>
      </c>
      <c r="S86" s="8">
        <v>299.89999999999998</v>
      </c>
      <c r="T86" s="8">
        <v>14</v>
      </c>
      <c r="U86" s="8"/>
      <c r="V86" s="8">
        <f t="shared" si="0"/>
        <v>0</v>
      </c>
      <c r="W86" s="12">
        <f t="shared" si="1"/>
        <v>0</v>
      </c>
      <c r="Y86">
        <v>0</v>
      </c>
    </row>
    <row r="87" spans="1:25" ht="40" customHeight="1">
      <c r="A87" s="5" t="s">
        <v>482</v>
      </c>
      <c r="B87" s="6" t="s">
        <v>483</v>
      </c>
      <c r="C87" s="6">
        <v>118423</v>
      </c>
      <c r="D87" s="6" t="s">
        <v>200</v>
      </c>
      <c r="E87" s="6" t="s">
        <v>484</v>
      </c>
      <c r="F87" s="6"/>
      <c r="G87" s="6" t="s">
        <v>186</v>
      </c>
      <c r="H87" s="6" t="s">
        <v>215</v>
      </c>
      <c r="I87" s="6" t="s">
        <v>417</v>
      </c>
      <c r="J87" s="6" t="s">
        <v>469</v>
      </c>
      <c r="K87" s="6" t="s">
        <v>485</v>
      </c>
      <c r="L87" s="6" t="s">
        <v>190</v>
      </c>
      <c r="M87" s="6" t="s">
        <v>470</v>
      </c>
      <c r="N87" s="6" t="s">
        <v>419</v>
      </c>
      <c r="O87" s="6" t="s">
        <v>471</v>
      </c>
      <c r="P87" s="6"/>
      <c r="Q87" s="8">
        <v>150</v>
      </c>
      <c r="R87" s="8">
        <v>150.44999999999999</v>
      </c>
      <c r="S87" s="8">
        <v>299.89999999999998</v>
      </c>
      <c r="T87" s="8">
        <v>14</v>
      </c>
      <c r="U87" s="8"/>
      <c r="V87" s="8">
        <f t="shared" si="0"/>
        <v>0</v>
      </c>
      <c r="W87" s="12">
        <f t="shared" si="1"/>
        <v>0</v>
      </c>
      <c r="Y87">
        <v>0</v>
      </c>
    </row>
    <row r="88" spans="1:25" ht="40" customHeight="1">
      <c r="A88" s="5" t="s">
        <v>486</v>
      </c>
      <c r="B88" s="8" t="s">
        <v>487</v>
      </c>
      <c r="C88" s="1" t="s">
        <v>488</v>
      </c>
      <c r="D88" s="6" t="s">
        <v>27</v>
      </c>
      <c r="E88" s="1" t="s">
        <v>489</v>
      </c>
      <c r="F88" s="6" t="s">
        <v>5</v>
      </c>
      <c r="G88" s="6" t="s">
        <v>186</v>
      </c>
      <c r="H88" s="6" t="s">
        <v>215</v>
      </c>
      <c r="I88" s="6" t="s">
        <v>417</v>
      </c>
      <c r="J88" s="6" t="s">
        <v>469</v>
      </c>
      <c r="K88" s="6" t="s">
        <v>83</v>
      </c>
      <c r="L88" s="6" t="s">
        <v>190</v>
      </c>
      <c r="M88" s="6" t="s">
        <v>470</v>
      </c>
      <c r="N88" s="6" t="s">
        <v>419</v>
      </c>
      <c r="O88" s="6" t="s">
        <v>471</v>
      </c>
      <c r="P88" s="6"/>
      <c r="Q88" s="8">
        <v>150</v>
      </c>
      <c r="R88" s="8">
        <v>150.44999999999999</v>
      </c>
      <c r="S88" s="8">
        <v>299.89999999999998</v>
      </c>
      <c r="T88" s="8">
        <v>14</v>
      </c>
      <c r="U88" s="8"/>
      <c r="V88" s="8">
        <f t="shared" si="0"/>
        <v>0</v>
      </c>
      <c r="W88" s="12">
        <f t="shared" si="1"/>
        <v>0</v>
      </c>
      <c r="Y88">
        <v>0</v>
      </c>
    </row>
    <row r="89" spans="1:25" ht="40" customHeight="1">
      <c r="A89" s="5" t="s">
        <v>490</v>
      </c>
      <c r="B89" s="8" t="s">
        <v>491</v>
      </c>
      <c r="C89" s="1" t="s">
        <v>488</v>
      </c>
      <c r="D89" s="6" t="s">
        <v>142</v>
      </c>
      <c r="E89" s="1" t="s">
        <v>492</v>
      </c>
      <c r="F89" s="6" t="s">
        <v>5</v>
      </c>
      <c r="G89" s="6" t="s">
        <v>186</v>
      </c>
      <c r="H89" s="6" t="s">
        <v>215</v>
      </c>
      <c r="I89" s="6" t="s">
        <v>417</v>
      </c>
      <c r="J89" s="6" t="s">
        <v>469</v>
      </c>
      <c r="K89" s="6" t="s">
        <v>425</v>
      </c>
      <c r="L89" s="6" t="s">
        <v>190</v>
      </c>
      <c r="M89" s="6" t="s">
        <v>470</v>
      </c>
      <c r="N89" s="6" t="s">
        <v>419</v>
      </c>
      <c r="O89" s="6" t="s">
        <v>471</v>
      </c>
      <c r="P89" s="6"/>
      <c r="Q89" s="8">
        <v>150</v>
      </c>
      <c r="R89" s="8">
        <v>150.44999999999999</v>
      </c>
      <c r="S89" s="8">
        <v>299.89999999999998</v>
      </c>
      <c r="T89" s="8">
        <v>14</v>
      </c>
      <c r="U89" s="8"/>
      <c r="V89" s="8">
        <f t="shared" si="0"/>
        <v>0</v>
      </c>
      <c r="W89" s="12">
        <f t="shared" si="1"/>
        <v>0</v>
      </c>
      <c r="Y89">
        <v>0</v>
      </c>
    </row>
    <row r="90" spans="1:25" ht="40" customHeight="1">
      <c r="A90" s="5" t="s">
        <v>493</v>
      </c>
      <c r="B90" s="6" t="s">
        <v>494</v>
      </c>
      <c r="C90" s="6">
        <v>118423</v>
      </c>
      <c r="D90" s="6" t="s">
        <v>126</v>
      </c>
      <c r="E90" s="6" t="s">
        <v>495</v>
      </c>
      <c r="F90" s="6"/>
      <c r="G90" s="6" t="s">
        <v>186</v>
      </c>
      <c r="H90" s="6" t="s">
        <v>215</v>
      </c>
      <c r="I90" s="6" t="s">
        <v>417</v>
      </c>
      <c r="J90" s="6" t="s">
        <v>469</v>
      </c>
      <c r="K90" s="6" t="s">
        <v>288</v>
      </c>
      <c r="L90" s="6" t="s">
        <v>190</v>
      </c>
      <c r="M90" s="6" t="s">
        <v>470</v>
      </c>
      <c r="N90" s="6" t="s">
        <v>419</v>
      </c>
      <c r="O90" s="6" t="s">
        <v>471</v>
      </c>
      <c r="P90" s="6"/>
      <c r="Q90" s="8">
        <v>150</v>
      </c>
      <c r="R90" s="8">
        <v>150.44999999999999</v>
      </c>
      <c r="S90" s="8">
        <v>299.89999999999998</v>
      </c>
      <c r="T90" s="8">
        <v>14</v>
      </c>
      <c r="U90" s="8"/>
      <c r="V90" s="8">
        <f t="shared" si="0"/>
        <v>0</v>
      </c>
      <c r="W90" s="12">
        <f t="shared" si="1"/>
        <v>0</v>
      </c>
      <c r="Y90">
        <v>0</v>
      </c>
    </row>
    <row r="91" spans="1:25" ht="40" customHeight="1">
      <c r="A91" s="5" t="s">
        <v>496</v>
      </c>
      <c r="B91" s="8" t="s">
        <v>497</v>
      </c>
      <c r="C91" s="8" t="s">
        <v>488</v>
      </c>
      <c r="D91" s="6" t="s">
        <v>89</v>
      </c>
      <c r="E91" s="8" t="s">
        <v>498</v>
      </c>
      <c r="F91" s="6" t="s">
        <v>5</v>
      </c>
      <c r="G91" s="6" t="s">
        <v>186</v>
      </c>
      <c r="H91" s="6" t="s">
        <v>215</v>
      </c>
      <c r="I91" s="6" t="s">
        <v>417</v>
      </c>
      <c r="J91" s="6" t="s">
        <v>469</v>
      </c>
      <c r="K91" s="6" t="s">
        <v>91</v>
      </c>
      <c r="L91" s="6" t="s">
        <v>190</v>
      </c>
      <c r="M91" s="6" t="s">
        <v>470</v>
      </c>
      <c r="N91" s="6" t="s">
        <v>419</v>
      </c>
      <c r="O91" s="6" t="s">
        <v>471</v>
      </c>
      <c r="P91" s="6"/>
      <c r="Q91" s="8">
        <v>150</v>
      </c>
      <c r="R91" s="8">
        <v>150.44999999999999</v>
      </c>
      <c r="S91" s="8">
        <v>299.89999999999998</v>
      </c>
      <c r="T91" s="8">
        <v>14</v>
      </c>
      <c r="U91" s="8"/>
      <c r="V91" s="8">
        <f t="shared" si="0"/>
        <v>0</v>
      </c>
      <c r="W91" s="12">
        <f t="shared" si="1"/>
        <v>0</v>
      </c>
      <c r="Y91">
        <v>0</v>
      </c>
    </row>
    <row r="92" spans="1:25" ht="40" customHeight="1">
      <c r="A92" s="5" t="s">
        <v>499</v>
      </c>
      <c r="B92" s="6" t="s">
        <v>500</v>
      </c>
      <c r="C92" s="6">
        <v>118424</v>
      </c>
      <c r="D92" s="6" t="s">
        <v>147</v>
      </c>
      <c r="E92" s="6" t="s">
        <v>501</v>
      </c>
      <c r="F92" s="6"/>
      <c r="G92" s="6" t="s">
        <v>186</v>
      </c>
      <c r="H92" s="6" t="s">
        <v>502</v>
      </c>
      <c r="I92" s="6" t="s">
        <v>417</v>
      </c>
      <c r="J92" s="6" t="s">
        <v>503</v>
      </c>
      <c r="K92" s="6" t="s">
        <v>261</v>
      </c>
      <c r="L92" s="6" t="s">
        <v>190</v>
      </c>
      <c r="M92" s="6" t="s">
        <v>504</v>
      </c>
      <c r="N92" s="6" t="s">
        <v>419</v>
      </c>
      <c r="O92" s="6" t="s">
        <v>471</v>
      </c>
      <c r="P92" s="6"/>
      <c r="Q92" s="8">
        <v>150</v>
      </c>
      <c r="R92" s="8">
        <v>150.44999999999999</v>
      </c>
      <c r="S92" s="8">
        <v>299.89999999999998</v>
      </c>
      <c r="T92" s="8">
        <v>14</v>
      </c>
      <c r="U92" s="8">
        <v>2</v>
      </c>
      <c r="V92" s="8">
        <f t="shared" si="0"/>
        <v>28</v>
      </c>
      <c r="W92" s="12">
        <f t="shared" si="1"/>
        <v>4212.6000000000004</v>
      </c>
      <c r="Y92">
        <v>2</v>
      </c>
    </row>
    <row r="93" spans="1:25" ht="40" customHeight="1">
      <c r="A93" s="5" t="s">
        <v>505</v>
      </c>
      <c r="B93" s="6" t="s">
        <v>506</v>
      </c>
      <c r="C93" s="6">
        <v>118424</v>
      </c>
      <c r="D93" s="6" t="s">
        <v>45</v>
      </c>
      <c r="E93" s="6" t="s">
        <v>507</v>
      </c>
      <c r="F93" s="6"/>
      <c r="G93" s="6" t="s">
        <v>186</v>
      </c>
      <c r="H93" s="6" t="s">
        <v>502</v>
      </c>
      <c r="I93" s="6" t="s">
        <v>417</v>
      </c>
      <c r="J93" s="6" t="s">
        <v>503</v>
      </c>
      <c r="K93" s="6" t="s">
        <v>508</v>
      </c>
      <c r="L93" s="6" t="s">
        <v>190</v>
      </c>
      <c r="M93" s="6" t="s">
        <v>504</v>
      </c>
      <c r="N93" s="6" t="s">
        <v>419</v>
      </c>
      <c r="O93" s="6" t="s">
        <v>471</v>
      </c>
      <c r="P93" s="6"/>
      <c r="Q93" s="8">
        <v>150</v>
      </c>
      <c r="R93" s="8">
        <v>150.44999999999999</v>
      </c>
      <c r="S93" s="8">
        <v>299.89999999999998</v>
      </c>
      <c r="T93" s="8">
        <v>14</v>
      </c>
      <c r="U93" s="8"/>
      <c r="V93" s="8">
        <f t="shared" si="0"/>
        <v>0</v>
      </c>
      <c r="W93" s="12">
        <f t="shared" si="1"/>
        <v>0</v>
      </c>
      <c r="Y93">
        <v>0</v>
      </c>
    </row>
    <row r="94" spans="1:25" ht="40" customHeight="1">
      <c r="A94" s="5" t="s">
        <v>509</v>
      </c>
      <c r="B94" s="6" t="s">
        <v>510</v>
      </c>
      <c r="C94" s="6">
        <v>118424</v>
      </c>
      <c r="D94" s="6" t="s">
        <v>126</v>
      </c>
      <c r="E94" s="6" t="s">
        <v>511</v>
      </c>
      <c r="F94" s="6"/>
      <c r="G94" s="6" t="s">
        <v>186</v>
      </c>
      <c r="H94" s="6" t="s">
        <v>502</v>
      </c>
      <c r="I94" s="6" t="s">
        <v>417</v>
      </c>
      <c r="J94" s="6" t="s">
        <v>503</v>
      </c>
      <c r="K94" s="6" t="s">
        <v>512</v>
      </c>
      <c r="L94" s="6" t="s">
        <v>190</v>
      </c>
      <c r="M94" s="6" t="s">
        <v>504</v>
      </c>
      <c r="N94" s="6" t="s">
        <v>419</v>
      </c>
      <c r="O94" s="6" t="s">
        <v>471</v>
      </c>
      <c r="P94" s="6"/>
      <c r="Q94" s="8">
        <v>150</v>
      </c>
      <c r="R94" s="8">
        <v>150.44999999999999</v>
      </c>
      <c r="S94" s="8">
        <v>299.89999999999998</v>
      </c>
      <c r="T94" s="8">
        <v>14</v>
      </c>
      <c r="U94" s="8">
        <v>2</v>
      </c>
      <c r="V94" s="8">
        <f t="shared" si="0"/>
        <v>28</v>
      </c>
      <c r="W94" s="12">
        <f t="shared" si="1"/>
        <v>4212.6000000000004</v>
      </c>
      <c r="Y94">
        <v>2</v>
      </c>
    </row>
    <row r="95" spans="1:25" ht="40" customHeight="1">
      <c r="A95" s="6" t="s">
        <v>513</v>
      </c>
      <c r="B95" s="6" t="s">
        <v>514</v>
      </c>
      <c r="C95" s="6">
        <v>118430</v>
      </c>
      <c r="D95" s="6" t="s">
        <v>27</v>
      </c>
      <c r="E95" s="6" t="s">
        <v>515</v>
      </c>
      <c r="F95" s="6"/>
      <c r="G95" s="6" t="s">
        <v>326</v>
      </c>
      <c r="H95" s="6" t="s">
        <v>516</v>
      </c>
      <c r="I95" s="6" t="s">
        <v>417</v>
      </c>
      <c r="J95" s="6" t="s">
        <v>517</v>
      </c>
      <c r="K95" s="6" t="s">
        <v>33</v>
      </c>
      <c r="L95" s="6" t="s">
        <v>234</v>
      </c>
      <c r="M95" s="6" t="s">
        <v>518</v>
      </c>
      <c r="N95" s="6" t="s">
        <v>419</v>
      </c>
      <c r="O95" s="6" t="s">
        <v>236</v>
      </c>
      <c r="P95" s="6"/>
      <c r="Q95" s="8">
        <v>140</v>
      </c>
      <c r="R95" s="8">
        <v>140.41999999999999</v>
      </c>
      <c r="S95" s="8">
        <v>279.89999999999998</v>
      </c>
      <c r="T95" s="8">
        <v>14</v>
      </c>
      <c r="U95" s="8"/>
      <c r="V95" s="8">
        <f t="shared" si="0"/>
        <v>0</v>
      </c>
      <c r="W95" s="12">
        <f t="shared" si="1"/>
        <v>0</v>
      </c>
      <c r="Y95">
        <v>0</v>
      </c>
    </row>
    <row r="96" spans="1:25" ht="40" customHeight="1">
      <c r="A96" s="5" t="s">
        <v>519</v>
      </c>
      <c r="B96" s="6" t="s">
        <v>520</v>
      </c>
      <c r="C96" s="6">
        <v>118430</v>
      </c>
      <c r="D96" s="6" t="s">
        <v>147</v>
      </c>
      <c r="E96" s="6" t="s">
        <v>521</v>
      </c>
      <c r="F96" s="6"/>
      <c r="G96" s="6" t="s">
        <v>326</v>
      </c>
      <c r="H96" s="6" t="s">
        <v>516</v>
      </c>
      <c r="I96" s="6" t="s">
        <v>417</v>
      </c>
      <c r="J96" s="6" t="s">
        <v>517</v>
      </c>
      <c r="K96" s="6" t="s">
        <v>33</v>
      </c>
      <c r="L96" s="6" t="s">
        <v>234</v>
      </c>
      <c r="M96" s="6" t="s">
        <v>518</v>
      </c>
      <c r="N96" s="6" t="s">
        <v>419</v>
      </c>
      <c r="O96" s="6" t="s">
        <v>236</v>
      </c>
      <c r="P96" s="6"/>
      <c r="Q96" s="8">
        <v>135</v>
      </c>
      <c r="R96" s="8">
        <v>135.405</v>
      </c>
      <c r="S96" s="8">
        <v>269.89999999999998</v>
      </c>
      <c r="T96" s="8">
        <v>14</v>
      </c>
      <c r="U96" s="8">
        <v>2</v>
      </c>
      <c r="V96" s="8">
        <f t="shared" si="0"/>
        <v>28</v>
      </c>
      <c r="W96" s="12">
        <f t="shared" si="1"/>
        <v>3791.34</v>
      </c>
      <c r="Y96">
        <v>2</v>
      </c>
    </row>
    <row r="97" spans="1:25" ht="40" customHeight="1">
      <c r="A97" s="5" t="s">
        <v>522</v>
      </c>
      <c r="B97" s="6" t="s">
        <v>523</v>
      </c>
      <c r="C97" s="6">
        <v>118430</v>
      </c>
      <c r="D97" s="6" t="s">
        <v>524</v>
      </c>
      <c r="E97" s="6" t="s">
        <v>525</v>
      </c>
      <c r="F97" s="6"/>
      <c r="G97" s="6" t="s">
        <v>326</v>
      </c>
      <c r="H97" s="6" t="s">
        <v>516</v>
      </c>
      <c r="I97" s="6" t="s">
        <v>417</v>
      </c>
      <c r="J97" s="6" t="s">
        <v>517</v>
      </c>
      <c r="K97" s="6" t="s">
        <v>526</v>
      </c>
      <c r="L97" s="6" t="s">
        <v>234</v>
      </c>
      <c r="M97" s="6" t="s">
        <v>518</v>
      </c>
      <c r="N97" s="6" t="s">
        <v>419</v>
      </c>
      <c r="O97" s="6" t="s">
        <v>236</v>
      </c>
      <c r="P97" s="6"/>
      <c r="Q97" s="8">
        <v>135</v>
      </c>
      <c r="R97" s="8">
        <v>135.405</v>
      </c>
      <c r="S97" s="8">
        <v>269.89999999999998</v>
      </c>
      <c r="T97" s="8">
        <v>14</v>
      </c>
      <c r="U97" s="8">
        <v>2</v>
      </c>
      <c r="V97" s="8">
        <f t="shared" si="0"/>
        <v>28</v>
      </c>
      <c r="W97" s="12">
        <f t="shared" si="1"/>
        <v>3791.34</v>
      </c>
      <c r="Y97">
        <v>2</v>
      </c>
    </row>
    <row r="98" spans="1:25" ht="40" customHeight="1">
      <c r="A98" s="5" t="s">
        <v>527</v>
      </c>
      <c r="B98" s="6" t="s">
        <v>528</v>
      </c>
      <c r="C98" s="6">
        <v>118430</v>
      </c>
      <c r="D98" s="6" t="s">
        <v>89</v>
      </c>
      <c r="E98" s="6" t="s">
        <v>529</v>
      </c>
      <c r="F98" s="6"/>
      <c r="G98" s="6" t="s">
        <v>326</v>
      </c>
      <c r="H98" s="6" t="s">
        <v>516</v>
      </c>
      <c r="I98" s="6" t="s">
        <v>417</v>
      </c>
      <c r="J98" s="6" t="s">
        <v>517</v>
      </c>
      <c r="K98" s="6" t="s">
        <v>530</v>
      </c>
      <c r="L98" s="6" t="s">
        <v>234</v>
      </c>
      <c r="M98" s="6" t="s">
        <v>518</v>
      </c>
      <c r="N98" s="6" t="s">
        <v>419</v>
      </c>
      <c r="O98" s="6" t="s">
        <v>236</v>
      </c>
      <c r="P98" s="6"/>
      <c r="Q98" s="8">
        <v>135</v>
      </c>
      <c r="R98" s="8">
        <v>135.405</v>
      </c>
      <c r="S98" s="8">
        <v>269.89999999999998</v>
      </c>
      <c r="T98" s="8">
        <v>14</v>
      </c>
      <c r="U98" s="8">
        <v>1</v>
      </c>
      <c r="V98" s="8">
        <f t="shared" si="0"/>
        <v>14</v>
      </c>
      <c r="W98" s="12">
        <f t="shared" si="1"/>
        <v>1895.67</v>
      </c>
      <c r="Y98">
        <v>1</v>
      </c>
    </row>
    <row r="99" spans="1:25" ht="40" customHeight="1">
      <c r="A99" s="5" t="s">
        <v>531</v>
      </c>
      <c r="B99" s="6" t="s">
        <v>532</v>
      </c>
      <c r="C99" s="6">
        <v>118431</v>
      </c>
      <c r="D99" s="6" t="s">
        <v>27</v>
      </c>
      <c r="E99" s="6" t="s">
        <v>533</v>
      </c>
      <c r="F99" s="6"/>
      <c r="G99" s="6" t="s">
        <v>326</v>
      </c>
      <c r="H99" s="6" t="s">
        <v>215</v>
      </c>
      <c r="I99" s="6" t="s">
        <v>417</v>
      </c>
      <c r="J99" s="6" t="s">
        <v>328</v>
      </c>
      <c r="K99" s="6" t="s">
        <v>33</v>
      </c>
      <c r="L99" s="6" t="s">
        <v>176</v>
      </c>
      <c r="M99" s="6" t="s">
        <v>534</v>
      </c>
      <c r="N99" s="6" t="s">
        <v>419</v>
      </c>
      <c r="O99" s="6" t="s">
        <v>330</v>
      </c>
      <c r="P99" s="6"/>
      <c r="Q99" s="8">
        <v>150</v>
      </c>
      <c r="R99" s="8">
        <v>150.44999999999999</v>
      </c>
      <c r="S99" s="8">
        <v>299.89999999999998</v>
      </c>
      <c r="T99" s="8">
        <v>14</v>
      </c>
      <c r="U99" s="8">
        <v>2</v>
      </c>
      <c r="V99" s="8">
        <f t="shared" si="0"/>
        <v>28</v>
      </c>
      <c r="W99" s="12">
        <f t="shared" si="1"/>
        <v>4212.6000000000004</v>
      </c>
      <c r="Y99">
        <v>2</v>
      </c>
    </row>
    <row r="100" spans="1:25" ht="40" customHeight="1">
      <c r="A100" s="5" t="s">
        <v>535</v>
      </c>
      <c r="B100" s="6" t="s">
        <v>536</v>
      </c>
      <c r="C100" s="6">
        <v>118431</v>
      </c>
      <c r="D100" s="6" t="s">
        <v>147</v>
      </c>
      <c r="E100" s="6" t="s">
        <v>537</v>
      </c>
      <c r="F100" s="6"/>
      <c r="G100" s="6" t="s">
        <v>326</v>
      </c>
      <c r="H100" s="6" t="s">
        <v>215</v>
      </c>
      <c r="I100" s="6" t="s">
        <v>417</v>
      </c>
      <c r="J100" s="6" t="s">
        <v>328</v>
      </c>
      <c r="K100" s="6" t="s">
        <v>33</v>
      </c>
      <c r="L100" s="6" t="s">
        <v>176</v>
      </c>
      <c r="M100" s="6" t="s">
        <v>534</v>
      </c>
      <c r="N100" s="6" t="s">
        <v>419</v>
      </c>
      <c r="O100" s="6" t="s">
        <v>330</v>
      </c>
      <c r="P100" s="6"/>
      <c r="Q100" s="8">
        <v>150</v>
      </c>
      <c r="R100" s="8">
        <v>150.44999999999999</v>
      </c>
      <c r="S100" s="8">
        <v>299.89999999999998</v>
      </c>
      <c r="T100" s="8">
        <v>14</v>
      </c>
      <c r="U100" s="8">
        <v>2</v>
      </c>
      <c r="V100" s="8">
        <f t="shared" si="0"/>
        <v>28</v>
      </c>
      <c r="W100" s="12">
        <f t="shared" si="1"/>
        <v>4212.6000000000004</v>
      </c>
      <c r="Y100">
        <v>2</v>
      </c>
    </row>
    <row r="101" spans="1:25" ht="40" customHeight="1">
      <c r="A101" s="5" t="s">
        <v>538</v>
      </c>
      <c r="B101" s="6" t="s">
        <v>539</v>
      </c>
      <c r="C101" s="6">
        <v>118431</v>
      </c>
      <c r="D101" s="6" t="s">
        <v>540</v>
      </c>
      <c r="E101" s="6" t="s">
        <v>541</v>
      </c>
      <c r="F101" s="6"/>
      <c r="G101" s="6" t="s">
        <v>326</v>
      </c>
      <c r="H101" s="6" t="s">
        <v>215</v>
      </c>
      <c r="I101" s="6" t="s">
        <v>417</v>
      </c>
      <c r="J101" s="6" t="s">
        <v>328</v>
      </c>
      <c r="K101" s="6" t="s">
        <v>542</v>
      </c>
      <c r="L101" s="6" t="s">
        <v>176</v>
      </c>
      <c r="M101" s="6" t="s">
        <v>534</v>
      </c>
      <c r="N101" s="6" t="s">
        <v>419</v>
      </c>
      <c r="O101" s="6" t="s">
        <v>330</v>
      </c>
      <c r="P101" s="6"/>
      <c r="Q101" s="8">
        <v>150</v>
      </c>
      <c r="R101" s="8">
        <v>150.44999999999999</v>
      </c>
      <c r="S101" s="8">
        <v>299.89999999999998</v>
      </c>
      <c r="T101" s="8">
        <v>14</v>
      </c>
      <c r="U101" s="8">
        <v>2</v>
      </c>
      <c r="V101" s="8">
        <f t="shared" si="0"/>
        <v>28</v>
      </c>
      <c r="W101" s="12">
        <f t="shared" si="1"/>
        <v>4212.6000000000004</v>
      </c>
      <c r="Y101">
        <v>2</v>
      </c>
    </row>
    <row r="102" spans="1:25" ht="40" customHeight="1">
      <c r="A102" s="5" t="s">
        <v>543</v>
      </c>
      <c r="B102" s="6" t="s">
        <v>544</v>
      </c>
      <c r="C102" s="6">
        <v>118432</v>
      </c>
      <c r="D102" s="6" t="s">
        <v>27</v>
      </c>
      <c r="E102" s="6" t="s">
        <v>545</v>
      </c>
      <c r="F102" s="6"/>
      <c r="G102" s="6" t="s">
        <v>326</v>
      </c>
      <c r="H102" s="6" t="s">
        <v>546</v>
      </c>
      <c r="I102" s="6" t="s">
        <v>417</v>
      </c>
      <c r="J102" s="6" t="s">
        <v>547</v>
      </c>
      <c r="K102" s="6" t="s">
        <v>365</v>
      </c>
      <c r="L102" s="6" t="s">
        <v>54</v>
      </c>
      <c r="M102" s="6" t="s">
        <v>54</v>
      </c>
      <c r="N102" s="6" t="s">
        <v>419</v>
      </c>
      <c r="O102" s="6" t="s">
        <v>548</v>
      </c>
      <c r="P102" s="6"/>
      <c r="Q102" s="8">
        <v>150</v>
      </c>
      <c r="R102" s="8">
        <v>150.44999999999999</v>
      </c>
      <c r="S102" s="8">
        <v>299.89999999999998</v>
      </c>
      <c r="T102" s="8">
        <v>14</v>
      </c>
      <c r="U102" s="8"/>
      <c r="V102" s="8">
        <f t="shared" si="0"/>
        <v>0</v>
      </c>
      <c r="W102" s="12">
        <f t="shared" si="1"/>
        <v>0</v>
      </c>
      <c r="Y102">
        <v>0</v>
      </c>
    </row>
    <row r="103" spans="1:25" ht="40" customHeight="1">
      <c r="A103" s="5" t="s">
        <v>549</v>
      </c>
      <c r="B103" s="6" t="s">
        <v>550</v>
      </c>
      <c r="C103" s="6">
        <v>118432</v>
      </c>
      <c r="D103" s="6" t="s">
        <v>551</v>
      </c>
      <c r="E103" s="6" t="s">
        <v>552</v>
      </c>
      <c r="F103" s="6"/>
      <c r="G103" s="6" t="s">
        <v>326</v>
      </c>
      <c r="H103" s="6" t="s">
        <v>546</v>
      </c>
      <c r="I103" s="6" t="s">
        <v>417</v>
      </c>
      <c r="J103" s="6" t="s">
        <v>547</v>
      </c>
      <c r="K103" s="6" t="s">
        <v>553</v>
      </c>
      <c r="L103" s="6" t="s">
        <v>54</v>
      </c>
      <c r="M103" s="6" t="s">
        <v>54</v>
      </c>
      <c r="N103" s="6" t="s">
        <v>419</v>
      </c>
      <c r="O103" s="6" t="s">
        <v>548</v>
      </c>
      <c r="P103" s="6"/>
      <c r="Q103" s="8">
        <v>150</v>
      </c>
      <c r="R103" s="8">
        <v>150.44999999999999</v>
      </c>
      <c r="S103" s="8">
        <v>299.89999999999998</v>
      </c>
      <c r="T103" s="8">
        <v>14</v>
      </c>
      <c r="U103" s="8">
        <v>2</v>
      </c>
      <c r="V103" s="8">
        <f t="shared" si="0"/>
        <v>28</v>
      </c>
      <c r="W103" s="12">
        <f t="shared" si="1"/>
        <v>4212.6000000000004</v>
      </c>
      <c r="Y103">
        <v>2</v>
      </c>
    </row>
    <row r="104" spans="1:25" ht="40" customHeight="1">
      <c r="A104" s="5" t="s">
        <v>554</v>
      </c>
      <c r="B104" s="6" t="s">
        <v>555</v>
      </c>
      <c r="C104" s="6">
        <v>118433</v>
      </c>
      <c r="D104" s="6" t="s">
        <v>147</v>
      </c>
      <c r="E104" s="6" t="s">
        <v>556</v>
      </c>
      <c r="F104" s="6"/>
      <c r="G104" s="6" t="s">
        <v>326</v>
      </c>
      <c r="H104" s="6" t="s">
        <v>557</v>
      </c>
      <c r="I104" s="6" t="s">
        <v>417</v>
      </c>
      <c r="J104" s="6" t="s">
        <v>558</v>
      </c>
      <c r="K104" s="6" t="s">
        <v>365</v>
      </c>
      <c r="L104" s="6" t="s">
        <v>54</v>
      </c>
      <c r="M104" s="6" t="s">
        <v>54</v>
      </c>
      <c r="N104" s="6" t="s">
        <v>419</v>
      </c>
      <c r="O104" s="6" t="s">
        <v>366</v>
      </c>
      <c r="P104" s="6"/>
      <c r="Q104" s="8">
        <v>135</v>
      </c>
      <c r="R104" s="8">
        <v>135.405</v>
      </c>
      <c r="S104" s="8">
        <v>269.89999999999998</v>
      </c>
      <c r="T104" s="8">
        <v>14</v>
      </c>
      <c r="U104" s="8"/>
      <c r="V104" s="8">
        <f t="shared" si="0"/>
        <v>0</v>
      </c>
      <c r="W104" s="12">
        <f t="shared" si="1"/>
        <v>0</v>
      </c>
      <c r="Y104">
        <v>0</v>
      </c>
    </row>
    <row r="105" spans="1:25" ht="40" customHeight="1">
      <c r="A105" s="5" t="s">
        <v>559</v>
      </c>
      <c r="B105" s="6" t="s">
        <v>560</v>
      </c>
      <c r="C105" s="6">
        <v>118433</v>
      </c>
      <c r="D105" s="6" t="s">
        <v>561</v>
      </c>
      <c r="E105" s="6" t="s">
        <v>562</v>
      </c>
      <c r="F105" s="6"/>
      <c r="G105" s="6" t="s">
        <v>326</v>
      </c>
      <c r="H105" s="6" t="s">
        <v>557</v>
      </c>
      <c r="I105" s="6" t="s">
        <v>417</v>
      </c>
      <c r="J105" s="6" t="s">
        <v>558</v>
      </c>
      <c r="K105" s="6" t="s">
        <v>563</v>
      </c>
      <c r="L105" s="6" t="s">
        <v>54</v>
      </c>
      <c r="M105" s="6" t="s">
        <v>54</v>
      </c>
      <c r="N105" s="6" t="s">
        <v>419</v>
      </c>
      <c r="O105" s="6" t="s">
        <v>366</v>
      </c>
      <c r="P105" s="6"/>
      <c r="Q105" s="8">
        <v>135</v>
      </c>
      <c r="R105" s="8">
        <v>135.405</v>
      </c>
      <c r="S105" s="8">
        <v>269.89999999999998</v>
      </c>
      <c r="T105" s="8">
        <v>14</v>
      </c>
      <c r="U105" s="8"/>
      <c r="V105" s="8">
        <f t="shared" si="0"/>
        <v>0</v>
      </c>
      <c r="W105" s="12">
        <f t="shared" si="1"/>
        <v>0</v>
      </c>
      <c r="Y105">
        <v>0</v>
      </c>
    </row>
    <row r="106" spans="1:25" ht="40" customHeight="1">
      <c r="A106" s="5" t="s">
        <v>564</v>
      </c>
      <c r="B106" s="6" t="s">
        <v>565</v>
      </c>
      <c r="C106" s="6">
        <v>118451</v>
      </c>
      <c r="D106" s="6" t="s">
        <v>27</v>
      </c>
      <c r="E106" s="6" t="s">
        <v>566</v>
      </c>
      <c r="F106" s="6"/>
      <c r="G106" s="6" t="s">
        <v>382</v>
      </c>
      <c r="H106" s="6" t="s">
        <v>567</v>
      </c>
      <c r="I106" s="6" t="s">
        <v>417</v>
      </c>
      <c r="J106" s="6" t="s">
        <v>403</v>
      </c>
      <c r="K106" s="6" t="s">
        <v>33</v>
      </c>
      <c r="L106" s="6" t="s">
        <v>54</v>
      </c>
      <c r="M106" s="6" t="s">
        <v>54</v>
      </c>
      <c r="N106" s="6" t="s">
        <v>419</v>
      </c>
      <c r="O106" s="6" t="s">
        <v>404</v>
      </c>
      <c r="P106" s="6"/>
      <c r="Q106" s="8">
        <v>165</v>
      </c>
      <c r="R106" s="8">
        <v>165.495</v>
      </c>
      <c r="S106" s="8">
        <v>329.9</v>
      </c>
      <c r="T106" s="8">
        <v>14</v>
      </c>
      <c r="U106" s="8">
        <v>1</v>
      </c>
      <c r="V106" s="8">
        <f t="shared" si="0"/>
        <v>14</v>
      </c>
      <c r="W106" s="12">
        <f t="shared" si="1"/>
        <v>2316.9299999999998</v>
      </c>
      <c r="Y106">
        <v>1</v>
      </c>
    </row>
    <row r="107" spans="1:25" ht="40" customHeight="1">
      <c r="A107" s="5" t="s">
        <v>568</v>
      </c>
      <c r="B107" s="6" t="s">
        <v>569</v>
      </c>
      <c r="C107" s="6">
        <v>118451</v>
      </c>
      <c r="D107" s="6" t="s">
        <v>142</v>
      </c>
      <c r="E107" s="6" t="s">
        <v>570</v>
      </c>
      <c r="F107" s="6"/>
      <c r="G107" s="6" t="s">
        <v>382</v>
      </c>
      <c r="H107" s="6" t="s">
        <v>567</v>
      </c>
      <c r="I107" s="6" t="s">
        <v>417</v>
      </c>
      <c r="J107" s="6" t="s">
        <v>403</v>
      </c>
      <c r="K107" s="6" t="s">
        <v>144</v>
      </c>
      <c r="L107" s="6" t="s">
        <v>54</v>
      </c>
      <c r="M107" s="6" t="s">
        <v>54</v>
      </c>
      <c r="N107" s="6" t="s">
        <v>419</v>
      </c>
      <c r="O107" s="6" t="s">
        <v>404</v>
      </c>
      <c r="P107" s="6"/>
      <c r="Q107" s="8">
        <v>165</v>
      </c>
      <c r="R107" s="8">
        <v>165.495</v>
      </c>
      <c r="S107" s="8">
        <v>329.9</v>
      </c>
      <c r="T107" s="8">
        <v>14</v>
      </c>
      <c r="U107" s="8">
        <v>1</v>
      </c>
      <c r="V107" s="8">
        <f t="shared" si="0"/>
        <v>14</v>
      </c>
      <c r="W107" s="12">
        <f t="shared" si="1"/>
        <v>2316.9299999999998</v>
      </c>
      <c r="Y107">
        <v>1</v>
      </c>
    </row>
    <row r="108" spans="1:25" ht="40" customHeight="1">
      <c r="A108" s="6" t="s">
        <v>571</v>
      </c>
      <c r="B108" s="6" t="s">
        <v>572</v>
      </c>
      <c r="C108" s="6">
        <v>125144</v>
      </c>
      <c r="D108" s="6" t="s">
        <v>27</v>
      </c>
      <c r="E108" s="6" t="s">
        <v>573</v>
      </c>
      <c r="F108" s="6"/>
      <c r="G108" s="6" t="s">
        <v>574</v>
      </c>
      <c r="H108" s="6" t="s">
        <v>575</v>
      </c>
      <c r="I108" s="6" t="s">
        <v>31</v>
      </c>
      <c r="J108" s="6" t="s">
        <v>576</v>
      </c>
      <c r="K108" s="6" t="s">
        <v>577</v>
      </c>
      <c r="L108" s="6" t="s">
        <v>578</v>
      </c>
      <c r="M108" s="6" t="s">
        <v>579</v>
      </c>
      <c r="N108" s="6" t="s">
        <v>580</v>
      </c>
      <c r="O108" s="6" t="s">
        <v>581</v>
      </c>
      <c r="P108" s="6"/>
      <c r="Q108" s="8">
        <v>200</v>
      </c>
      <c r="R108" s="8">
        <v>200.6</v>
      </c>
      <c r="S108" s="8">
        <v>399.9</v>
      </c>
      <c r="T108" s="8">
        <v>14</v>
      </c>
      <c r="U108" s="8"/>
      <c r="V108" s="8">
        <v>0</v>
      </c>
      <c r="W108" s="12">
        <v>0</v>
      </c>
      <c r="Y108">
        <v>0</v>
      </c>
    </row>
    <row r="109" spans="1:25" ht="40" customHeight="1">
      <c r="A109" s="6" t="s">
        <v>582</v>
      </c>
      <c r="B109" s="6" t="s">
        <v>583</v>
      </c>
      <c r="C109" s="6">
        <v>125144</v>
      </c>
      <c r="D109" s="6" t="s">
        <v>410</v>
      </c>
      <c r="E109" s="6" t="s">
        <v>584</v>
      </c>
      <c r="F109" s="6"/>
      <c r="G109" s="6" t="s">
        <v>574</v>
      </c>
      <c r="H109" s="6" t="s">
        <v>575</v>
      </c>
      <c r="I109" s="6" t="s">
        <v>31</v>
      </c>
      <c r="J109" s="6" t="s">
        <v>576</v>
      </c>
      <c r="K109" s="6" t="s">
        <v>585</v>
      </c>
      <c r="L109" s="6" t="s">
        <v>578</v>
      </c>
      <c r="M109" s="6" t="s">
        <v>579</v>
      </c>
      <c r="N109" s="6" t="s">
        <v>580</v>
      </c>
      <c r="O109" s="6" t="s">
        <v>581</v>
      </c>
      <c r="P109" s="6"/>
      <c r="Q109" s="8">
        <v>200</v>
      </c>
      <c r="R109" s="8">
        <v>200.6</v>
      </c>
      <c r="S109" s="8">
        <v>399.9</v>
      </c>
      <c r="T109" s="8">
        <v>14</v>
      </c>
      <c r="U109" s="8"/>
      <c r="V109" s="8">
        <v>0</v>
      </c>
      <c r="W109" s="12">
        <v>0</v>
      </c>
      <c r="X109">
        <f>VLOOKUP(E109,[1]Sheet2!$A:$C,3,FALSE)</f>
        <v>1</v>
      </c>
      <c r="Y109">
        <v>1</v>
      </c>
    </row>
    <row r="110" spans="1:25" ht="40" customHeight="1">
      <c r="A110" s="6" t="s">
        <v>586</v>
      </c>
      <c r="B110" s="6" t="s">
        <v>587</v>
      </c>
      <c r="C110" s="6">
        <v>125342</v>
      </c>
      <c r="D110" s="6" t="s">
        <v>27</v>
      </c>
      <c r="E110" s="6" t="s">
        <v>588</v>
      </c>
      <c r="F110" s="6"/>
      <c r="G110" s="6" t="s">
        <v>589</v>
      </c>
      <c r="H110" s="6" t="s">
        <v>590</v>
      </c>
      <c r="I110" s="6" t="s">
        <v>31</v>
      </c>
      <c r="J110" s="6" t="s">
        <v>591</v>
      </c>
      <c r="K110" s="6" t="s">
        <v>577</v>
      </c>
      <c r="L110" s="6" t="s">
        <v>592</v>
      </c>
      <c r="M110" s="6" t="s">
        <v>593</v>
      </c>
      <c r="N110" s="6" t="s">
        <v>580</v>
      </c>
      <c r="O110" s="6" t="s">
        <v>594</v>
      </c>
      <c r="P110" s="6"/>
      <c r="Q110" s="8">
        <v>185</v>
      </c>
      <c r="R110" s="8">
        <v>185.55500000000001</v>
      </c>
      <c r="S110" s="8">
        <v>369.9</v>
      </c>
      <c r="T110" s="8">
        <v>14</v>
      </c>
      <c r="U110" s="8"/>
      <c r="V110" s="8">
        <v>0</v>
      </c>
      <c r="W110" s="12">
        <v>0</v>
      </c>
      <c r="Y110">
        <v>0</v>
      </c>
    </row>
    <row r="111" spans="1:25" ht="40" customHeight="1">
      <c r="A111" s="6" t="s">
        <v>595</v>
      </c>
      <c r="B111" s="6" t="s">
        <v>596</v>
      </c>
      <c r="C111" s="6">
        <v>125342</v>
      </c>
      <c r="D111" s="6" t="s">
        <v>64</v>
      </c>
      <c r="E111" s="6" t="s">
        <v>597</v>
      </c>
      <c r="F111" s="6"/>
      <c r="G111" s="6" t="s">
        <v>589</v>
      </c>
      <c r="H111" s="6" t="s">
        <v>590</v>
      </c>
      <c r="I111" s="6" t="s">
        <v>31</v>
      </c>
      <c r="J111" s="6" t="s">
        <v>591</v>
      </c>
      <c r="K111" s="6" t="s">
        <v>598</v>
      </c>
      <c r="L111" s="6" t="s">
        <v>592</v>
      </c>
      <c r="M111" s="6" t="s">
        <v>593</v>
      </c>
      <c r="N111" s="6" t="s">
        <v>580</v>
      </c>
      <c r="O111" s="6" t="s">
        <v>594</v>
      </c>
      <c r="P111" s="6"/>
      <c r="Q111" s="8">
        <v>185</v>
      </c>
      <c r="R111" s="8">
        <v>185.55500000000001</v>
      </c>
      <c r="S111" s="8">
        <v>369.9</v>
      </c>
      <c r="T111" s="8">
        <v>14</v>
      </c>
      <c r="U111" s="8"/>
      <c r="V111" s="8">
        <v>0</v>
      </c>
      <c r="W111" s="12">
        <v>0</v>
      </c>
      <c r="Y111">
        <v>0</v>
      </c>
    </row>
    <row r="112" spans="1:25" ht="40" customHeight="1">
      <c r="A112" s="6" t="s">
        <v>599</v>
      </c>
      <c r="B112" s="6" t="s">
        <v>600</v>
      </c>
      <c r="C112" s="6">
        <v>125342</v>
      </c>
      <c r="D112" s="6" t="s">
        <v>279</v>
      </c>
      <c r="E112" s="6" t="s">
        <v>601</v>
      </c>
      <c r="F112" s="6"/>
      <c r="G112" s="6" t="s">
        <v>589</v>
      </c>
      <c r="H112" s="6" t="s">
        <v>590</v>
      </c>
      <c r="I112" s="6" t="s">
        <v>31</v>
      </c>
      <c r="J112" s="6" t="s">
        <v>591</v>
      </c>
      <c r="K112" s="6" t="s">
        <v>602</v>
      </c>
      <c r="L112" s="6" t="s">
        <v>592</v>
      </c>
      <c r="M112" s="6" t="s">
        <v>593</v>
      </c>
      <c r="N112" s="6" t="s">
        <v>580</v>
      </c>
      <c r="O112" s="6" t="s">
        <v>594</v>
      </c>
      <c r="P112" s="6"/>
      <c r="Q112" s="8">
        <v>185</v>
      </c>
      <c r="R112" s="8">
        <v>185.55500000000001</v>
      </c>
      <c r="S112" s="8">
        <v>369.9</v>
      </c>
      <c r="T112" s="8">
        <v>14</v>
      </c>
      <c r="U112" s="8"/>
      <c r="V112" s="8">
        <v>0</v>
      </c>
      <c r="W112" s="12">
        <v>0</v>
      </c>
      <c r="Y112">
        <v>0</v>
      </c>
    </row>
    <row r="113" spans="1:25" ht="40" customHeight="1">
      <c r="A113" s="6" t="s">
        <v>603</v>
      </c>
      <c r="B113" s="6" t="s">
        <v>604</v>
      </c>
      <c r="C113" s="6">
        <v>125342</v>
      </c>
      <c r="D113" s="6" t="s">
        <v>605</v>
      </c>
      <c r="E113" s="6" t="s">
        <v>606</v>
      </c>
      <c r="F113" s="6"/>
      <c r="G113" s="6" t="s">
        <v>589</v>
      </c>
      <c r="H113" s="6" t="s">
        <v>590</v>
      </c>
      <c r="I113" s="6" t="s">
        <v>31</v>
      </c>
      <c r="J113" s="6" t="s">
        <v>591</v>
      </c>
      <c r="K113" s="8"/>
      <c r="L113" s="8"/>
      <c r="M113" s="8"/>
      <c r="N113" s="8"/>
      <c r="O113" s="8"/>
      <c r="P113" s="8"/>
      <c r="Q113" s="8">
        <v>185</v>
      </c>
      <c r="R113" s="8">
        <v>185.55500000000001</v>
      </c>
      <c r="S113" s="8">
        <v>369.9</v>
      </c>
      <c r="T113" s="8">
        <v>14</v>
      </c>
      <c r="U113" s="8"/>
      <c r="V113" s="8">
        <v>0</v>
      </c>
      <c r="W113" s="12">
        <v>0</v>
      </c>
      <c r="Y113">
        <v>0</v>
      </c>
    </row>
    <row r="114" spans="1:25" ht="40" customHeight="1">
      <c r="A114" s="6" t="s">
        <v>607</v>
      </c>
      <c r="B114" s="6" t="s">
        <v>608</v>
      </c>
      <c r="C114" s="6">
        <v>125342</v>
      </c>
      <c r="D114" s="6" t="s">
        <v>609</v>
      </c>
      <c r="E114" s="6" t="s">
        <v>610</v>
      </c>
      <c r="F114" s="6"/>
      <c r="G114" s="6" t="s">
        <v>589</v>
      </c>
      <c r="H114" s="6" t="s">
        <v>590</v>
      </c>
      <c r="I114" s="6" t="s">
        <v>31</v>
      </c>
      <c r="J114" s="6" t="s">
        <v>591</v>
      </c>
      <c r="K114" s="6" t="s">
        <v>611</v>
      </c>
      <c r="L114" s="6" t="s">
        <v>592</v>
      </c>
      <c r="M114" s="6" t="s">
        <v>593</v>
      </c>
      <c r="N114" s="6" t="s">
        <v>580</v>
      </c>
      <c r="O114" s="6" t="s">
        <v>594</v>
      </c>
      <c r="P114" s="6"/>
      <c r="Q114" s="8">
        <v>185</v>
      </c>
      <c r="R114" s="8">
        <v>185.55500000000001</v>
      </c>
      <c r="S114" s="8">
        <v>369.9</v>
      </c>
      <c r="T114" s="8">
        <v>14</v>
      </c>
      <c r="U114" s="8"/>
      <c r="V114" s="8">
        <v>0</v>
      </c>
      <c r="W114" s="12">
        <v>0</v>
      </c>
      <c r="Y114">
        <v>0</v>
      </c>
    </row>
    <row r="115" spans="1:25" ht="40" customHeight="1">
      <c r="A115" s="6" t="s">
        <v>612</v>
      </c>
      <c r="B115" s="6" t="s">
        <v>613</v>
      </c>
      <c r="C115" s="6">
        <v>125346</v>
      </c>
      <c r="D115" s="6" t="s">
        <v>27</v>
      </c>
      <c r="E115" s="6" t="s">
        <v>614</v>
      </c>
      <c r="F115" s="6"/>
      <c r="G115" s="6" t="s">
        <v>589</v>
      </c>
      <c r="H115" s="6" t="s">
        <v>615</v>
      </c>
      <c r="I115" s="6" t="s">
        <v>31</v>
      </c>
      <c r="J115" s="6" t="s">
        <v>616</v>
      </c>
      <c r="K115" s="6" t="s">
        <v>577</v>
      </c>
      <c r="L115" s="6" t="s">
        <v>617</v>
      </c>
      <c r="M115" s="6" t="s">
        <v>618</v>
      </c>
      <c r="N115" s="6" t="s">
        <v>580</v>
      </c>
      <c r="O115" s="6" t="s">
        <v>619</v>
      </c>
      <c r="P115" s="6"/>
      <c r="Q115" s="8">
        <v>160</v>
      </c>
      <c r="R115" s="8">
        <v>160.47999999999999</v>
      </c>
      <c r="S115" s="8">
        <v>319.89999999999998</v>
      </c>
      <c r="T115" s="8">
        <v>14</v>
      </c>
      <c r="U115" s="8"/>
      <c r="V115" s="8">
        <v>0</v>
      </c>
      <c r="W115" s="12">
        <v>0</v>
      </c>
      <c r="Y115">
        <v>0</v>
      </c>
    </row>
    <row r="116" spans="1:25" ht="40" customHeight="1">
      <c r="A116" s="6" t="s">
        <v>620</v>
      </c>
      <c r="B116" s="8" t="s">
        <v>621</v>
      </c>
      <c r="C116" s="1" t="s">
        <v>622</v>
      </c>
      <c r="D116" s="6" t="s">
        <v>623</v>
      </c>
      <c r="E116" s="1" t="s">
        <v>624</v>
      </c>
      <c r="F116" s="6" t="s">
        <v>5</v>
      </c>
      <c r="G116" s="6" t="s">
        <v>589</v>
      </c>
      <c r="H116" s="6" t="s">
        <v>615</v>
      </c>
      <c r="I116" s="6" t="s">
        <v>31</v>
      </c>
      <c r="J116" s="6" t="s">
        <v>616</v>
      </c>
      <c r="K116" s="6" t="s">
        <v>625</v>
      </c>
      <c r="L116" s="6" t="s">
        <v>617</v>
      </c>
      <c r="M116" s="6" t="s">
        <v>618</v>
      </c>
      <c r="N116" s="6" t="s">
        <v>580</v>
      </c>
      <c r="O116" s="6" t="s">
        <v>619</v>
      </c>
      <c r="P116" s="6"/>
      <c r="Q116" s="8">
        <v>160</v>
      </c>
      <c r="R116" s="8">
        <v>160.47999999999999</v>
      </c>
      <c r="S116" s="8">
        <v>319.89999999999998</v>
      </c>
      <c r="T116" s="8">
        <v>14</v>
      </c>
      <c r="U116" s="8"/>
      <c r="V116" s="8">
        <v>0</v>
      </c>
      <c r="W116" s="12">
        <v>0</v>
      </c>
      <c r="X116">
        <f>VLOOKUP(E116,[1]Sheet2!$A:$C,3,FALSE)</f>
        <v>1</v>
      </c>
      <c r="Y116">
        <v>1</v>
      </c>
    </row>
    <row r="117" spans="1:25" ht="40" customHeight="1">
      <c r="A117" s="6" t="s">
        <v>626</v>
      </c>
      <c r="B117" s="6" t="s">
        <v>627</v>
      </c>
      <c r="C117" s="7">
        <v>125346</v>
      </c>
      <c r="D117" s="6" t="s">
        <v>628</v>
      </c>
      <c r="E117" s="7" t="s">
        <v>629</v>
      </c>
      <c r="F117" s="6"/>
      <c r="G117" s="6" t="s">
        <v>589</v>
      </c>
      <c r="H117" s="6" t="s">
        <v>615</v>
      </c>
      <c r="I117" s="6" t="s">
        <v>31</v>
      </c>
      <c r="J117" s="6" t="s">
        <v>616</v>
      </c>
      <c r="K117" s="6" t="s">
        <v>630</v>
      </c>
      <c r="L117" s="6" t="s">
        <v>617</v>
      </c>
      <c r="M117" s="6" t="s">
        <v>618</v>
      </c>
      <c r="N117" s="6" t="s">
        <v>580</v>
      </c>
      <c r="O117" s="6" t="s">
        <v>619</v>
      </c>
      <c r="P117" s="6"/>
      <c r="Q117" s="8">
        <v>160</v>
      </c>
      <c r="R117" s="8">
        <v>160.47999999999999</v>
      </c>
      <c r="S117" s="8">
        <v>319.89999999999998</v>
      </c>
      <c r="T117" s="8">
        <v>14</v>
      </c>
      <c r="U117" s="8"/>
      <c r="V117" s="8">
        <v>0</v>
      </c>
      <c r="W117" s="12">
        <v>0</v>
      </c>
      <c r="Y117">
        <v>0</v>
      </c>
    </row>
    <row r="118" spans="1:25" ht="40" customHeight="1">
      <c r="A118" s="6" t="s">
        <v>631</v>
      </c>
      <c r="B118" s="8" t="s">
        <v>632</v>
      </c>
      <c r="C118" s="8" t="s">
        <v>622</v>
      </c>
      <c r="D118" s="6" t="s">
        <v>633</v>
      </c>
      <c r="E118" s="8" t="s">
        <v>634</v>
      </c>
      <c r="F118" s="6" t="s">
        <v>5</v>
      </c>
      <c r="G118" s="6" t="s">
        <v>589</v>
      </c>
      <c r="H118" s="6" t="s">
        <v>615</v>
      </c>
      <c r="I118" s="6" t="s">
        <v>31</v>
      </c>
      <c r="J118" s="6" t="s">
        <v>616</v>
      </c>
      <c r="K118" s="6" t="s">
        <v>635</v>
      </c>
      <c r="L118" s="6" t="s">
        <v>617</v>
      </c>
      <c r="M118" s="6" t="s">
        <v>618</v>
      </c>
      <c r="N118" s="6" t="s">
        <v>580</v>
      </c>
      <c r="O118" s="6" t="s">
        <v>619</v>
      </c>
      <c r="P118" s="6"/>
      <c r="Q118" s="8">
        <v>160</v>
      </c>
      <c r="R118" s="8">
        <v>160.47999999999999</v>
      </c>
      <c r="S118" s="8">
        <v>319.89999999999998</v>
      </c>
      <c r="T118" s="8">
        <v>14</v>
      </c>
      <c r="U118" s="8"/>
      <c r="V118" s="8">
        <v>0</v>
      </c>
      <c r="W118" s="12">
        <v>0</v>
      </c>
      <c r="X118">
        <f>VLOOKUP(E118,[1]Sheet2!$A:$C,3,FALSE)</f>
        <v>1</v>
      </c>
      <c r="Y118">
        <v>1</v>
      </c>
    </row>
    <row r="119" spans="1:25" ht="40" customHeight="1">
      <c r="A119" s="6" t="s">
        <v>636</v>
      </c>
      <c r="B119" s="6" t="s">
        <v>637</v>
      </c>
      <c r="C119" s="6">
        <v>125523</v>
      </c>
      <c r="D119" s="6" t="s">
        <v>27</v>
      </c>
      <c r="E119" s="6" t="s">
        <v>638</v>
      </c>
      <c r="F119" s="6"/>
      <c r="G119" s="6" t="s">
        <v>639</v>
      </c>
      <c r="H119" s="6" t="s">
        <v>640</v>
      </c>
      <c r="I119" s="6" t="s">
        <v>31</v>
      </c>
      <c r="J119" s="6" t="s">
        <v>641</v>
      </c>
      <c r="K119" s="6" t="s">
        <v>577</v>
      </c>
      <c r="L119" s="6" t="s">
        <v>642</v>
      </c>
      <c r="M119" s="6" t="s">
        <v>643</v>
      </c>
      <c r="N119" s="6" t="s">
        <v>580</v>
      </c>
      <c r="O119" s="6" t="s">
        <v>644</v>
      </c>
      <c r="P119" s="6"/>
      <c r="Q119" s="8">
        <v>160</v>
      </c>
      <c r="R119" s="8">
        <v>160.47999999999999</v>
      </c>
      <c r="S119" s="8">
        <v>319.89999999999998</v>
      </c>
      <c r="T119" s="8">
        <v>14</v>
      </c>
      <c r="U119" s="8"/>
      <c r="V119" s="8">
        <v>0</v>
      </c>
      <c r="W119" s="12">
        <v>0</v>
      </c>
      <c r="Y119">
        <v>0</v>
      </c>
    </row>
    <row r="120" spans="1:25" ht="40" customHeight="1">
      <c r="A120" s="6" t="s">
        <v>645</v>
      </c>
      <c r="B120" s="6" t="s">
        <v>646</v>
      </c>
      <c r="C120" s="6">
        <v>125523</v>
      </c>
      <c r="D120" s="6" t="s">
        <v>64</v>
      </c>
      <c r="E120" s="6" t="s">
        <v>647</v>
      </c>
      <c r="F120" s="6"/>
      <c r="G120" s="6" t="s">
        <v>639</v>
      </c>
      <c r="H120" s="6" t="s">
        <v>640</v>
      </c>
      <c r="I120" s="6" t="s">
        <v>31</v>
      </c>
      <c r="J120" s="6" t="s">
        <v>641</v>
      </c>
      <c r="K120" s="6" t="s">
        <v>598</v>
      </c>
      <c r="L120" s="6" t="s">
        <v>642</v>
      </c>
      <c r="M120" s="6" t="s">
        <v>643</v>
      </c>
      <c r="N120" s="6" t="s">
        <v>580</v>
      </c>
      <c r="O120" s="6" t="s">
        <v>644</v>
      </c>
      <c r="P120" s="6"/>
      <c r="Q120" s="8">
        <v>160</v>
      </c>
      <c r="R120" s="8">
        <v>160.47999999999999</v>
      </c>
      <c r="S120" s="8">
        <v>319.89999999999998</v>
      </c>
      <c r="T120" s="8">
        <v>14</v>
      </c>
      <c r="U120" s="8"/>
      <c r="V120" s="8">
        <v>0</v>
      </c>
      <c r="W120" s="12">
        <v>0</v>
      </c>
      <c r="Y120">
        <v>0</v>
      </c>
    </row>
    <row r="121" spans="1:25" ht="40" customHeight="1">
      <c r="A121" s="6" t="s">
        <v>648</v>
      </c>
      <c r="B121" s="6" t="s">
        <v>649</v>
      </c>
      <c r="C121" s="6">
        <v>125523</v>
      </c>
      <c r="D121" s="6" t="s">
        <v>605</v>
      </c>
      <c r="E121" s="6" t="s">
        <v>650</v>
      </c>
      <c r="F121" s="6"/>
      <c r="G121" s="6" t="s">
        <v>639</v>
      </c>
      <c r="H121" s="6" t="s">
        <v>640</v>
      </c>
      <c r="I121" s="6" t="s">
        <v>31</v>
      </c>
      <c r="J121" s="6" t="s">
        <v>641</v>
      </c>
      <c r="K121" s="6" t="s">
        <v>651</v>
      </c>
      <c r="L121" s="6" t="s">
        <v>642</v>
      </c>
      <c r="M121" s="6" t="s">
        <v>643</v>
      </c>
      <c r="N121" s="6" t="s">
        <v>580</v>
      </c>
      <c r="O121" s="6" t="s">
        <v>644</v>
      </c>
      <c r="P121" s="6"/>
      <c r="Q121" s="8">
        <v>160</v>
      </c>
      <c r="R121" s="8">
        <v>160.47999999999999</v>
      </c>
      <c r="S121" s="8">
        <v>319.89999999999998</v>
      </c>
      <c r="T121" s="8">
        <v>14</v>
      </c>
      <c r="U121" s="8"/>
      <c r="V121" s="8">
        <v>0</v>
      </c>
      <c r="W121" s="12">
        <v>0</v>
      </c>
      <c r="Y121">
        <v>0</v>
      </c>
    </row>
    <row r="122" spans="1:25" ht="40" customHeight="1">
      <c r="A122" s="6" t="s">
        <v>652</v>
      </c>
      <c r="B122" s="6" t="s">
        <v>653</v>
      </c>
      <c r="C122" s="6">
        <v>125523</v>
      </c>
      <c r="D122" s="6" t="s">
        <v>654</v>
      </c>
      <c r="E122" s="6" t="s">
        <v>655</v>
      </c>
      <c r="F122" s="6"/>
      <c r="G122" s="6" t="s">
        <v>639</v>
      </c>
      <c r="H122" s="6" t="s">
        <v>640</v>
      </c>
      <c r="I122" s="6" t="s">
        <v>31</v>
      </c>
      <c r="J122" s="6" t="s">
        <v>641</v>
      </c>
      <c r="K122" s="6" t="s">
        <v>656</v>
      </c>
      <c r="L122" s="6" t="s">
        <v>642</v>
      </c>
      <c r="M122" s="6" t="s">
        <v>643</v>
      </c>
      <c r="N122" s="6" t="s">
        <v>580</v>
      </c>
      <c r="O122" s="6" t="s">
        <v>644</v>
      </c>
      <c r="P122" s="6"/>
      <c r="Q122" s="8">
        <v>160</v>
      </c>
      <c r="R122" s="8">
        <v>160.47999999999999</v>
      </c>
      <c r="S122" s="8">
        <v>319.89999999999998</v>
      </c>
      <c r="T122" s="8">
        <v>14</v>
      </c>
      <c r="U122" s="8"/>
      <c r="V122" s="8">
        <v>0</v>
      </c>
      <c r="W122" s="12">
        <v>0</v>
      </c>
      <c r="Y122">
        <v>0</v>
      </c>
    </row>
    <row r="123" spans="1:25" ht="40" customHeight="1">
      <c r="A123" s="6" t="s">
        <v>657</v>
      </c>
      <c r="B123" s="6" t="s">
        <v>658</v>
      </c>
      <c r="C123" s="6">
        <v>125523</v>
      </c>
      <c r="D123" s="6" t="s">
        <v>659</v>
      </c>
      <c r="E123" s="6" t="s">
        <v>660</v>
      </c>
      <c r="F123" s="6"/>
      <c r="G123" s="6" t="s">
        <v>639</v>
      </c>
      <c r="H123" s="6" t="s">
        <v>640</v>
      </c>
      <c r="I123" s="6" t="s">
        <v>31</v>
      </c>
      <c r="J123" s="6" t="s">
        <v>641</v>
      </c>
      <c r="K123" s="6" t="s">
        <v>661</v>
      </c>
      <c r="L123" s="6" t="s">
        <v>642</v>
      </c>
      <c r="M123" s="6" t="s">
        <v>643</v>
      </c>
      <c r="N123" s="6" t="s">
        <v>580</v>
      </c>
      <c r="O123" s="6" t="s">
        <v>644</v>
      </c>
      <c r="P123" s="6"/>
      <c r="Q123" s="8">
        <v>160</v>
      </c>
      <c r="R123" s="8">
        <v>160.47999999999999</v>
      </c>
      <c r="S123" s="8">
        <v>319.89999999999998</v>
      </c>
      <c r="T123" s="8">
        <v>14</v>
      </c>
      <c r="U123" s="8"/>
      <c r="V123" s="8">
        <v>0</v>
      </c>
      <c r="W123" s="12">
        <v>0</v>
      </c>
      <c r="Y123">
        <v>0</v>
      </c>
    </row>
    <row r="124" spans="1:25" ht="40" customHeight="1">
      <c r="A124" s="6" t="s">
        <v>662</v>
      </c>
      <c r="B124" s="6" t="s">
        <v>663</v>
      </c>
      <c r="C124" s="6">
        <v>125581</v>
      </c>
      <c r="D124" s="6" t="s">
        <v>64</v>
      </c>
      <c r="E124" s="6" t="s">
        <v>664</v>
      </c>
      <c r="F124" s="6"/>
      <c r="G124" s="6" t="s">
        <v>665</v>
      </c>
      <c r="H124" s="6" t="s">
        <v>666</v>
      </c>
      <c r="I124" s="6" t="s">
        <v>31</v>
      </c>
      <c r="J124" s="6" t="s">
        <v>667</v>
      </c>
      <c r="K124" s="6" t="s">
        <v>598</v>
      </c>
      <c r="L124" s="6" t="s">
        <v>668</v>
      </c>
      <c r="M124" s="6" t="s">
        <v>669</v>
      </c>
      <c r="N124" s="6" t="s">
        <v>580</v>
      </c>
      <c r="O124" s="6" t="s">
        <v>670</v>
      </c>
      <c r="P124" s="6"/>
      <c r="Q124" s="8">
        <v>175</v>
      </c>
      <c r="R124" s="8">
        <v>175.52500000000001</v>
      </c>
      <c r="S124" s="8">
        <v>349.9</v>
      </c>
      <c r="T124" s="8">
        <v>14</v>
      </c>
      <c r="U124" s="8"/>
      <c r="V124" s="8">
        <v>0</v>
      </c>
      <c r="W124" s="12">
        <v>0</v>
      </c>
      <c r="Y124">
        <v>0</v>
      </c>
    </row>
    <row r="125" spans="1:25" ht="40" customHeight="1">
      <c r="A125" s="6" t="s">
        <v>671</v>
      </c>
      <c r="B125" s="6" t="s">
        <v>672</v>
      </c>
      <c r="C125" s="6">
        <v>125581</v>
      </c>
      <c r="D125" s="6" t="s">
        <v>561</v>
      </c>
      <c r="E125" s="6" t="s">
        <v>673</v>
      </c>
      <c r="F125" s="6"/>
      <c r="G125" s="6" t="s">
        <v>665</v>
      </c>
      <c r="H125" s="6" t="s">
        <v>666</v>
      </c>
      <c r="I125" s="6" t="s">
        <v>31</v>
      </c>
      <c r="J125" s="6" t="s">
        <v>667</v>
      </c>
      <c r="K125" s="6" t="s">
        <v>674</v>
      </c>
      <c r="L125" s="6" t="s">
        <v>668</v>
      </c>
      <c r="M125" s="6" t="s">
        <v>669</v>
      </c>
      <c r="N125" s="6" t="s">
        <v>580</v>
      </c>
      <c r="O125" s="6" t="s">
        <v>670</v>
      </c>
      <c r="P125" s="6"/>
      <c r="Q125" s="8">
        <v>175</v>
      </c>
      <c r="R125" s="8">
        <v>175.52500000000001</v>
      </c>
      <c r="S125" s="8">
        <v>349.9</v>
      </c>
      <c r="T125" s="8">
        <v>14</v>
      </c>
      <c r="U125" s="8"/>
      <c r="V125" s="8">
        <v>0</v>
      </c>
      <c r="W125" s="12">
        <v>0</v>
      </c>
      <c r="Y125">
        <v>0</v>
      </c>
    </row>
    <row r="126" spans="1:25" ht="40" customHeight="1">
      <c r="A126" s="6" t="s">
        <v>675</v>
      </c>
      <c r="B126" s="6" t="s">
        <v>676</v>
      </c>
      <c r="C126" s="6">
        <v>125581</v>
      </c>
      <c r="D126" s="6" t="s">
        <v>74</v>
      </c>
      <c r="E126" s="6" t="s">
        <v>677</v>
      </c>
      <c r="F126" s="6"/>
      <c r="G126" s="6" t="s">
        <v>665</v>
      </c>
      <c r="H126" s="6" t="s">
        <v>666</v>
      </c>
      <c r="I126" s="6" t="s">
        <v>31</v>
      </c>
      <c r="J126" s="6" t="s">
        <v>667</v>
      </c>
      <c r="K126" s="6" t="s">
        <v>678</v>
      </c>
      <c r="L126" s="6" t="s">
        <v>668</v>
      </c>
      <c r="M126" s="6" t="s">
        <v>669</v>
      </c>
      <c r="N126" s="6" t="s">
        <v>580</v>
      </c>
      <c r="O126" s="6" t="s">
        <v>670</v>
      </c>
      <c r="P126" s="6"/>
      <c r="Q126" s="8">
        <v>175</v>
      </c>
      <c r="R126" s="8">
        <v>175.52500000000001</v>
      </c>
      <c r="S126" s="8">
        <v>349.9</v>
      </c>
      <c r="T126" s="8">
        <v>14</v>
      </c>
      <c r="U126" s="8"/>
      <c r="V126" s="8">
        <v>0</v>
      </c>
      <c r="W126" s="12">
        <v>0</v>
      </c>
      <c r="Y126">
        <v>0</v>
      </c>
    </row>
    <row r="127" spans="1:25" ht="40" customHeight="1">
      <c r="A127" s="6" t="s">
        <v>679</v>
      </c>
      <c r="B127" s="6" t="s">
        <v>680</v>
      </c>
      <c r="C127" s="6">
        <v>125581</v>
      </c>
      <c r="D127" s="6" t="s">
        <v>126</v>
      </c>
      <c r="E127" s="6" t="s">
        <v>681</v>
      </c>
      <c r="F127" s="6"/>
      <c r="G127" s="6" t="s">
        <v>665</v>
      </c>
      <c r="H127" s="6" t="s">
        <v>666</v>
      </c>
      <c r="I127" s="6" t="s">
        <v>31</v>
      </c>
      <c r="J127" s="6" t="s">
        <v>667</v>
      </c>
      <c r="K127" s="6" t="s">
        <v>682</v>
      </c>
      <c r="L127" s="6" t="s">
        <v>668</v>
      </c>
      <c r="M127" s="6" t="s">
        <v>669</v>
      </c>
      <c r="N127" s="6" t="s">
        <v>580</v>
      </c>
      <c r="O127" s="6" t="s">
        <v>670</v>
      </c>
      <c r="P127" s="6"/>
      <c r="Q127" s="8">
        <v>175</v>
      </c>
      <c r="R127" s="8">
        <v>175.52500000000001</v>
      </c>
      <c r="S127" s="8">
        <v>349.9</v>
      </c>
      <c r="T127" s="8">
        <v>14</v>
      </c>
      <c r="U127" s="8"/>
      <c r="V127" s="8">
        <v>0</v>
      </c>
      <c r="W127" s="12">
        <v>0</v>
      </c>
      <c r="Y127">
        <v>0</v>
      </c>
    </row>
    <row r="128" spans="1:25" ht="40" customHeight="1">
      <c r="A128" s="6" t="s">
        <v>683</v>
      </c>
      <c r="B128" s="6" t="s">
        <v>684</v>
      </c>
      <c r="C128" s="6">
        <v>125662</v>
      </c>
      <c r="D128" s="6" t="s">
        <v>685</v>
      </c>
      <c r="E128" s="6" t="s">
        <v>686</v>
      </c>
      <c r="F128" s="6"/>
      <c r="G128" s="6" t="s">
        <v>687</v>
      </c>
      <c r="H128" s="6" t="s">
        <v>688</v>
      </c>
      <c r="I128" s="6" t="s">
        <v>31</v>
      </c>
      <c r="J128" s="6" t="s">
        <v>689</v>
      </c>
      <c r="K128" s="6" t="s">
        <v>690</v>
      </c>
      <c r="L128" s="6" t="s">
        <v>54</v>
      </c>
      <c r="M128" s="6" t="s">
        <v>54</v>
      </c>
      <c r="N128" s="6" t="s">
        <v>580</v>
      </c>
      <c r="O128" s="6" t="s">
        <v>691</v>
      </c>
      <c r="P128" s="6"/>
      <c r="Q128" s="8">
        <v>165</v>
      </c>
      <c r="R128" s="8">
        <v>165.495</v>
      </c>
      <c r="S128" s="8">
        <v>329.9</v>
      </c>
      <c r="T128" s="8">
        <v>14</v>
      </c>
      <c r="U128" s="8"/>
      <c r="V128" s="8">
        <v>0</v>
      </c>
      <c r="W128" s="12">
        <v>0</v>
      </c>
      <c r="X128">
        <f>VLOOKUP(E128,[1]Sheet2!$A:$C,3,FALSE)</f>
        <v>1</v>
      </c>
      <c r="Y128">
        <v>1</v>
      </c>
    </row>
    <row r="129" spans="1:25" ht="40" customHeight="1">
      <c r="A129" s="6" t="s">
        <v>692</v>
      </c>
      <c r="B129" s="6" t="s">
        <v>693</v>
      </c>
      <c r="C129" s="6">
        <v>125662</v>
      </c>
      <c r="D129" s="6" t="s">
        <v>694</v>
      </c>
      <c r="E129" s="6" t="s">
        <v>695</v>
      </c>
      <c r="F129" s="6"/>
      <c r="G129" s="6" t="s">
        <v>687</v>
      </c>
      <c r="H129" s="6" t="s">
        <v>688</v>
      </c>
      <c r="I129" s="6" t="s">
        <v>31</v>
      </c>
      <c r="J129" s="6" t="s">
        <v>689</v>
      </c>
      <c r="K129" s="6" t="s">
        <v>696</v>
      </c>
      <c r="L129" s="6" t="s">
        <v>54</v>
      </c>
      <c r="M129" s="6" t="s">
        <v>54</v>
      </c>
      <c r="N129" s="6" t="s">
        <v>580</v>
      </c>
      <c r="O129" s="6" t="s">
        <v>691</v>
      </c>
      <c r="P129" s="6"/>
      <c r="Q129" s="8">
        <v>165</v>
      </c>
      <c r="R129" s="8">
        <v>165.495</v>
      </c>
      <c r="S129" s="8">
        <v>329.9</v>
      </c>
      <c r="T129" s="8">
        <v>14</v>
      </c>
      <c r="U129" s="8"/>
      <c r="V129" s="8">
        <v>0</v>
      </c>
      <c r="W129" s="12">
        <v>0</v>
      </c>
      <c r="Y129">
        <v>0</v>
      </c>
    </row>
    <row r="130" spans="1:25" ht="40" customHeight="1">
      <c r="A130" s="6" t="s">
        <v>697</v>
      </c>
      <c r="B130" s="6" t="s">
        <v>698</v>
      </c>
      <c r="C130" s="6">
        <v>125662</v>
      </c>
      <c r="D130" s="6" t="s">
        <v>699</v>
      </c>
      <c r="E130" s="6" t="s">
        <v>700</v>
      </c>
      <c r="F130" s="6"/>
      <c r="G130" s="6" t="s">
        <v>687</v>
      </c>
      <c r="H130" s="6" t="s">
        <v>688</v>
      </c>
      <c r="I130" s="6" t="s">
        <v>31</v>
      </c>
      <c r="J130" s="6" t="s">
        <v>689</v>
      </c>
      <c r="K130" s="6" t="s">
        <v>701</v>
      </c>
      <c r="L130" s="6" t="s">
        <v>54</v>
      </c>
      <c r="M130" s="6" t="s">
        <v>54</v>
      </c>
      <c r="N130" s="6" t="s">
        <v>580</v>
      </c>
      <c r="O130" s="6" t="s">
        <v>691</v>
      </c>
      <c r="P130" s="6"/>
      <c r="Q130" s="8">
        <v>165</v>
      </c>
      <c r="R130" s="8">
        <v>165.495</v>
      </c>
      <c r="S130" s="8">
        <v>329.9</v>
      </c>
      <c r="T130" s="8">
        <v>14</v>
      </c>
      <c r="U130" s="8"/>
      <c r="V130" s="8">
        <v>0</v>
      </c>
      <c r="W130" s="12">
        <v>0</v>
      </c>
      <c r="Y130">
        <v>0</v>
      </c>
    </row>
    <row r="131" spans="1:25" ht="40" customHeight="1">
      <c r="A131" s="6" t="s">
        <v>702</v>
      </c>
      <c r="B131" s="6" t="s">
        <v>703</v>
      </c>
      <c r="C131" s="6">
        <v>125840</v>
      </c>
      <c r="D131" s="6" t="s">
        <v>64</v>
      </c>
      <c r="E131" s="6" t="s">
        <v>704</v>
      </c>
      <c r="F131" s="6"/>
      <c r="G131" s="6" t="s">
        <v>705</v>
      </c>
      <c r="H131" s="6" t="s">
        <v>215</v>
      </c>
      <c r="I131" s="6" t="s">
        <v>31</v>
      </c>
      <c r="J131" s="6" t="s">
        <v>641</v>
      </c>
      <c r="K131" s="6" t="s">
        <v>598</v>
      </c>
      <c r="L131" s="6" t="s">
        <v>706</v>
      </c>
      <c r="M131" s="6" t="s">
        <v>707</v>
      </c>
      <c r="N131" s="6" t="s">
        <v>580</v>
      </c>
      <c r="O131" s="6" t="s">
        <v>708</v>
      </c>
      <c r="P131" s="6"/>
      <c r="Q131" s="8">
        <v>165</v>
      </c>
      <c r="R131" s="8">
        <v>165.495</v>
      </c>
      <c r="S131" s="8">
        <v>329.9</v>
      </c>
      <c r="T131" s="8">
        <v>14</v>
      </c>
      <c r="U131" s="8"/>
      <c r="V131" s="8">
        <v>0</v>
      </c>
      <c r="W131" s="12">
        <v>0</v>
      </c>
      <c r="Y131">
        <v>0</v>
      </c>
    </row>
    <row r="132" spans="1:25" ht="40" customHeight="1">
      <c r="A132" s="6" t="s">
        <v>709</v>
      </c>
      <c r="B132" s="6" t="s">
        <v>710</v>
      </c>
      <c r="C132" s="6">
        <v>125840</v>
      </c>
      <c r="D132" s="6" t="s">
        <v>711</v>
      </c>
      <c r="E132" s="6" t="s">
        <v>712</v>
      </c>
      <c r="F132" s="6"/>
      <c r="G132" s="6" t="s">
        <v>705</v>
      </c>
      <c r="H132" s="6" t="s">
        <v>215</v>
      </c>
      <c r="I132" s="6" t="s">
        <v>31</v>
      </c>
      <c r="J132" s="6" t="s">
        <v>641</v>
      </c>
      <c r="K132" s="6" t="s">
        <v>713</v>
      </c>
      <c r="L132" s="6" t="s">
        <v>706</v>
      </c>
      <c r="M132" s="6" t="s">
        <v>707</v>
      </c>
      <c r="N132" s="6" t="s">
        <v>580</v>
      </c>
      <c r="O132" s="6" t="s">
        <v>708</v>
      </c>
      <c r="P132" s="6"/>
      <c r="Q132" s="8">
        <v>165</v>
      </c>
      <c r="R132" s="8">
        <v>165.495</v>
      </c>
      <c r="S132" s="8">
        <v>329.9</v>
      </c>
      <c r="T132" s="8">
        <v>14</v>
      </c>
      <c r="U132" s="8"/>
      <c r="V132" s="8">
        <v>0</v>
      </c>
      <c r="W132" s="12">
        <v>0</v>
      </c>
      <c r="Y132">
        <v>0</v>
      </c>
    </row>
    <row r="133" spans="1:25" ht="40" customHeight="1">
      <c r="A133" s="6" t="s">
        <v>714</v>
      </c>
      <c r="B133" s="6" t="s">
        <v>715</v>
      </c>
      <c r="C133" s="6">
        <v>125840</v>
      </c>
      <c r="D133" s="6" t="s">
        <v>410</v>
      </c>
      <c r="E133" s="6" t="s">
        <v>716</v>
      </c>
      <c r="F133" s="6"/>
      <c r="G133" s="6" t="s">
        <v>705</v>
      </c>
      <c r="H133" s="6" t="s">
        <v>215</v>
      </c>
      <c r="I133" s="6" t="s">
        <v>31</v>
      </c>
      <c r="J133" s="6" t="s">
        <v>641</v>
      </c>
      <c r="K133" s="6" t="s">
        <v>585</v>
      </c>
      <c r="L133" s="6" t="s">
        <v>706</v>
      </c>
      <c r="M133" s="6" t="s">
        <v>707</v>
      </c>
      <c r="N133" s="6" t="s">
        <v>580</v>
      </c>
      <c r="O133" s="6" t="s">
        <v>708</v>
      </c>
      <c r="P133" s="6"/>
      <c r="Q133" s="8">
        <v>165</v>
      </c>
      <c r="R133" s="8">
        <v>165.495</v>
      </c>
      <c r="S133" s="8">
        <v>329.9</v>
      </c>
      <c r="T133" s="8">
        <v>14</v>
      </c>
      <c r="U133" s="8"/>
      <c r="V133" s="8">
        <v>0</v>
      </c>
      <c r="W133" s="12">
        <v>0</v>
      </c>
      <c r="Y133">
        <v>0</v>
      </c>
    </row>
    <row r="134" spans="1:25" ht="40" customHeight="1">
      <c r="A134" s="6" t="s">
        <v>717</v>
      </c>
      <c r="B134" s="6" t="s">
        <v>718</v>
      </c>
      <c r="C134" s="6">
        <v>125848</v>
      </c>
      <c r="D134" s="6" t="s">
        <v>27</v>
      </c>
      <c r="E134" s="6" t="s">
        <v>719</v>
      </c>
      <c r="F134" s="6"/>
      <c r="G134" s="6" t="s">
        <v>705</v>
      </c>
      <c r="H134" s="6" t="s">
        <v>720</v>
      </c>
      <c r="I134" s="6" t="s">
        <v>31</v>
      </c>
      <c r="J134" s="6" t="s">
        <v>616</v>
      </c>
      <c r="K134" s="6" t="s">
        <v>577</v>
      </c>
      <c r="L134" s="6" t="s">
        <v>721</v>
      </c>
      <c r="M134" s="6" t="s">
        <v>722</v>
      </c>
      <c r="N134" s="6" t="s">
        <v>580</v>
      </c>
      <c r="O134" s="6" t="s">
        <v>723</v>
      </c>
      <c r="P134" s="6"/>
      <c r="Q134" s="8">
        <v>150</v>
      </c>
      <c r="R134" s="8">
        <v>150.44999999999999</v>
      </c>
      <c r="S134" s="8">
        <v>299.89999999999998</v>
      </c>
      <c r="T134" s="8">
        <v>14</v>
      </c>
      <c r="U134" s="8"/>
      <c r="V134" s="8">
        <v>0</v>
      </c>
      <c r="W134" s="12">
        <v>0</v>
      </c>
      <c r="Y134">
        <v>0</v>
      </c>
    </row>
    <row r="135" spans="1:25" ht="40" customHeight="1">
      <c r="A135" s="6" t="s">
        <v>724</v>
      </c>
      <c r="B135" s="6" t="s">
        <v>725</v>
      </c>
      <c r="C135" s="6">
        <v>125848</v>
      </c>
      <c r="D135" s="6" t="s">
        <v>623</v>
      </c>
      <c r="E135" s="6" t="s">
        <v>726</v>
      </c>
      <c r="F135" s="6"/>
      <c r="G135" s="6" t="s">
        <v>705</v>
      </c>
      <c r="H135" s="6" t="s">
        <v>720</v>
      </c>
      <c r="I135" s="6" t="s">
        <v>31</v>
      </c>
      <c r="J135" s="6" t="s">
        <v>616</v>
      </c>
      <c r="K135" s="6" t="s">
        <v>727</v>
      </c>
      <c r="L135" s="6" t="s">
        <v>721</v>
      </c>
      <c r="M135" s="6" t="s">
        <v>722</v>
      </c>
      <c r="N135" s="6" t="s">
        <v>580</v>
      </c>
      <c r="O135" s="6" t="s">
        <v>723</v>
      </c>
      <c r="P135" s="6"/>
      <c r="Q135" s="8">
        <v>150</v>
      </c>
      <c r="R135" s="8">
        <v>150.44999999999999</v>
      </c>
      <c r="S135" s="8">
        <v>299.89999999999998</v>
      </c>
      <c r="T135" s="8">
        <v>14</v>
      </c>
      <c r="U135" s="8"/>
      <c r="V135" s="8">
        <v>0</v>
      </c>
      <c r="W135" s="12">
        <v>0</v>
      </c>
      <c r="Y135">
        <v>0</v>
      </c>
    </row>
    <row r="136" spans="1:25" ht="40" customHeight="1">
      <c r="A136" s="6" t="s">
        <v>728</v>
      </c>
      <c r="B136" s="6" t="s">
        <v>729</v>
      </c>
      <c r="C136" s="6">
        <v>125848</v>
      </c>
      <c r="D136" s="6" t="s">
        <v>730</v>
      </c>
      <c r="E136" s="6" t="s">
        <v>731</v>
      </c>
      <c r="F136" s="6"/>
      <c r="G136" s="6" t="s">
        <v>705</v>
      </c>
      <c r="H136" s="6" t="s">
        <v>720</v>
      </c>
      <c r="I136" s="6" t="s">
        <v>31</v>
      </c>
      <c r="J136" s="6" t="s">
        <v>616</v>
      </c>
      <c r="K136" s="6" t="s">
        <v>732</v>
      </c>
      <c r="L136" s="6" t="s">
        <v>721</v>
      </c>
      <c r="M136" s="6" t="s">
        <v>722</v>
      </c>
      <c r="N136" s="6" t="s">
        <v>580</v>
      </c>
      <c r="O136" s="6" t="s">
        <v>723</v>
      </c>
      <c r="P136" s="6"/>
      <c r="Q136" s="8">
        <v>150</v>
      </c>
      <c r="R136" s="8">
        <v>150.44999999999999</v>
      </c>
      <c r="S136" s="8">
        <v>299.89999999999998</v>
      </c>
      <c r="T136" s="8">
        <v>14</v>
      </c>
      <c r="U136" s="8"/>
      <c r="V136" s="8">
        <v>0</v>
      </c>
      <c r="W136" s="12">
        <v>0</v>
      </c>
      <c r="Y136">
        <v>0</v>
      </c>
    </row>
    <row r="137" spans="1:25" ht="40" customHeight="1">
      <c r="A137" s="6" t="s">
        <v>733</v>
      </c>
      <c r="B137" s="6" t="s">
        <v>734</v>
      </c>
      <c r="C137" s="6">
        <v>125850</v>
      </c>
      <c r="D137" s="6" t="s">
        <v>27</v>
      </c>
      <c r="E137" s="6" t="s">
        <v>735</v>
      </c>
      <c r="F137" s="6"/>
      <c r="G137" s="6" t="s">
        <v>705</v>
      </c>
      <c r="H137" s="6" t="s">
        <v>736</v>
      </c>
      <c r="I137" s="6" t="s">
        <v>31</v>
      </c>
      <c r="J137" s="6" t="s">
        <v>737</v>
      </c>
      <c r="K137" s="6" t="s">
        <v>577</v>
      </c>
      <c r="L137" s="6" t="s">
        <v>738</v>
      </c>
      <c r="M137" s="6" t="s">
        <v>739</v>
      </c>
      <c r="N137" s="6" t="s">
        <v>580</v>
      </c>
      <c r="O137" s="6" t="s">
        <v>740</v>
      </c>
      <c r="P137" s="6"/>
      <c r="Q137" s="8">
        <v>125</v>
      </c>
      <c r="R137" s="8">
        <v>125.375</v>
      </c>
      <c r="S137" s="8">
        <v>249.9</v>
      </c>
      <c r="T137" s="8">
        <v>14</v>
      </c>
      <c r="U137" s="8"/>
      <c r="V137" s="8">
        <v>0</v>
      </c>
      <c r="W137" s="12">
        <v>0</v>
      </c>
      <c r="Y137">
        <v>0</v>
      </c>
    </row>
    <row r="138" spans="1:25" ht="40" customHeight="1">
      <c r="A138" s="6" t="s">
        <v>741</v>
      </c>
      <c r="B138" s="6" t="s">
        <v>742</v>
      </c>
      <c r="C138" s="6">
        <v>125850</v>
      </c>
      <c r="D138" s="6" t="s">
        <v>147</v>
      </c>
      <c r="E138" s="6" t="s">
        <v>743</v>
      </c>
      <c r="F138" s="6"/>
      <c r="G138" s="6" t="s">
        <v>705</v>
      </c>
      <c r="H138" s="6" t="s">
        <v>736</v>
      </c>
      <c r="I138" s="6" t="s">
        <v>31</v>
      </c>
      <c r="J138" s="6" t="s">
        <v>737</v>
      </c>
      <c r="K138" s="6" t="s">
        <v>744</v>
      </c>
      <c r="L138" s="6" t="s">
        <v>738</v>
      </c>
      <c r="M138" s="6" t="s">
        <v>739</v>
      </c>
      <c r="N138" s="6" t="s">
        <v>580</v>
      </c>
      <c r="O138" s="6" t="s">
        <v>740</v>
      </c>
      <c r="P138" s="6"/>
      <c r="Q138" s="8">
        <v>125</v>
      </c>
      <c r="R138" s="8">
        <v>125.375</v>
      </c>
      <c r="S138" s="8">
        <v>249.9</v>
      </c>
      <c r="T138" s="8">
        <v>14</v>
      </c>
      <c r="U138" s="8"/>
      <c r="V138" s="8">
        <v>0</v>
      </c>
      <c r="W138" s="12">
        <v>0</v>
      </c>
      <c r="Y138">
        <v>0</v>
      </c>
    </row>
    <row r="139" spans="1:25" ht="40" customHeight="1">
      <c r="A139" s="6" t="s">
        <v>745</v>
      </c>
      <c r="B139" s="6" t="s">
        <v>746</v>
      </c>
      <c r="C139" s="6">
        <v>125881</v>
      </c>
      <c r="D139" s="6" t="s">
        <v>747</v>
      </c>
      <c r="E139" s="6" t="s">
        <v>748</v>
      </c>
      <c r="F139" s="6"/>
      <c r="G139" s="6" t="s">
        <v>749</v>
      </c>
      <c r="H139" s="6" t="s">
        <v>750</v>
      </c>
      <c r="I139" s="6" t="s">
        <v>31</v>
      </c>
      <c r="J139" s="6" t="s">
        <v>751</v>
      </c>
      <c r="K139" s="6" t="s">
        <v>752</v>
      </c>
      <c r="L139" s="6" t="s">
        <v>753</v>
      </c>
      <c r="M139" s="6" t="s">
        <v>754</v>
      </c>
      <c r="N139" s="6" t="s">
        <v>580</v>
      </c>
      <c r="O139" s="6" t="s">
        <v>755</v>
      </c>
      <c r="P139" s="6"/>
      <c r="Q139" s="8">
        <v>185</v>
      </c>
      <c r="R139" s="8">
        <v>185.55500000000001</v>
      </c>
      <c r="S139" s="8">
        <v>369.9</v>
      </c>
      <c r="T139" s="8">
        <v>14</v>
      </c>
      <c r="U139" s="8"/>
      <c r="V139" s="8">
        <v>0</v>
      </c>
      <c r="W139" s="12">
        <v>0</v>
      </c>
      <c r="Y139">
        <v>0</v>
      </c>
    </row>
    <row r="140" spans="1:25" ht="40" customHeight="1">
      <c r="A140" s="6" t="s">
        <v>756</v>
      </c>
      <c r="B140" s="6" t="s">
        <v>757</v>
      </c>
      <c r="C140" s="6">
        <v>125881</v>
      </c>
      <c r="D140" s="6" t="s">
        <v>126</v>
      </c>
      <c r="E140" s="6" t="s">
        <v>758</v>
      </c>
      <c r="F140" s="6"/>
      <c r="G140" s="6" t="s">
        <v>749</v>
      </c>
      <c r="H140" s="6" t="s">
        <v>750</v>
      </c>
      <c r="I140" s="6" t="s">
        <v>31</v>
      </c>
      <c r="J140" s="6" t="s">
        <v>751</v>
      </c>
      <c r="K140" s="6" t="s">
        <v>682</v>
      </c>
      <c r="L140" s="6" t="s">
        <v>753</v>
      </c>
      <c r="M140" s="6" t="s">
        <v>754</v>
      </c>
      <c r="N140" s="6" t="s">
        <v>580</v>
      </c>
      <c r="O140" s="6" t="s">
        <v>755</v>
      </c>
      <c r="P140" s="6"/>
      <c r="Q140" s="8">
        <v>185</v>
      </c>
      <c r="R140" s="8">
        <v>185.55500000000001</v>
      </c>
      <c r="S140" s="8">
        <v>369.9</v>
      </c>
      <c r="T140" s="8">
        <v>14</v>
      </c>
      <c r="U140" s="8"/>
      <c r="V140" s="8">
        <v>0</v>
      </c>
      <c r="W140" s="12">
        <v>0</v>
      </c>
      <c r="Y140">
        <v>0</v>
      </c>
    </row>
    <row r="141" spans="1:25" ht="40" customHeight="1">
      <c r="A141" s="6" t="s">
        <v>759</v>
      </c>
      <c r="B141" s="6" t="s">
        <v>760</v>
      </c>
      <c r="C141" s="6">
        <v>125890</v>
      </c>
      <c r="D141" s="6" t="s">
        <v>27</v>
      </c>
      <c r="E141" s="6" t="s">
        <v>761</v>
      </c>
      <c r="F141" s="6"/>
      <c r="G141" s="6" t="s">
        <v>749</v>
      </c>
      <c r="H141" s="6" t="s">
        <v>215</v>
      </c>
      <c r="I141" s="6" t="s">
        <v>31</v>
      </c>
      <c r="J141" s="6" t="s">
        <v>762</v>
      </c>
      <c r="K141" s="6" t="s">
        <v>577</v>
      </c>
      <c r="L141" s="6" t="s">
        <v>54</v>
      </c>
      <c r="M141" s="6" t="s">
        <v>54</v>
      </c>
      <c r="N141" s="6" t="s">
        <v>580</v>
      </c>
      <c r="O141" s="6" t="s">
        <v>763</v>
      </c>
      <c r="P141" s="6"/>
      <c r="Q141" s="8">
        <v>150</v>
      </c>
      <c r="R141" s="8">
        <v>150.44999999999999</v>
      </c>
      <c r="S141" s="8">
        <v>299.89999999999998</v>
      </c>
      <c r="T141" s="8">
        <v>14</v>
      </c>
      <c r="U141" s="8"/>
      <c r="V141" s="8">
        <v>0</v>
      </c>
      <c r="W141" s="12">
        <v>0</v>
      </c>
      <c r="Y141">
        <v>0</v>
      </c>
    </row>
    <row r="142" spans="1:25" ht="40" customHeight="1">
      <c r="A142" s="6" t="s">
        <v>764</v>
      </c>
      <c r="B142" s="6" t="s">
        <v>765</v>
      </c>
      <c r="C142" s="6">
        <v>125890</v>
      </c>
      <c r="D142" s="6" t="s">
        <v>766</v>
      </c>
      <c r="E142" s="6" t="s">
        <v>767</v>
      </c>
      <c r="F142" s="6"/>
      <c r="G142" s="6" t="s">
        <v>749</v>
      </c>
      <c r="H142" s="6" t="s">
        <v>215</v>
      </c>
      <c r="I142" s="6" t="s">
        <v>31</v>
      </c>
      <c r="J142" s="6" t="s">
        <v>762</v>
      </c>
      <c r="K142" s="6" t="s">
        <v>768</v>
      </c>
      <c r="L142" s="6" t="s">
        <v>54</v>
      </c>
      <c r="M142" s="6" t="s">
        <v>54</v>
      </c>
      <c r="N142" s="6" t="s">
        <v>580</v>
      </c>
      <c r="O142" s="6" t="s">
        <v>763</v>
      </c>
      <c r="P142" s="6"/>
      <c r="Q142" s="8">
        <v>150</v>
      </c>
      <c r="R142" s="8">
        <v>150.44999999999999</v>
      </c>
      <c r="S142" s="8">
        <v>299.89999999999998</v>
      </c>
      <c r="T142" s="8">
        <v>14</v>
      </c>
      <c r="U142" s="8"/>
      <c r="V142" s="8">
        <v>0</v>
      </c>
      <c r="W142" s="12">
        <v>0</v>
      </c>
      <c r="Y142">
        <v>0</v>
      </c>
    </row>
    <row r="143" spans="1:25" ht="40" customHeight="1">
      <c r="A143" s="6" t="s">
        <v>769</v>
      </c>
      <c r="B143" s="6" t="s">
        <v>770</v>
      </c>
      <c r="C143" s="6">
        <v>125890</v>
      </c>
      <c r="D143" s="6" t="s">
        <v>771</v>
      </c>
      <c r="E143" s="6" t="s">
        <v>772</v>
      </c>
      <c r="F143" s="6"/>
      <c r="G143" s="6" t="s">
        <v>749</v>
      </c>
      <c r="H143" s="6" t="s">
        <v>215</v>
      </c>
      <c r="I143" s="6" t="s">
        <v>31</v>
      </c>
      <c r="J143" s="6" t="s">
        <v>762</v>
      </c>
      <c r="K143" s="6" t="s">
        <v>773</v>
      </c>
      <c r="L143" s="6" t="s">
        <v>54</v>
      </c>
      <c r="M143" s="6" t="s">
        <v>54</v>
      </c>
      <c r="N143" s="6" t="s">
        <v>580</v>
      </c>
      <c r="O143" s="6" t="s">
        <v>763</v>
      </c>
      <c r="P143" s="6"/>
      <c r="Q143" s="8">
        <v>150</v>
      </c>
      <c r="R143" s="8">
        <v>150.44999999999999</v>
      </c>
      <c r="S143" s="8">
        <v>299.89999999999998</v>
      </c>
      <c r="T143" s="8">
        <v>14</v>
      </c>
      <c r="U143" s="8"/>
      <c r="V143" s="8">
        <v>0</v>
      </c>
      <c r="W143" s="12">
        <v>0</v>
      </c>
      <c r="Y143">
        <v>0</v>
      </c>
    </row>
    <row r="144" spans="1:25" ht="40" customHeight="1">
      <c r="A144" s="6" t="s">
        <v>774</v>
      </c>
      <c r="B144" s="6" t="s">
        <v>775</v>
      </c>
      <c r="C144" s="6">
        <v>125920</v>
      </c>
      <c r="D144" s="6" t="s">
        <v>27</v>
      </c>
      <c r="E144" s="6" t="s">
        <v>776</v>
      </c>
      <c r="F144" s="6"/>
      <c r="G144" s="6" t="s">
        <v>777</v>
      </c>
      <c r="H144" s="6" t="s">
        <v>778</v>
      </c>
      <c r="I144" s="6" t="s">
        <v>31</v>
      </c>
      <c r="J144" s="6" t="s">
        <v>779</v>
      </c>
      <c r="K144" s="6" t="s">
        <v>577</v>
      </c>
      <c r="L144" s="6" t="s">
        <v>780</v>
      </c>
      <c r="M144" s="6" t="s">
        <v>781</v>
      </c>
      <c r="N144" s="6" t="s">
        <v>580</v>
      </c>
      <c r="O144" s="6" t="s">
        <v>782</v>
      </c>
      <c r="P144" s="6"/>
      <c r="Q144" s="8">
        <v>160</v>
      </c>
      <c r="R144" s="8">
        <v>160.47999999999999</v>
      </c>
      <c r="S144" s="8">
        <v>319.89999999999998</v>
      </c>
      <c r="T144" s="8">
        <v>14</v>
      </c>
      <c r="U144" s="8"/>
      <c r="V144" s="8">
        <v>0</v>
      </c>
      <c r="W144" s="12">
        <v>0</v>
      </c>
      <c r="Y144">
        <v>0</v>
      </c>
    </row>
    <row r="145" spans="1:25" ht="40" customHeight="1">
      <c r="A145" s="6" t="s">
        <v>783</v>
      </c>
      <c r="B145" s="6" t="s">
        <v>784</v>
      </c>
      <c r="C145" s="6">
        <v>125920</v>
      </c>
      <c r="D145" s="6" t="s">
        <v>623</v>
      </c>
      <c r="E145" s="6" t="s">
        <v>785</v>
      </c>
      <c r="F145" s="6"/>
      <c r="G145" s="6" t="s">
        <v>777</v>
      </c>
      <c r="H145" s="6" t="s">
        <v>778</v>
      </c>
      <c r="I145" s="6" t="s">
        <v>31</v>
      </c>
      <c r="J145" s="6" t="s">
        <v>779</v>
      </c>
      <c r="K145" s="8"/>
      <c r="L145" s="8"/>
      <c r="M145" s="8"/>
      <c r="N145" s="8"/>
      <c r="O145" s="8"/>
      <c r="P145" s="8"/>
      <c r="Q145" s="8">
        <v>160</v>
      </c>
      <c r="R145" s="8">
        <v>160.47999999999999</v>
      </c>
      <c r="S145" s="8">
        <v>319.89999999999998</v>
      </c>
      <c r="T145" s="8">
        <v>14</v>
      </c>
      <c r="U145" s="8"/>
      <c r="V145" s="8">
        <v>0</v>
      </c>
      <c r="W145" s="12">
        <v>0</v>
      </c>
      <c r="Y145">
        <v>0</v>
      </c>
    </row>
    <row r="146" spans="1:25" ht="40" customHeight="1">
      <c r="A146" s="6" t="s">
        <v>786</v>
      </c>
      <c r="B146" s="6" t="s">
        <v>787</v>
      </c>
      <c r="C146" s="6">
        <v>125920</v>
      </c>
      <c r="D146" s="6" t="s">
        <v>64</v>
      </c>
      <c r="E146" s="6" t="s">
        <v>788</v>
      </c>
      <c r="F146" s="6"/>
      <c r="G146" s="6" t="s">
        <v>777</v>
      </c>
      <c r="H146" s="6" t="s">
        <v>778</v>
      </c>
      <c r="I146" s="6" t="s">
        <v>31</v>
      </c>
      <c r="J146" s="6" t="s">
        <v>779</v>
      </c>
      <c r="K146" s="6" t="s">
        <v>598</v>
      </c>
      <c r="L146" s="6" t="s">
        <v>780</v>
      </c>
      <c r="M146" s="6" t="s">
        <v>781</v>
      </c>
      <c r="N146" s="6" t="s">
        <v>580</v>
      </c>
      <c r="O146" s="6" t="s">
        <v>782</v>
      </c>
      <c r="P146" s="6"/>
      <c r="Q146" s="8">
        <v>160</v>
      </c>
      <c r="R146" s="8">
        <v>160.47999999999999</v>
      </c>
      <c r="S146" s="8">
        <v>319.89999999999998</v>
      </c>
      <c r="T146" s="8">
        <v>14</v>
      </c>
      <c r="U146" s="8"/>
      <c r="V146" s="8">
        <v>0</v>
      </c>
      <c r="W146" s="12">
        <v>0</v>
      </c>
      <c r="Y146">
        <v>0</v>
      </c>
    </row>
    <row r="147" spans="1:25" ht="40" customHeight="1">
      <c r="A147" s="6" t="s">
        <v>789</v>
      </c>
      <c r="B147" s="6" t="s">
        <v>790</v>
      </c>
      <c r="C147" s="6">
        <v>125920</v>
      </c>
      <c r="D147" s="6" t="s">
        <v>791</v>
      </c>
      <c r="E147" s="6" t="s">
        <v>792</v>
      </c>
      <c r="F147" s="6"/>
      <c r="G147" s="6" t="s">
        <v>777</v>
      </c>
      <c r="H147" s="6" t="s">
        <v>778</v>
      </c>
      <c r="I147" s="6" t="s">
        <v>31</v>
      </c>
      <c r="J147" s="6" t="s">
        <v>779</v>
      </c>
      <c r="K147" s="6" t="s">
        <v>793</v>
      </c>
      <c r="L147" s="6" t="s">
        <v>780</v>
      </c>
      <c r="M147" s="6" t="s">
        <v>781</v>
      </c>
      <c r="N147" s="6" t="s">
        <v>580</v>
      </c>
      <c r="O147" s="6" t="s">
        <v>782</v>
      </c>
      <c r="P147" s="6"/>
      <c r="Q147" s="8">
        <v>160</v>
      </c>
      <c r="R147" s="8">
        <v>160.47999999999999</v>
      </c>
      <c r="S147" s="8">
        <v>319.89999999999998</v>
      </c>
      <c r="T147" s="8">
        <v>14</v>
      </c>
      <c r="U147" s="8"/>
      <c r="V147" s="8">
        <v>0</v>
      </c>
      <c r="W147" s="12">
        <v>0</v>
      </c>
      <c r="Y147">
        <v>0</v>
      </c>
    </row>
    <row r="148" spans="1:25" ht="40" customHeight="1">
      <c r="A148" s="6" t="s">
        <v>794</v>
      </c>
      <c r="B148" s="6" t="s">
        <v>795</v>
      </c>
      <c r="C148" s="6">
        <v>125921</v>
      </c>
      <c r="D148" s="6" t="s">
        <v>605</v>
      </c>
      <c r="E148" s="6" t="s">
        <v>796</v>
      </c>
      <c r="F148" s="6"/>
      <c r="G148" s="6" t="s">
        <v>777</v>
      </c>
      <c r="H148" s="6" t="s">
        <v>797</v>
      </c>
      <c r="I148" s="6" t="s">
        <v>31</v>
      </c>
      <c r="J148" s="6" t="s">
        <v>798</v>
      </c>
      <c r="K148" s="6" t="s">
        <v>799</v>
      </c>
      <c r="L148" s="6" t="s">
        <v>54</v>
      </c>
      <c r="M148" s="6" t="s">
        <v>54</v>
      </c>
      <c r="N148" s="6" t="s">
        <v>580</v>
      </c>
      <c r="O148" s="6" t="s">
        <v>800</v>
      </c>
      <c r="P148" s="6"/>
      <c r="Q148" s="8">
        <v>140</v>
      </c>
      <c r="R148" s="8">
        <v>140.41999999999999</v>
      </c>
      <c r="S148" s="8">
        <v>279.89999999999998</v>
      </c>
      <c r="T148" s="8">
        <v>14</v>
      </c>
      <c r="U148" s="8"/>
      <c r="V148" s="8">
        <v>0</v>
      </c>
      <c r="W148" s="12">
        <v>0</v>
      </c>
      <c r="Y148">
        <v>0</v>
      </c>
    </row>
    <row r="149" spans="1:25" ht="40" customHeight="1">
      <c r="A149" s="6" t="s">
        <v>801</v>
      </c>
      <c r="B149" s="6" t="s">
        <v>802</v>
      </c>
      <c r="C149" s="6">
        <v>125925</v>
      </c>
      <c r="D149" s="6" t="s">
        <v>27</v>
      </c>
      <c r="E149" s="6" t="s">
        <v>803</v>
      </c>
      <c r="F149" s="6"/>
      <c r="G149" s="6" t="s">
        <v>777</v>
      </c>
      <c r="H149" s="6" t="s">
        <v>804</v>
      </c>
      <c r="I149" s="6" t="s">
        <v>31</v>
      </c>
      <c r="J149" s="6" t="s">
        <v>805</v>
      </c>
      <c r="K149" s="6" t="s">
        <v>577</v>
      </c>
      <c r="L149" s="6" t="s">
        <v>806</v>
      </c>
      <c r="M149" s="6" t="s">
        <v>807</v>
      </c>
      <c r="N149" s="6" t="s">
        <v>580</v>
      </c>
      <c r="O149" s="6" t="s">
        <v>808</v>
      </c>
      <c r="P149" s="6"/>
      <c r="Q149" s="8">
        <v>185</v>
      </c>
      <c r="R149" s="8">
        <v>185.55500000000001</v>
      </c>
      <c r="S149" s="8">
        <v>369.9</v>
      </c>
      <c r="T149" s="8">
        <v>14</v>
      </c>
      <c r="U149" s="8"/>
      <c r="V149" s="8">
        <v>0</v>
      </c>
      <c r="W149" s="12">
        <v>0</v>
      </c>
      <c r="Y149">
        <v>0</v>
      </c>
    </row>
    <row r="150" spans="1:25" ht="40" customHeight="1">
      <c r="A150" s="6" t="s">
        <v>809</v>
      </c>
      <c r="B150" s="6" t="s">
        <v>810</v>
      </c>
      <c r="C150" s="6">
        <v>125925</v>
      </c>
      <c r="D150" s="6" t="s">
        <v>64</v>
      </c>
      <c r="E150" s="6" t="s">
        <v>811</v>
      </c>
      <c r="F150" s="6"/>
      <c r="G150" s="6" t="s">
        <v>777</v>
      </c>
      <c r="H150" s="6" t="s">
        <v>804</v>
      </c>
      <c r="I150" s="6" t="s">
        <v>31</v>
      </c>
      <c r="J150" s="6" t="s">
        <v>805</v>
      </c>
      <c r="K150" s="6" t="s">
        <v>598</v>
      </c>
      <c r="L150" s="6" t="s">
        <v>806</v>
      </c>
      <c r="M150" s="6" t="s">
        <v>807</v>
      </c>
      <c r="N150" s="6" t="s">
        <v>580</v>
      </c>
      <c r="O150" s="6" t="s">
        <v>808</v>
      </c>
      <c r="P150" s="6"/>
      <c r="Q150" s="8">
        <v>185</v>
      </c>
      <c r="R150" s="8">
        <v>185.55500000000001</v>
      </c>
      <c r="S150" s="8">
        <v>369.9</v>
      </c>
      <c r="T150" s="8">
        <v>14</v>
      </c>
      <c r="U150" s="8"/>
      <c r="V150" s="8">
        <v>0</v>
      </c>
      <c r="W150" s="12">
        <v>0</v>
      </c>
      <c r="Y150">
        <v>0</v>
      </c>
    </row>
    <row r="151" spans="1:25" ht="40" customHeight="1">
      <c r="A151" s="6" t="s">
        <v>812</v>
      </c>
      <c r="B151" s="6" t="s">
        <v>813</v>
      </c>
      <c r="C151" s="6">
        <v>125925</v>
      </c>
      <c r="D151" s="6" t="s">
        <v>74</v>
      </c>
      <c r="E151" s="6" t="s">
        <v>814</v>
      </c>
      <c r="F151" s="6"/>
      <c r="G151" s="6" t="s">
        <v>777</v>
      </c>
      <c r="H151" s="6" t="s">
        <v>804</v>
      </c>
      <c r="I151" s="6" t="s">
        <v>31</v>
      </c>
      <c r="J151" s="6" t="s">
        <v>805</v>
      </c>
      <c r="K151" s="6" t="s">
        <v>815</v>
      </c>
      <c r="L151" s="6" t="s">
        <v>806</v>
      </c>
      <c r="M151" s="6" t="s">
        <v>807</v>
      </c>
      <c r="N151" s="6" t="s">
        <v>580</v>
      </c>
      <c r="O151" s="6" t="s">
        <v>808</v>
      </c>
      <c r="P151" s="6"/>
      <c r="Q151" s="8">
        <v>185</v>
      </c>
      <c r="R151" s="8">
        <v>185.55500000000001</v>
      </c>
      <c r="S151" s="8">
        <v>369.9</v>
      </c>
      <c r="T151" s="8">
        <v>14</v>
      </c>
      <c r="U151" s="8"/>
      <c r="V151" s="8">
        <v>0</v>
      </c>
      <c r="W151" s="12">
        <v>0</v>
      </c>
      <c r="Y151">
        <v>0</v>
      </c>
    </row>
    <row r="152" spans="1:25" ht="40" customHeight="1">
      <c r="A152" s="6" t="s">
        <v>816</v>
      </c>
      <c r="B152" s="6" t="s">
        <v>817</v>
      </c>
      <c r="C152" s="6">
        <v>125925</v>
      </c>
      <c r="D152" s="6" t="s">
        <v>45</v>
      </c>
      <c r="E152" s="6" t="s">
        <v>818</v>
      </c>
      <c r="F152" s="6"/>
      <c r="G152" s="6" t="s">
        <v>777</v>
      </c>
      <c r="H152" s="6" t="s">
        <v>804</v>
      </c>
      <c r="I152" s="6" t="s">
        <v>31</v>
      </c>
      <c r="J152" s="6" t="s">
        <v>805</v>
      </c>
      <c r="K152" s="6" t="s">
        <v>819</v>
      </c>
      <c r="L152" s="6" t="s">
        <v>806</v>
      </c>
      <c r="M152" s="6" t="s">
        <v>807</v>
      </c>
      <c r="N152" s="6" t="s">
        <v>580</v>
      </c>
      <c r="O152" s="6" t="s">
        <v>808</v>
      </c>
      <c r="P152" s="6"/>
      <c r="Q152" s="8">
        <v>185</v>
      </c>
      <c r="R152" s="8">
        <v>185.55500000000001</v>
      </c>
      <c r="S152" s="8">
        <v>369.9</v>
      </c>
      <c r="T152" s="8">
        <v>14</v>
      </c>
      <c r="U152" s="8"/>
      <c r="V152" s="8">
        <v>0</v>
      </c>
      <c r="W152" s="12">
        <v>0</v>
      </c>
      <c r="Y152">
        <v>0</v>
      </c>
    </row>
    <row r="153" spans="1:25" ht="40" customHeight="1">
      <c r="A153" s="6" t="s">
        <v>820</v>
      </c>
      <c r="B153" s="6" t="s">
        <v>821</v>
      </c>
      <c r="C153" s="6">
        <v>125941</v>
      </c>
      <c r="D153" s="6" t="s">
        <v>27</v>
      </c>
      <c r="E153" s="6" t="s">
        <v>822</v>
      </c>
      <c r="F153" s="6"/>
      <c r="G153" s="6" t="s">
        <v>777</v>
      </c>
      <c r="H153" s="6" t="s">
        <v>823</v>
      </c>
      <c r="I153" s="6" t="s">
        <v>31</v>
      </c>
      <c r="J153" s="6" t="s">
        <v>824</v>
      </c>
      <c r="K153" s="6" t="s">
        <v>577</v>
      </c>
      <c r="L153" s="6" t="s">
        <v>54</v>
      </c>
      <c r="M153" s="6" t="s">
        <v>54</v>
      </c>
      <c r="N153" s="6" t="s">
        <v>580</v>
      </c>
      <c r="O153" s="6" t="s">
        <v>825</v>
      </c>
      <c r="P153" s="6"/>
      <c r="Q153" s="8">
        <v>135</v>
      </c>
      <c r="R153" s="8">
        <v>135.405</v>
      </c>
      <c r="S153" s="8">
        <v>269.89999999999998</v>
      </c>
      <c r="T153" s="8">
        <v>14</v>
      </c>
      <c r="U153" s="8"/>
      <c r="V153" s="8">
        <v>0</v>
      </c>
      <c r="W153" s="12">
        <v>0</v>
      </c>
      <c r="Y153">
        <v>0</v>
      </c>
    </row>
    <row r="154" spans="1:25" ht="40" customHeight="1">
      <c r="A154" s="6" t="s">
        <v>826</v>
      </c>
      <c r="B154" s="6" t="s">
        <v>827</v>
      </c>
      <c r="C154" s="6">
        <v>125941</v>
      </c>
      <c r="D154" s="6" t="s">
        <v>147</v>
      </c>
      <c r="E154" s="6" t="s">
        <v>828</v>
      </c>
      <c r="F154" s="6"/>
      <c r="G154" s="6" t="s">
        <v>777</v>
      </c>
      <c r="H154" s="6" t="s">
        <v>823</v>
      </c>
      <c r="I154" s="6" t="s">
        <v>31</v>
      </c>
      <c r="J154" s="6" t="s">
        <v>824</v>
      </c>
      <c r="K154" s="6" t="s">
        <v>744</v>
      </c>
      <c r="L154" s="6" t="s">
        <v>54</v>
      </c>
      <c r="M154" s="6" t="s">
        <v>54</v>
      </c>
      <c r="N154" s="6" t="s">
        <v>580</v>
      </c>
      <c r="O154" s="6" t="s">
        <v>825</v>
      </c>
      <c r="P154" s="6"/>
      <c r="Q154" s="8">
        <v>135</v>
      </c>
      <c r="R154" s="8">
        <v>135.405</v>
      </c>
      <c r="S154" s="8">
        <v>269.89999999999998</v>
      </c>
      <c r="T154" s="8">
        <v>14</v>
      </c>
      <c r="U154" s="8"/>
      <c r="V154" s="8">
        <v>0</v>
      </c>
      <c r="W154" s="12">
        <v>0</v>
      </c>
      <c r="Y154">
        <v>0</v>
      </c>
    </row>
    <row r="155" spans="1:25" ht="40" customHeight="1">
      <c r="A155" s="6" t="s">
        <v>829</v>
      </c>
      <c r="B155" s="6" t="s">
        <v>830</v>
      </c>
      <c r="C155" s="6">
        <v>125941</v>
      </c>
      <c r="D155" s="6" t="s">
        <v>89</v>
      </c>
      <c r="E155" s="6" t="s">
        <v>831</v>
      </c>
      <c r="F155" s="6"/>
      <c r="G155" s="6" t="s">
        <v>777</v>
      </c>
      <c r="H155" s="6" t="s">
        <v>823</v>
      </c>
      <c r="I155" s="6" t="s">
        <v>31</v>
      </c>
      <c r="J155" s="6" t="s">
        <v>824</v>
      </c>
      <c r="K155" s="6" t="s">
        <v>832</v>
      </c>
      <c r="L155" s="6" t="s">
        <v>54</v>
      </c>
      <c r="M155" s="6" t="s">
        <v>54</v>
      </c>
      <c r="N155" s="6" t="s">
        <v>580</v>
      </c>
      <c r="O155" s="6" t="s">
        <v>825</v>
      </c>
      <c r="P155" s="6"/>
      <c r="Q155" s="8">
        <v>135</v>
      </c>
      <c r="R155" s="8">
        <v>135.405</v>
      </c>
      <c r="S155" s="8">
        <v>269.89999999999998</v>
      </c>
      <c r="T155" s="8">
        <v>14</v>
      </c>
      <c r="U155" s="8"/>
      <c r="V155" s="8">
        <v>0</v>
      </c>
      <c r="W155" s="12">
        <v>0</v>
      </c>
      <c r="Y155">
        <v>0</v>
      </c>
    </row>
    <row r="156" spans="1:25" ht="40" customHeight="1">
      <c r="A156" s="6" t="s">
        <v>833</v>
      </c>
      <c r="B156" s="6" t="s">
        <v>834</v>
      </c>
      <c r="C156" s="6">
        <v>125941</v>
      </c>
      <c r="D156" s="6" t="s">
        <v>45</v>
      </c>
      <c r="E156" s="6" t="s">
        <v>835</v>
      </c>
      <c r="F156" s="6"/>
      <c r="G156" s="6" t="s">
        <v>777</v>
      </c>
      <c r="H156" s="6" t="s">
        <v>823</v>
      </c>
      <c r="I156" s="6" t="s">
        <v>31</v>
      </c>
      <c r="J156" s="6" t="s">
        <v>824</v>
      </c>
      <c r="K156" s="6" t="s">
        <v>819</v>
      </c>
      <c r="L156" s="6" t="s">
        <v>54</v>
      </c>
      <c r="M156" s="6" t="s">
        <v>54</v>
      </c>
      <c r="N156" s="6" t="s">
        <v>580</v>
      </c>
      <c r="O156" s="6" t="s">
        <v>825</v>
      </c>
      <c r="P156" s="6"/>
      <c r="Q156" s="8">
        <v>135</v>
      </c>
      <c r="R156" s="8">
        <v>135.405</v>
      </c>
      <c r="S156" s="8">
        <v>269.89999999999998</v>
      </c>
      <c r="T156" s="8">
        <v>14</v>
      </c>
      <c r="U156" s="8"/>
      <c r="V156" s="8">
        <v>0</v>
      </c>
      <c r="W156" s="12">
        <v>0</v>
      </c>
      <c r="Y156">
        <v>0</v>
      </c>
    </row>
    <row r="157" spans="1:25" ht="40" customHeight="1">
      <c r="A157" s="6" t="s">
        <v>836</v>
      </c>
      <c r="B157" s="6" t="s">
        <v>837</v>
      </c>
      <c r="C157" s="6">
        <v>125942</v>
      </c>
      <c r="D157" s="6" t="s">
        <v>27</v>
      </c>
      <c r="E157" s="6" t="s">
        <v>838</v>
      </c>
      <c r="F157" s="6"/>
      <c r="G157" s="6" t="s">
        <v>777</v>
      </c>
      <c r="H157" s="6" t="s">
        <v>839</v>
      </c>
      <c r="I157" s="6" t="s">
        <v>31</v>
      </c>
      <c r="J157" s="6" t="s">
        <v>840</v>
      </c>
      <c r="K157" s="6" t="s">
        <v>577</v>
      </c>
      <c r="L157" s="6" t="s">
        <v>54</v>
      </c>
      <c r="M157" s="6" t="s">
        <v>54</v>
      </c>
      <c r="N157" s="6" t="s">
        <v>580</v>
      </c>
      <c r="O157" s="6" t="s">
        <v>841</v>
      </c>
      <c r="P157" s="6"/>
      <c r="Q157" s="8">
        <v>165</v>
      </c>
      <c r="R157" s="8">
        <v>165.495</v>
      </c>
      <c r="S157" s="8">
        <v>329.9</v>
      </c>
      <c r="T157" s="8">
        <v>14</v>
      </c>
      <c r="U157" s="8"/>
      <c r="V157" s="8">
        <v>0</v>
      </c>
      <c r="W157" s="12">
        <v>0</v>
      </c>
      <c r="Y157">
        <v>0</v>
      </c>
    </row>
    <row r="158" spans="1:25" ht="40" customHeight="1">
      <c r="A158" s="6" t="s">
        <v>842</v>
      </c>
      <c r="B158" s="6" t="s">
        <v>843</v>
      </c>
      <c r="C158" s="6">
        <v>125942</v>
      </c>
      <c r="D158" s="6" t="s">
        <v>126</v>
      </c>
      <c r="E158" s="6" t="s">
        <v>844</v>
      </c>
      <c r="F158" s="6"/>
      <c r="G158" s="6" t="s">
        <v>777</v>
      </c>
      <c r="H158" s="6" t="s">
        <v>839</v>
      </c>
      <c r="I158" s="6" t="s">
        <v>31</v>
      </c>
      <c r="J158" s="6" t="s">
        <v>840</v>
      </c>
      <c r="K158" s="6" t="s">
        <v>682</v>
      </c>
      <c r="L158" s="6" t="s">
        <v>54</v>
      </c>
      <c r="M158" s="6" t="s">
        <v>54</v>
      </c>
      <c r="N158" s="6" t="s">
        <v>580</v>
      </c>
      <c r="O158" s="6" t="s">
        <v>841</v>
      </c>
      <c r="P158" s="6"/>
      <c r="Q158" s="8">
        <v>165</v>
      </c>
      <c r="R158" s="8">
        <v>165.495</v>
      </c>
      <c r="S158" s="8">
        <v>329.9</v>
      </c>
      <c r="T158" s="8">
        <v>14</v>
      </c>
      <c r="U158" s="8"/>
      <c r="V158" s="8">
        <v>0</v>
      </c>
      <c r="W158" s="12">
        <v>0</v>
      </c>
      <c r="Y158">
        <v>0</v>
      </c>
    </row>
    <row r="159" spans="1:25" ht="40" customHeight="1">
      <c r="A159" s="6" t="s">
        <v>845</v>
      </c>
      <c r="B159" s="6" t="s">
        <v>846</v>
      </c>
      <c r="C159" s="6">
        <v>126030</v>
      </c>
      <c r="D159" s="6" t="s">
        <v>27</v>
      </c>
      <c r="E159" s="6" t="s">
        <v>847</v>
      </c>
      <c r="F159" s="6"/>
      <c r="G159" s="6" t="s">
        <v>848</v>
      </c>
      <c r="H159" s="6" t="s">
        <v>215</v>
      </c>
      <c r="I159" s="6" t="s">
        <v>31</v>
      </c>
      <c r="J159" s="6" t="s">
        <v>762</v>
      </c>
      <c r="K159" s="6" t="s">
        <v>744</v>
      </c>
      <c r="L159" s="6" t="s">
        <v>849</v>
      </c>
      <c r="M159" s="6" t="s">
        <v>850</v>
      </c>
      <c r="N159" s="6" t="s">
        <v>580</v>
      </c>
      <c r="O159" s="6" t="s">
        <v>851</v>
      </c>
      <c r="P159" s="6"/>
      <c r="Q159" s="8">
        <v>150</v>
      </c>
      <c r="R159" s="8">
        <v>150.44999999999999</v>
      </c>
      <c r="S159" s="8">
        <v>299.89999999999998</v>
      </c>
      <c r="T159" s="8">
        <v>14</v>
      </c>
      <c r="U159" s="8"/>
      <c r="V159" s="8">
        <v>0</v>
      </c>
      <c r="W159" s="12">
        <v>0</v>
      </c>
      <c r="Y159">
        <v>0</v>
      </c>
    </row>
    <row r="160" spans="1:25" ht="40" customHeight="1">
      <c r="A160" s="6" t="s">
        <v>852</v>
      </c>
      <c r="B160" s="6" t="s">
        <v>853</v>
      </c>
      <c r="C160" s="6">
        <v>126030</v>
      </c>
      <c r="D160" s="6" t="s">
        <v>64</v>
      </c>
      <c r="E160" s="6" t="s">
        <v>854</v>
      </c>
      <c r="F160" s="6"/>
      <c r="G160" s="6" t="s">
        <v>848</v>
      </c>
      <c r="H160" s="6" t="s">
        <v>215</v>
      </c>
      <c r="I160" s="6" t="s">
        <v>31</v>
      </c>
      <c r="J160" s="6" t="s">
        <v>762</v>
      </c>
      <c r="K160" s="6" t="s">
        <v>855</v>
      </c>
      <c r="L160" s="6" t="s">
        <v>849</v>
      </c>
      <c r="M160" s="6" t="s">
        <v>850</v>
      </c>
      <c r="N160" s="6" t="s">
        <v>580</v>
      </c>
      <c r="O160" s="6" t="s">
        <v>851</v>
      </c>
      <c r="P160" s="6"/>
      <c r="Q160" s="8">
        <v>150</v>
      </c>
      <c r="R160" s="8">
        <v>150.44999999999999</v>
      </c>
      <c r="S160" s="8">
        <v>299.89999999999998</v>
      </c>
      <c r="T160" s="8">
        <v>14</v>
      </c>
      <c r="U160" s="8"/>
      <c r="V160" s="8">
        <v>0</v>
      </c>
      <c r="W160" s="12">
        <v>0</v>
      </c>
      <c r="Y160">
        <v>0</v>
      </c>
    </row>
    <row r="161" spans="1:25" ht="40" customHeight="1">
      <c r="A161" s="6" t="s">
        <v>856</v>
      </c>
      <c r="B161" s="6" t="s">
        <v>857</v>
      </c>
      <c r="C161" s="6">
        <v>126030</v>
      </c>
      <c r="D161" s="6" t="s">
        <v>74</v>
      </c>
      <c r="E161" s="6" t="s">
        <v>858</v>
      </c>
      <c r="F161" s="6"/>
      <c r="G161" s="6" t="s">
        <v>848</v>
      </c>
      <c r="H161" s="6" t="s">
        <v>215</v>
      </c>
      <c r="I161" s="6" t="s">
        <v>31</v>
      </c>
      <c r="J161" s="6" t="s">
        <v>762</v>
      </c>
      <c r="K161" s="6" t="s">
        <v>859</v>
      </c>
      <c r="L161" s="6" t="s">
        <v>849</v>
      </c>
      <c r="M161" s="6" t="s">
        <v>850</v>
      </c>
      <c r="N161" s="6" t="s">
        <v>580</v>
      </c>
      <c r="O161" s="6" t="s">
        <v>851</v>
      </c>
      <c r="P161" s="6"/>
      <c r="Q161" s="8">
        <v>150</v>
      </c>
      <c r="R161" s="8">
        <v>150.44999999999999</v>
      </c>
      <c r="S161" s="8">
        <v>299.89999999999998</v>
      </c>
      <c r="T161" s="8">
        <v>14</v>
      </c>
      <c r="U161" s="8"/>
      <c r="V161" s="8">
        <v>0</v>
      </c>
      <c r="W161" s="12">
        <v>0</v>
      </c>
      <c r="Y161">
        <v>0</v>
      </c>
    </row>
    <row r="162" spans="1:25" ht="40" customHeight="1">
      <c r="A162" s="6" t="s">
        <v>860</v>
      </c>
      <c r="B162" s="6" t="s">
        <v>861</v>
      </c>
      <c r="C162" s="6">
        <v>126030</v>
      </c>
      <c r="D162" s="6" t="s">
        <v>862</v>
      </c>
      <c r="E162" s="6" t="s">
        <v>863</v>
      </c>
      <c r="F162" s="6"/>
      <c r="G162" s="6" t="s">
        <v>848</v>
      </c>
      <c r="H162" s="6" t="s">
        <v>215</v>
      </c>
      <c r="I162" s="6" t="s">
        <v>31</v>
      </c>
      <c r="J162" s="6" t="s">
        <v>762</v>
      </c>
      <c r="K162" s="6" t="s">
        <v>864</v>
      </c>
      <c r="L162" s="6" t="s">
        <v>849</v>
      </c>
      <c r="M162" s="6" t="s">
        <v>850</v>
      </c>
      <c r="N162" s="6" t="s">
        <v>580</v>
      </c>
      <c r="O162" s="6" t="s">
        <v>851</v>
      </c>
      <c r="P162" s="6"/>
      <c r="Q162" s="8">
        <v>150</v>
      </c>
      <c r="R162" s="8">
        <v>150.44999999999999</v>
      </c>
      <c r="S162" s="8">
        <v>299.89999999999998</v>
      </c>
      <c r="T162" s="8">
        <v>14</v>
      </c>
      <c r="U162" s="8"/>
      <c r="V162" s="8">
        <v>0</v>
      </c>
      <c r="W162" s="12">
        <v>0</v>
      </c>
      <c r="Y162">
        <v>0</v>
      </c>
    </row>
    <row r="163" spans="1:25" ht="40" customHeight="1">
      <c r="A163" s="6" t="s">
        <v>865</v>
      </c>
      <c r="B163" s="6" t="s">
        <v>866</v>
      </c>
      <c r="C163" s="6">
        <v>126030</v>
      </c>
      <c r="D163" s="6" t="s">
        <v>659</v>
      </c>
      <c r="E163" s="6" t="s">
        <v>867</v>
      </c>
      <c r="F163" s="6"/>
      <c r="G163" s="6" t="s">
        <v>848</v>
      </c>
      <c r="H163" s="6" t="s">
        <v>215</v>
      </c>
      <c r="I163" s="6" t="s">
        <v>31</v>
      </c>
      <c r="J163" s="6" t="s">
        <v>762</v>
      </c>
      <c r="K163" s="6" t="s">
        <v>868</v>
      </c>
      <c r="L163" s="6" t="s">
        <v>849</v>
      </c>
      <c r="M163" s="6" t="s">
        <v>850</v>
      </c>
      <c r="N163" s="6" t="s">
        <v>580</v>
      </c>
      <c r="O163" s="6" t="s">
        <v>851</v>
      </c>
      <c r="P163" s="6"/>
      <c r="Q163" s="8">
        <v>150</v>
      </c>
      <c r="R163" s="8">
        <v>150.44999999999999</v>
      </c>
      <c r="S163" s="8">
        <v>299.89999999999998</v>
      </c>
      <c r="T163" s="8">
        <v>14</v>
      </c>
      <c r="U163" s="8"/>
      <c r="V163" s="8">
        <v>0</v>
      </c>
      <c r="W163" s="12">
        <v>0</v>
      </c>
      <c r="Y163">
        <v>0</v>
      </c>
    </row>
    <row r="164" spans="1:25" ht="40" customHeight="1">
      <c r="A164" s="6" t="s">
        <v>869</v>
      </c>
      <c r="B164" s="6" t="s">
        <v>870</v>
      </c>
      <c r="C164" s="6">
        <v>126031</v>
      </c>
      <c r="D164" s="6" t="s">
        <v>27</v>
      </c>
      <c r="E164" s="6" t="s">
        <v>871</v>
      </c>
      <c r="F164" s="6"/>
      <c r="G164" s="6" t="s">
        <v>848</v>
      </c>
      <c r="H164" s="6" t="s">
        <v>872</v>
      </c>
      <c r="I164" s="6" t="s">
        <v>31</v>
      </c>
      <c r="J164" s="6" t="s">
        <v>873</v>
      </c>
      <c r="K164" s="6" t="s">
        <v>577</v>
      </c>
      <c r="L164" s="6" t="s">
        <v>874</v>
      </c>
      <c r="M164" s="6" t="s">
        <v>875</v>
      </c>
      <c r="N164" s="6" t="s">
        <v>580</v>
      </c>
      <c r="O164" s="6" t="s">
        <v>876</v>
      </c>
      <c r="P164" s="6"/>
      <c r="Q164" s="8">
        <v>175</v>
      </c>
      <c r="R164" s="8">
        <v>175.52500000000001</v>
      </c>
      <c r="S164" s="8">
        <v>349.9</v>
      </c>
      <c r="T164" s="8">
        <v>14</v>
      </c>
      <c r="U164" s="8"/>
      <c r="V164" s="8">
        <v>0</v>
      </c>
      <c r="W164" s="12">
        <v>0</v>
      </c>
      <c r="Y164">
        <v>0</v>
      </c>
    </row>
    <row r="165" spans="1:25" ht="40" customHeight="1">
      <c r="A165" s="6" t="s">
        <v>877</v>
      </c>
      <c r="B165" s="6" t="s">
        <v>878</v>
      </c>
      <c r="C165" s="6">
        <v>126031</v>
      </c>
      <c r="D165" s="6" t="s">
        <v>64</v>
      </c>
      <c r="E165" s="6" t="s">
        <v>879</v>
      </c>
      <c r="F165" s="6"/>
      <c r="G165" s="6" t="s">
        <v>848</v>
      </c>
      <c r="H165" s="6" t="s">
        <v>872</v>
      </c>
      <c r="I165" s="6" t="s">
        <v>31</v>
      </c>
      <c r="J165" s="6" t="s">
        <v>873</v>
      </c>
      <c r="K165" s="6" t="s">
        <v>598</v>
      </c>
      <c r="L165" s="6" t="s">
        <v>874</v>
      </c>
      <c r="M165" s="6" t="s">
        <v>875</v>
      </c>
      <c r="N165" s="6" t="s">
        <v>580</v>
      </c>
      <c r="O165" s="6" t="s">
        <v>876</v>
      </c>
      <c r="P165" s="6"/>
      <c r="Q165" s="8">
        <v>175</v>
      </c>
      <c r="R165" s="8">
        <v>175.52500000000001</v>
      </c>
      <c r="S165" s="8">
        <v>349.9</v>
      </c>
      <c r="T165" s="8">
        <v>14</v>
      </c>
      <c r="U165" s="8"/>
      <c r="V165" s="8">
        <v>0</v>
      </c>
      <c r="W165" s="12">
        <v>0</v>
      </c>
      <c r="Y165">
        <v>0</v>
      </c>
    </row>
    <row r="166" spans="1:25" ht="40" customHeight="1">
      <c r="A166" s="6" t="s">
        <v>880</v>
      </c>
      <c r="B166" s="6" t="s">
        <v>881</v>
      </c>
      <c r="C166" s="6">
        <v>126031</v>
      </c>
      <c r="D166" s="6" t="s">
        <v>882</v>
      </c>
      <c r="E166" s="6" t="s">
        <v>883</v>
      </c>
      <c r="F166" s="6"/>
      <c r="G166" s="6" t="s">
        <v>848</v>
      </c>
      <c r="H166" s="6" t="s">
        <v>872</v>
      </c>
      <c r="I166" s="6" t="s">
        <v>31</v>
      </c>
      <c r="J166" s="6" t="s">
        <v>873</v>
      </c>
      <c r="K166" s="6" t="s">
        <v>884</v>
      </c>
      <c r="L166" s="6" t="s">
        <v>874</v>
      </c>
      <c r="M166" s="6" t="s">
        <v>875</v>
      </c>
      <c r="N166" s="6" t="s">
        <v>580</v>
      </c>
      <c r="O166" s="6" t="s">
        <v>876</v>
      </c>
      <c r="P166" s="6"/>
      <c r="Q166" s="8">
        <v>175</v>
      </c>
      <c r="R166" s="8">
        <v>175.52500000000001</v>
      </c>
      <c r="S166" s="8">
        <v>349.9</v>
      </c>
      <c r="T166" s="8">
        <v>14</v>
      </c>
      <c r="U166" s="8"/>
      <c r="V166" s="8">
        <v>0</v>
      </c>
      <c r="W166" s="12">
        <v>0</v>
      </c>
      <c r="Y166">
        <v>0</v>
      </c>
    </row>
    <row r="167" spans="1:25" ht="40" customHeight="1">
      <c r="A167" s="6" t="s">
        <v>885</v>
      </c>
      <c r="B167" s="6" t="s">
        <v>886</v>
      </c>
      <c r="C167" s="6">
        <v>126031</v>
      </c>
      <c r="D167" s="6" t="s">
        <v>887</v>
      </c>
      <c r="E167" s="6" t="s">
        <v>888</v>
      </c>
      <c r="F167" s="6"/>
      <c r="G167" s="6" t="s">
        <v>848</v>
      </c>
      <c r="H167" s="6" t="s">
        <v>872</v>
      </c>
      <c r="I167" s="6" t="s">
        <v>31</v>
      </c>
      <c r="J167" s="6" t="s">
        <v>873</v>
      </c>
      <c r="K167" s="6" t="s">
        <v>889</v>
      </c>
      <c r="L167" s="6" t="s">
        <v>874</v>
      </c>
      <c r="M167" s="6" t="s">
        <v>875</v>
      </c>
      <c r="N167" s="6" t="s">
        <v>580</v>
      </c>
      <c r="O167" s="6" t="s">
        <v>876</v>
      </c>
      <c r="P167" s="6"/>
      <c r="Q167" s="8">
        <v>175</v>
      </c>
      <c r="R167" s="8">
        <v>175.52500000000001</v>
      </c>
      <c r="S167" s="8">
        <v>349.9</v>
      </c>
      <c r="T167" s="8">
        <v>14</v>
      </c>
      <c r="U167" s="8"/>
      <c r="V167" s="8">
        <v>0</v>
      </c>
      <c r="W167" s="12">
        <v>0</v>
      </c>
      <c r="Y167">
        <v>0</v>
      </c>
    </row>
    <row r="168" spans="1:25" ht="40" customHeight="1">
      <c r="A168" s="6" t="s">
        <v>890</v>
      </c>
      <c r="B168" s="6" t="s">
        <v>891</v>
      </c>
      <c r="C168" s="6">
        <v>126031</v>
      </c>
      <c r="D168" s="6" t="s">
        <v>659</v>
      </c>
      <c r="E168" s="6" t="s">
        <v>892</v>
      </c>
      <c r="F168" s="6"/>
      <c r="G168" s="6" t="s">
        <v>848</v>
      </c>
      <c r="H168" s="6" t="s">
        <v>872</v>
      </c>
      <c r="I168" s="6" t="s">
        <v>31</v>
      </c>
      <c r="J168" s="6" t="s">
        <v>873</v>
      </c>
      <c r="K168" s="6" t="s">
        <v>661</v>
      </c>
      <c r="L168" s="6" t="s">
        <v>874</v>
      </c>
      <c r="M168" s="6" t="s">
        <v>875</v>
      </c>
      <c r="N168" s="6" t="s">
        <v>580</v>
      </c>
      <c r="O168" s="6" t="s">
        <v>876</v>
      </c>
      <c r="P168" s="6"/>
      <c r="Q168" s="8">
        <v>175</v>
      </c>
      <c r="R168" s="8">
        <v>175.52500000000001</v>
      </c>
      <c r="S168" s="8">
        <v>349.9</v>
      </c>
      <c r="T168" s="8">
        <v>14</v>
      </c>
      <c r="U168" s="8"/>
      <c r="V168" s="8">
        <v>0</v>
      </c>
      <c r="W168" s="12">
        <v>0</v>
      </c>
      <c r="Y168">
        <v>0</v>
      </c>
    </row>
    <row r="169" spans="1:25" ht="40" customHeight="1">
      <c r="A169" s="6" t="s">
        <v>893</v>
      </c>
      <c r="B169" s="6" t="s">
        <v>894</v>
      </c>
      <c r="C169" s="6">
        <v>128630</v>
      </c>
      <c r="D169" s="6" t="s">
        <v>895</v>
      </c>
      <c r="E169" s="6" t="s">
        <v>896</v>
      </c>
      <c r="F169" s="6"/>
      <c r="G169" s="6" t="s">
        <v>897</v>
      </c>
      <c r="H169" s="6" t="s">
        <v>898</v>
      </c>
      <c r="I169" s="6" t="s">
        <v>31</v>
      </c>
      <c r="J169" s="6" t="s">
        <v>899</v>
      </c>
      <c r="K169" s="8"/>
      <c r="L169" s="8"/>
      <c r="M169" s="8"/>
      <c r="N169" s="8"/>
      <c r="O169" s="8"/>
      <c r="P169" s="8"/>
      <c r="Q169" s="8">
        <v>160</v>
      </c>
      <c r="R169" s="8">
        <v>160.47999999999999</v>
      </c>
      <c r="S169" s="8">
        <v>319.89999999999998</v>
      </c>
      <c r="T169" s="8">
        <v>14</v>
      </c>
      <c r="U169" s="8"/>
      <c r="V169" s="8">
        <v>0</v>
      </c>
      <c r="W169" s="12">
        <v>0</v>
      </c>
      <c r="Y169">
        <v>0</v>
      </c>
    </row>
    <row r="170" spans="1:25" ht="40" customHeight="1">
      <c r="A170" s="6" t="s">
        <v>900</v>
      </c>
      <c r="B170" s="6" t="s">
        <v>901</v>
      </c>
      <c r="C170" s="6">
        <v>128630</v>
      </c>
      <c r="D170" s="6" t="s">
        <v>766</v>
      </c>
      <c r="E170" s="6" t="s">
        <v>902</v>
      </c>
      <c r="F170" s="6"/>
      <c r="G170" s="6" t="s">
        <v>897</v>
      </c>
      <c r="H170" s="6" t="s">
        <v>898</v>
      </c>
      <c r="I170" s="6" t="s">
        <v>31</v>
      </c>
      <c r="J170" s="6" t="s">
        <v>899</v>
      </c>
      <c r="K170" s="6" t="s">
        <v>903</v>
      </c>
      <c r="L170" s="6" t="s">
        <v>54</v>
      </c>
      <c r="M170" s="6" t="s">
        <v>54</v>
      </c>
      <c r="N170" s="6" t="s">
        <v>904</v>
      </c>
      <c r="O170" s="6" t="s">
        <v>905</v>
      </c>
      <c r="P170" s="6"/>
      <c r="Q170" s="8">
        <v>160</v>
      </c>
      <c r="R170" s="8">
        <v>160.47999999999999</v>
      </c>
      <c r="S170" s="8">
        <v>319.89999999999998</v>
      </c>
      <c r="T170" s="8">
        <v>14</v>
      </c>
      <c r="U170" s="8"/>
      <c r="V170" s="8">
        <v>0</v>
      </c>
      <c r="W170" s="12">
        <v>0</v>
      </c>
      <c r="Y170">
        <v>0</v>
      </c>
    </row>
    <row r="171" spans="1:25" ht="40" customHeight="1">
      <c r="A171" s="6" t="s">
        <v>906</v>
      </c>
      <c r="B171" s="6" t="s">
        <v>907</v>
      </c>
      <c r="C171" s="6">
        <v>128633</v>
      </c>
      <c r="D171" s="6" t="s">
        <v>908</v>
      </c>
      <c r="E171" s="6" t="s">
        <v>909</v>
      </c>
      <c r="F171" s="6"/>
      <c r="G171" s="6" t="s">
        <v>897</v>
      </c>
      <c r="H171" s="6" t="s">
        <v>910</v>
      </c>
      <c r="I171" s="6" t="s">
        <v>31</v>
      </c>
      <c r="J171" s="6" t="s">
        <v>911</v>
      </c>
      <c r="K171" s="6" t="s">
        <v>912</v>
      </c>
      <c r="L171" s="6" t="s">
        <v>913</v>
      </c>
      <c r="M171" s="6" t="s">
        <v>914</v>
      </c>
      <c r="N171" s="6" t="s">
        <v>904</v>
      </c>
      <c r="O171" s="6" t="s">
        <v>915</v>
      </c>
      <c r="P171" s="6"/>
      <c r="Q171" s="8">
        <v>160</v>
      </c>
      <c r="R171" s="8">
        <v>160.47999999999999</v>
      </c>
      <c r="S171" s="8">
        <v>319.89999999999998</v>
      </c>
      <c r="T171" s="8">
        <v>14</v>
      </c>
      <c r="U171" s="8"/>
      <c r="V171" s="8">
        <v>0</v>
      </c>
      <c r="W171" s="12">
        <v>0</v>
      </c>
      <c r="Y171">
        <v>0</v>
      </c>
    </row>
    <row r="172" spans="1:25" ht="40" customHeight="1">
      <c r="A172" s="6" t="s">
        <v>916</v>
      </c>
      <c r="B172" s="6" t="s">
        <v>917</v>
      </c>
      <c r="C172" s="6">
        <v>128633</v>
      </c>
      <c r="D172" s="6" t="s">
        <v>918</v>
      </c>
      <c r="E172" s="6" t="s">
        <v>919</v>
      </c>
      <c r="F172" s="6"/>
      <c r="G172" s="6" t="s">
        <v>897</v>
      </c>
      <c r="H172" s="6" t="s">
        <v>910</v>
      </c>
      <c r="I172" s="6" t="s">
        <v>31</v>
      </c>
      <c r="J172" s="6" t="s">
        <v>911</v>
      </c>
      <c r="K172" s="6" t="s">
        <v>920</v>
      </c>
      <c r="L172" s="6" t="s">
        <v>913</v>
      </c>
      <c r="M172" s="6" t="s">
        <v>914</v>
      </c>
      <c r="N172" s="6" t="s">
        <v>904</v>
      </c>
      <c r="O172" s="6" t="s">
        <v>915</v>
      </c>
      <c r="P172" s="6"/>
      <c r="Q172" s="8">
        <v>160</v>
      </c>
      <c r="R172" s="8">
        <v>160.47999999999999</v>
      </c>
      <c r="S172" s="8">
        <v>319.89999999999998</v>
      </c>
      <c r="T172" s="8">
        <v>14</v>
      </c>
      <c r="U172" s="8"/>
      <c r="V172" s="8">
        <v>0</v>
      </c>
      <c r="W172" s="12">
        <v>0</v>
      </c>
      <c r="Y172">
        <v>0</v>
      </c>
    </row>
    <row r="173" spans="1:25" ht="40" customHeight="1">
      <c r="A173" s="6" t="s">
        <v>921</v>
      </c>
      <c r="B173" s="6" t="s">
        <v>922</v>
      </c>
      <c r="C173" s="6">
        <v>128633</v>
      </c>
      <c r="D173" s="6" t="s">
        <v>923</v>
      </c>
      <c r="E173" s="6" t="s">
        <v>924</v>
      </c>
      <c r="F173" s="6"/>
      <c r="G173" s="6" t="s">
        <v>897</v>
      </c>
      <c r="H173" s="6" t="s">
        <v>910</v>
      </c>
      <c r="I173" s="6" t="s">
        <v>31</v>
      </c>
      <c r="J173" s="6" t="s">
        <v>911</v>
      </c>
      <c r="K173" s="6" t="s">
        <v>925</v>
      </c>
      <c r="L173" s="6" t="s">
        <v>913</v>
      </c>
      <c r="M173" s="6" t="s">
        <v>914</v>
      </c>
      <c r="N173" s="6" t="s">
        <v>904</v>
      </c>
      <c r="O173" s="6" t="s">
        <v>915</v>
      </c>
      <c r="P173" s="6"/>
      <c r="Q173" s="8">
        <v>160</v>
      </c>
      <c r="R173" s="8">
        <v>160.47999999999999</v>
      </c>
      <c r="S173" s="8">
        <v>319.89999999999998</v>
      </c>
      <c r="T173" s="8">
        <v>14</v>
      </c>
      <c r="U173" s="8"/>
      <c r="V173" s="8">
        <v>0</v>
      </c>
      <c r="W173" s="12">
        <v>0</v>
      </c>
      <c r="Y173">
        <v>0</v>
      </c>
    </row>
    <row r="174" spans="1:25" ht="40" customHeight="1">
      <c r="A174" s="6" t="s">
        <v>926</v>
      </c>
      <c r="B174" s="6" t="s">
        <v>927</v>
      </c>
      <c r="C174" s="6">
        <v>128633</v>
      </c>
      <c r="D174" s="6" t="s">
        <v>659</v>
      </c>
      <c r="E174" s="6" t="s">
        <v>928</v>
      </c>
      <c r="F174" s="6"/>
      <c r="G174" s="6" t="s">
        <v>897</v>
      </c>
      <c r="H174" s="6" t="s">
        <v>910</v>
      </c>
      <c r="I174" s="6" t="s">
        <v>31</v>
      </c>
      <c r="J174" s="6" t="s">
        <v>911</v>
      </c>
      <c r="K174" s="6" t="s">
        <v>925</v>
      </c>
      <c r="L174" s="6" t="s">
        <v>913</v>
      </c>
      <c r="M174" s="6" t="s">
        <v>914</v>
      </c>
      <c r="N174" s="6" t="s">
        <v>904</v>
      </c>
      <c r="O174" s="6" t="s">
        <v>915</v>
      </c>
      <c r="P174" s="6"/>
      <c r="Q174" s="8">
        <v>160</v>
      </c>
      <c r="R174" s="8">
        <v>160.47999999999999</v>
      </c>
      <c r="S174" s="8">
        <v>319.89999999999998</v>
      </c>
      <c r="T174" s="8">
        <v>14</v>
      </c>
      <c r="U174" s="8"/>
      <c r="V174" s="8">
        <v>0</v>
      </c>
      <c r="W174" s="12">
        <v>0</v>
      </c>
      <c r="Y174">
        <v>0</v>
      </c>
    </row>
    <row r="175" spans="1:25" ht="40" customHeight="1">
      <c r="A175" s="6" t="s">
        <v>929</v>
      </c>
      <c r="B175" s="6" t="s">
        <v>930</v>
      </c>
      <c r="C175" s="6">
        <v>128650</v>
      </c>
      <c r="D175" s="6" t="s">
        <v>64</v>
      </c>
      <c r="E175" s="6" t="s">
        <v>931</v>
      </c>
      <c r="F175" s="6"/>
      <c r="G175" s="6" t="s">
        <v>897</v>
      </c>
      <c r="H175" s="6" t="s">
        <v>932</v>
      </c>
      <c r="I175" s="6" t="s">
        <v>31</v>
      </c>
      <c r="J175" s="6" t="s">
        <v>933</v>
      </c>
      <c r="K175" s="6" t="s">
        <v>598</v>
      </c>
      <c r="L175" s="6" t="s">
        <v>54</v>
      </c>
      <c r="M175" s="6" t="s">
        <v>54</v>
      </c>
      <c r="N175" s="6" t="s">
        <v>904</v>
      </c>
      <c r="O175" s="6" t="s">
        <v>934</v>
      </c>
      <c r="P175" s="6"/>
      <c r="Q175" s="8">
        <v>150</v>
      </c>
      <c r="R175" s="8">
        <v>150.44999999999999</v>
      </c>
      <c r="S175" s="8">
        <v>299.89999999999998</v>
      </c>
      <c r="T175" s="8">
        <v>14</v>
      </c>
      <c r="U175" s="8"/>
      <c r="V175" s="8">
        <v>0</v>
      </c>
      <c r="W175" s="12">
        <v>0</v>
      </c>
      <c r="Y175">
        <v>0</v>
      </c>
    </row>
    <row r="176" spans="1:25" ht="40" customHeight="1">
      <c r="A176" s="6" t="s">
        <v>935</v>
      </c>
      <c r="B176" s="6" t="s">
        <v>936</v>
      </c>
      <c r="C176" s="6">
        <v>128650</v>
      </c>
      <c r="D176" s="6" t="s">
        <v>937</v>
      </c>
      <c r="E176" s="6" t="s">
        <v>938</v>
      </c>
      <c r="F176" s="6"/>
      <c r="G176" s="6" t="s">
        <v>897</v>
      </c>
      <c r="H176" s="6" t="s">
        <v>932</v>
      </c>
      <c r="I176" s="6" t="s">
        <v>31</v>
      </c>
      <c r="J176" s="6" t="s">
        <v>933</v>
      </c>
      <c r="K176" s="8"/>
      <c r="L176" s="8"/>
      <c r="M176" s="8"/>
      <c r="N176" s="8"/>
      <c r="O176" s="8"/>
      <c r="P176" s="8"/>
      <c r="Q176" s="8">
        <v>150</v>
      </c>
      <c r="R176" s="8">
        <v>150.44999999999999</v>
      </c>
      <c r="S176" s="8">
        <v>299.89999999999998</v>
      </c>
      <c r="T176" s="8">
        <v>14</v>
      </c>
      <c r="U176" s="8"/>
      <c r="V176" s="8">
        <v>0</v>
      </c>
      <c r="W176" s="12">
        <v>0</v>
      </c>
      <c r="Y176">
        <v>0</v>
      </c>
    </row>
    <row r="177" spans="1:25" ht="40" customHeight="1">
      <c r="A177" s="6" t="s">
        <v>939</v>
      </c>
      <c r="B177" s="6" t="s">
        <v>940</v>
      </c>
      <c r="C177" s="6">
        <v>128650</v>
      </c>
      <c r="D177" s="6" t="s">
        <v>74</v>
      </c>
      <c r="E177" s="6" t="s">
        <v>941</v>
      </c>
      <c r="F177" s="6"/>
      <c r="G177" s="6" t="s">
        <v>897</v>
      </c>
      <c r="H177" s="6" t="s">
        <v>932</v>
      </c>
      <c r="I177" s="6" t="s">
        <v>31</v>
      </c>
      <c r="J177" s="6" t="s">
        <v>933</v>
      </c>
      <c r="K177" s="6" t="s">
        <v>815</v>
      </c>
      <c r="L177" s="6" t="s">
        <v>54</v>
      </c>
      <c r="M177" s="6" t="s">
        <v>54</v>
      </c>
      <c r="N177" s="6" t="s">
        <v>904</v>
      </c>
      <c r="O177" s="6" t="s">
        <v>934</v>
      </c>
      <c r="P177" s="6"/>
      <c r="Q177" s="8">
        <v>150</v>
      </c>
      <c r="R177" s="8">
        <v>150.44999999999999</v>
      </c>
      <c r="S177" s="8">
        <v>299.89999999999998</v>
      </c>
      <c r="T177" s="8">
        <v>14</v>
      </c>
      <c r="U177" s="8"/>
      <c r="V177" s="8">
        <v>0</v>
      </c>
      <c r="W177" s="12">
        <v>0</v>
      </c>
      <c r="Y177">
        <v>0</v>
      </c>
    </row>
    <row r="178" spans="1:25" ht="40" customHeight="1">
      <c r="A178" s="6" t="s">
        <v>942</v>
      </c>
      <c r="B178" s="6" t="s">
        <v>943</v>
      </c>
      <c r="C178" s="6">
        <v>128650</v>
      </c>
      <c r="D178" s="6" t="s">
        <v>944</v>
      </c>
      <c r="E178" s="6" t="s">
        <v>945</v>
      </c>
      <c r="F178" s="6"/>
      <c r="G178" s="6" t="s">
        <v>897</v>
      </c>
      <c r="H178" s="6" t="s">
        <v>932</v>
      </c>
      <c r="I178" s="6" t="s">
        <v>31</v>
      </c>
      <c r="J178" s="6" t="s">
        <v>933</v>
      </c>
      <c r="K178" s="6" t="s">
        <v>946</v>
      </c>
      <c r="L178" s="6" t="s">
        <v>54</v>
      </c>
      <c r="M178" s="6" t="s">
        <v>54</v>
      </c>
      <c r="N178" s="6" t="s">
        <v>904</v>
      </c>
      <c r="O178" s="6" t="s">
        <v>934</v>
      </c>
      <c r="P178" s="6"/>
      <c r="Q178" s="8">
        <v>150</v>
      </c>
      <c r="R178" s="8">
        <v>150.44999999999999</v>
      </c>
      <c r="S178" s="8">
        <v>299.89999999999998</v>
      </c>
      <c r="T178" s="8">
        <v>14</v>
      </c>
      <c r="U178" s="8"/>
      <c r="V178" s="8">
        <v>0</v>
      </c>
      <c r="W178" s="12">
        <v>0</v>
      </c>
      <c r="Y178">
        <v>0</v>
      </c>
    </row>
    <row r="179" spans="1:25" ht="40" customHeight="1">
      <c r="A179" s="6" t="s">
        <v>947</v>
      </c>
      <c r="B179" s="6" t="s">
        <v>948</v>
      </c>
      <c r="C179" s="6">
        <v>128650</v>
      </c>
      <c r="D179" s="6" t="s">
        <v>410</v>
      </c>
      <c r="E179" s="6" t="s">
        <v>949</v>
      </c>
      <c r="F179" s="6"/>
      <c r="G179" s="6" t="s">
        <v>897</v>
      </c>
      <c r="H179" s="6" t="s">
        <v>932</v>
      </c>
      <c r="I179" s="6" t="s">
        <v>31</v>
      </c>
      <c r="J179" s="6" t="s">
        <v>933</v>
      </c>
      <c r="K179" s="6" t="s">
        <v>585</v>
      </c>
      <c r="L179" s="6" t="s">
        <v>54</v>
      </c>
      <c r="M179" s="6" t="s">
        <v>54</v>
      </c>
      <c r="N179" s="6" t="s">
        <v>904</v>
      </c>
      <c r="O179" s="6" t="s">
        <v>934</v>
      </c>
      <c r="P179" s="6"/>
      <c r="Q179" s="8">
        <v>150</v>
      </c>
      <c r="R179" s="8">
        <v>150.44999999999999</v>
      </c>
      <c r="S179" s="8">
        <v>299.89999999999998</v>
      </c>
      <c r="T179" s="8">
        <v>14</v>
      </c>
      <c r="U179" s="8"/>
      <c r="V179" s="8">
        <v>0</v>
      </c>
      <c r="W179" s="12">
        <v>0</v>
      </c>
      <c r="X179">
        <f>VLOOKUP(E179,[1]Sheet2!$A:$C,3,FALSE)</f>
        <v>1</v>
      </c>
      <c r="Y179">
        <v>1</v>
      </c>
    </row>
    <row r="180" spans="1:25" ht="40" customHeight="1">
      <c r="A180" s="6" t="s">
        <v>950</v>
      </c>
      <c r="B180" s="8" t="s">
        <v>951</v>
      </c>
      <c r="C180" s="1" t="s">
        <v>952</v>
      </c>
      <c r="D180" s="6" t="s">
        <v>64</v>
      </c>
      <c r="E180" s="1" t="s">
        <v>953</v>
      </c>
      <c r="F180" s="6" t="s">
        <v>5</v>
      </c>
      <c r="G180" s="6" t="s">
        <v>897</v>
      </c>
      <c r="H180" s="6" t="s">
        <v>954</v>
      </c>
      <c r="I180" s="6" t="s">
        <v>31</v>
      </c>
      <c r="J180" s="6" t="s">
        <v>955</v>
      </c>
      <c r="K180" s="6" t="s">
        <v>956</v>
      </c>
      <c r="L180" s="6" t="s">
        <v>54</v>
      </c>
      <c r="M180" s="6" t="s">
        <v>54</v>
      </c>
      <c r="N180" s="6" t="s">
        <v>904</v>
      </c>
      <c r="O180" s="6" t="s">
        <v>905</v>
      </c>
      <c r="P180" s="6"/>
      <c r="Q180" s="8">
        <v>140</v>
      </c>
      <c r="R180" s="8">
        <v>140.41999999999999</v>
      </c>
      <c r="S180" s="8">
        <v>279.89999999999998</v>
      </c>
      <c r="T180" s="8">
        <v>14</v>
      </c>
      <c r="U180" s="8"/>
      <c r="V180" s="8">
        <v>0</v>
      </c>
      <c r="W180" s="12">
        <v>0</v>
      </c>
      <c r="Y180">
        <v>0</v>
      </c>
    </row>
    <row r="181" spans="1:25" ht="40" customHeight="1">
      <c r="A181" s="6" t="s">
        <v>957</v>
      </c>
      <c r="B181" s="8" t="s">
        <v>958</v>
      </c>
      <c r="C181" s="1" t="s">
        <v>952</v>
      </c>
      <c r="D181" s="6" t="s">
        <v>40</v>
      </c>
      <c r="E181" s="1" t="s">
        <v>959</v>
      </c>
      <c r="F181" s="6" t="s">
        <v>5</v>
      </c>
      <c r="G181" s="6" t="s">
        <v>897</v>
      </c>
      <c r="H181" s="6" t="s">
        <v>954</v>
      </c>
      <c r="I181" s="6" t="s">
        <v>31</v>
      </c>
      <c r="J181" s="6" t="s">
        <v>955</v>
      </c>
      <c r="K181" s="6" t="s">
        <v>960</v>
      </c>
      <c r="L181" s="6" t="s">
        <v>54</v>
      </c>
      <c r="M181" s="6" t="s">
        <v>54</v>
      </c>
      <c r="N181" s="6" t="s">
        <v>904</v>
      </c>
      <c r="O181" s="6" t="s">
        <v>905</v>
      </c>
      <c r="P181" s="6"/>
      <c r="Q181" s="8">
        <v>140</v>
      </c>
      <c r="R181" s="8">
        <v>140.41999999999999</v>
      </c>
      <c r="S181" s="8">
        <v>279.89999999999998</v>
      </c>
      <c r="T181" s="8">
        <v>14</v>
      </c>
      <c r="U181" s="8"/>
      <c r="V181" s="8">
        <v>0</v>
      </c>
      <c r="W181" s="12">
        <v>0</v>
      </c>
      <c r="Y181">
        <v>0</v>
      </c>
    </row>
    <row r="182" spans="1:25" ht="40" customHeight="1">
      <c r="A182" s="6" t="s">
        <v>961</v>
      </c>
      <c r="B182" s="8" t="s">
        <v>962</v>
      </c>
      <c r="C182" s="1" t="s">
        <v>952</v>
      </c>
      <c r="D182" s="6" t="s">
        <v>74</v>
      </c>
      <c r="E182" s="1" t="s">
        <v>963</v>
      </c>
      <c r="F182" s="6" t="s">
        <v>5</v>
      </c>
      <c r="G182" s="6" t="s">
        <v>897</v>
      </c>
      <c r="H182" s="6" t="s">
        <v>954</v>
      </c>
      <c r="I182" s="6" t="s">
        <v>31</v>
      </c>
      <c r="J182" s="6" t="s">
        <v>955</v>
      </c>
      <c r="K182" s="6" t="s">
        <v>964</v>
      </c>
      <c r="L182" s="6" t="s">
        <v>54</v>
      </c>
      <c r="M182" s="6" t="s">
        <v>54</v>
      </c>
      <c r="N182" s="6" t="s">
        <v>904</v>
      </c>
      <c r="O182" s="6" t="s">
        <v>905</v>
      </c>
      <c r="P182" s="6"/>
      <c r="Q182" s="8">
        <v>140</v>
      </c>
      <c r="R182" s="8">
        <v>140.41999999999999</v>
      </c>
      <c r="S182" s="8">
        <v>279.89999999999998</v>
      </c>
      <c r="T182" s="8">
        <v>14</v>
      </c>
      <c r="U182" s="8"/>
      <c r="V182" s="8">
        <v>0</v>
      </c>
      <c r="W182" s="12">
        <v>0</v>
      </c>
      <c r="Y182">
        <v>0</v>
      </c>
    </row>
    <row r="183" spans="1:25" ht="40" customHeight="1">
      <c r="A183" s="6" t="s">
        <v>965</v>
      </c>
      <c r="B183" s="8" t="s">
        <v>966</v>
      </c>
      <c r="C183" s="1" t="s">
        <v>952</v>
      </c>
      <c r="D183" s="6" t="s">
        <v>89</v>
      </c>
      <c r="E183" s="1" t="s">
        <v>967</v>
      </c>
      <c r="F183" s="6" t="s">
        <v>5</v>
      </c>
      <c r="G183" s="6" t="s">
        <v>897</v>
      </c>
      <c r="H183" s="6" t="s">
        <v>954</v>
      </c>
      <c r="I183" s="6" t="s">
        <v>31</v>
      </c>
      <c r="J183" s="6" t="s">
        <v>955</v>
      </c>
      <c r="K183" s="6" t="s">
        <v>968</v>
      </c>
      <c r="L183" s="6" t="s">
        <v>54</v>
      </c>
      <c r="M183" s="6" t="s">
        <v>54</v>
      </c>
      <c r="N183" s="6" t="s">
        <v>904</v>
      </c>
      <c r="O183" s="6" t="s">
        <v>905</v>
      </c>
      <c r="P183" s="6"/>
      <c r="Q183" s="8">
        <v>140</v>
      </c>
      <c r="R183" s="8">
        <v>140.41999999999999</v>
      </c>
      <c r="S183" s="8">
        <v>279.89999999999998</v>
      </c>
      <c r="T183" s="8">
        <v>14</v>
      </c>
      <c r="U183" s="8"/>
      <c r="V183" s="8">
        <v>0</v>
      </c>
      <c r="W183" s="12">
        <v>0</v>
      </c>
      <c r="Y183">
        <v>0</v>
      </c>
    </row>
    <row r="184" spans="1:25" ht="40" customHeight="1">
      <c r="A184" s="6" t="s">
        <v>969</v>
      </c>
      <c r="B184" s="8" t="s">
        <v>970</v>
      </c>
      <c r="C184" s="1" t="s">
        <v>952</v>
      </c>
      <c r="D184" s="6" t="s">
        <v>126</v>
      </c>
      <c r="E184" s="1" t="s">
        <v>971</v>
      </c>
      <c r="F184" s="6" t="s">
        <v>5</v>
      </c>
      <c r="G184" s="6" t="s">
        <v>897</v>
      </c>
      <c r="H184" s="6" t="s">
        <v>954</v>
      </c>
      <c r="I184" s="6" t="s">
        <v>31</v>
      </c>
      <c r="J184" s="6" t="s">
        <v>955</v>
      </c>
      <c r="K184" s="6" t="s">
        <v>972</v>
      </c>
      <c r="L184" s="6" t="s">
        <v>54</v>
      </c>
      <c r="M184" s="6" t="s">
        <v>54</v>
      </c>
      <c r="N184" s="6" t="s">
        <v>904</v>
      </c>
      <c r="O184" s="6" t="s">
        <v>905</v>
      </c>
      <c r="P184" s="6"/>
      <c r="Q184" s="8">
        <v>140</v>
      </c>
      <c r="R184" s="8">
        <v>140.41999999999999</v>
      </c>
      <c r="S184" s="8">
        <v>279.89999999999998</v>
      </c>
      <c r="T184" s="8">
        <v>14</v>
      </c>
      <c r="U184" s="8"/>
      <c r="V184" s="8">
        <v>0</v>
      </c>
      <c r="W184" s="12">
        <v>0</v>
      </c>
      <c r="X184">
        <f>VLOOKUP(E184,[1]Sheet2!$A:$C,3,FALSE)</f>
        <v>1</v>
      </c>
      <c r="Y184">
        <v>1</v>
      </c>
    </row>
    <row r="185" spans="1:25" ht="40" customHeight="1">
      <c r="A185" s="6" t="s">
        <v>973</v>
      </c>
      <c r="B185" s="6" t="s">
        <v>974</v>
      </c>
      <c r="C185" s="6">
        <v>129050</v>
      </c>
      <c r="D185" s="6" t="s">
        <v>147</v>
      </c>
      <c r="E185" s="6" t="s">
        <v>975</v>
      </c>
      <c r="F185" s="6"/>
      <c r="G185" s="6" t="s">
        <v>976</v>
      </c>
      <c r="H185" s="6" t="s">
        <v>215</v>
      </c>
      <c r="I185" s="6" t="s">
        <v>31</v>
      </c>
      <c r="J185" s="6" t="s">
        <v>977</v>
      </c>
      <c r="K185" s="6" t="s">
        <v>978</v>
      </c>
      <c r="L185" s="6" t="s">
        <v>54</v>
      </c>
      <c r="M185" s="6" t="s">
        <v>54</v>
      </c>
      <c r="N185" s="6" t="s">
        <v>904</v>
      </c>
      <c r="O185" s="6" t="s">
        <v>979</v>
      </c>
      <c r="P185" s="6"/>
      <c r="Q185" s="8">
        <v>165</v>
      </c>
      <c r="R185" s="8">
        <v>165.495</v>
      </c>
      <c r="S185" s="8">
        <v>329.9</v>
      </c>
      <c r="T185" s="8">
        <v>14</v>
      </c>
      <c r="U185" s="8"/>
      <c r="V185" s="8">
        <v>0</v>
      </c>
      <c r="W185" s="12">
        <v>0</v>
      </c>
      <c r="Y185">
        <v>0</v>
      </c>
    </row>
    <row r="186" spans="1:25" ht="40" customHeight="1">
      <c r="A186" s="6" t="s">
        <v>980</v>
      </c>
      <c r="B186" s="6" t="s">
        <v>981</v>
      </c>
      <c r="C186" s="6">
        <v>129050</v>
      </c>
      <c r="D186" s="6" t="s">
        <v>40</v>
      </c>
      <c r="E186" s="6" t="s">
        <v>982</v>
      </c>
      <c r="F186" s="6"/>
      <c r="G186" s="6" t="s">
        <v>976</v>
      </c>
      <c r="H186" s="6" t="s">
        <v>215</v>
      </c>
      <c r="I186" s="6" t="s">
        <v>31</v>
      </c>
      <c r="J186" s="6" t="s">
        <v>977</v>
      </c>
      <c r="K186" s="6" t="s">
        <v>983</v>
      </c>
      <c r="L186" s="6" t="s">
        <v>54</v>
      </c>
      <c r="M186" s="6" t="s">
        <v>54</v>
      </c>
      <c r="N186" s="6" t="s">
        <v>904</v>
      </c>
      <c r="O186" s="6" t="s">
        <v>979</v>
      </c>
      <c r="P186" s="6"/>
      <c r="Q186" s="8">
        <v>165</v>
      </c>
      <c r="R186" s="8">
        <v>165.495</v>
      </c>
      <c r="S186" s="8">
        <v>329.9</v>
      </c>
      <c r="T186" s="8">
        <v>14</v>
      </c>
      <c r="U186" s="8"/>
      <c r="V186" s="8">
        <v>0</v>
      </c>
      <c r="W186" s="12">
        <v>0</v>
      </c>
      <c r="Y186">
        <v>0</v>
      </c>
    </row>
    <row r="187" spans="1:25" ht="40" customHeight="1">
      <c r="A187" s="6" t="s">
        <v>984</v>
      </c>
      <c r="B187" s="6" t="s">
        <v>985</v>
      </c>
      <c r="C187" s="6">
        <v>129050</v>
      </c>
      <c r="D187" s="6" t="s">
        <v>89</v>
      </c>
      <c r="E187" s="6" t="s">
        <v>986</v>
      </c>
      <c r="F187" s="6"/>
      <c r="G187" s="6" t="s">
        <v>976</v>
      </c>
      <c r="H187" s="6" t="s">
        <v>215</v>
      </c>
      <c r="I187" s="6" t="s">
        <v>31</v>
      </c>
      <c r="J187" s="6" t="s">
        <v>977</v>
      </c>
      <c r="K187" s="6" t="s">
        <v>987</v>
      </c>
      <c r="L187" s="6" t="s">
        <v>54</v>
      </c>
      <c r="M187" s="6" t="s">
        <v>54</v>
      </c>
      <c r="N187" s="6" t="s">
        <v>904</v>
      </c>
      <c r="O187" s="6" t="s">
        <v>979</v>
      </c>
      <c r="P187" s="6"/>
      <c r="Q187" s="8">
        <v>165</v>
      </c>
      <c r="R187" s="8">
        <v>165.495</v>
      </c>
      <c r="S187" s="8">
        <v>329.9</v>
      </c>
      <c r="T187" s="8">
        <v>14</v>
      </c>
      <c r="U187" s="8"/>
      <c r="V187" s="8">
        <v>0</v>
      </c>
      <c r="W187" s="12">
        <v>0</v>
      </c>
      <c r="Y187">
        <v>0</v>
      </c>
    </row>
    <row r="188" spans="1:25" ht="40" customHeight="1">
      <c r="A188" s="6" t="s">
        <v>988</v>
      </c>
      <c r="B188" s="6" t="s">
        <v>989</v>
      </c>
      <c r="C188" s="6">
        <v>129050</v>
      </c>
      <c r="D188" s="6" t="s">
        <v>45</v>
      </c>
      <c r="E188" s="6" t="s">
        <v>990</v>
      </c>
      <c r="F188" s="6"/>
      <c r="G188" s="6" t="s">
        <v>976</v>
      </c>
      <c r="H188" s="6" t="s">
        <v>215</v>
      </c>
      <c r="I188" s="6" t="s">
        <v>31</v>
      </c>
      <c r="J188" s="6" t="s">
        <v>977</v>
      </c>
      <c r="K188" s="6" t="s">
        <v>991</v>
      </c>
      <c r="L188" s="6" t="s">
        <v>54</v>
      </c>
      <c r="M188" s="6" t="s">
        <v>54</v>
      </c>
      <c r="N188" s="6" t="s">
        <v>904</v>
      </c>
      <c r="O188" s="6" t="s">
        <v>979</v>
      </c>
      <c r="P188" s="6"/>
      <c r="Q188" s="8">
        <v>165</v>
      </c>
      <c r="R188" s="8">
        <v>165.495</v>
      </c>
      <c r="S188" s="8">
        <v>329.9</v>
      </c>
      <c r="T188" s="8">
        <v>14</v>
      </c>
      <c r="U188" s="8"/>
      <c r="V188" s="8">
        <v>0</v>
      </c>
      <c r="W188" s="12">
        <v>0</v>
      </c>
      <c r="Y188">
        <v>0</v>
      </c>
    </row>
    <row r="189" spans="1:25" ht="40" customHeight="1">
      <c r="A189" s="6" t="s">
        <v>992</v>
      </c>
      <c r="B189" s="6" t="s">
        <v>993</v>
      </c>
      <c r="C189" s="6">
        <v>129052</v>
      </c>
      <c r="D189" s="6" t="s">
        <v>147</v>
      </c>
      <c r="E189" s="6" t="s">
        <v>994</v>
      </c>
      <c r="F189" s="6"/>
      <c r="G189" s="6" t="s">
        <v>976</v>
      </c>
      <c r="H189" s="6" t="s">
        <v>215</v>
      </c>
      <c r="I189" s="6" t="s">
        <v>31</v>
      </c>
      <c r="J189" s="6" t="s">
        <v>995</v>
      </c>
      <c r="K189" s="6" t="s">
        <v>996</v>
      </c>
      <c r="L189" s="6" t="s">
        <v>54</v>
      </c>
      <c r="M189" s="6" t="s">
        <v>54</v>
      </c>
      <c r="N189" s="6" t="s">
        <v>904</v>
      </c>
      <c r="O189" s="6" t="s">
        <v>934</v>
      </c>
      <c r="P189" s="6"/>
      <c r="Q189" s="8">
        <v>150</v>
      </c>
      <c r="R189" s="8">
        <v>150.44999999999999</v>
      </c>
      <c r="S189" s="8">
        <v>299.89999999999998</v>
      </c>
      <c r="T189" s="8">
        <v>14</v>
      </c>
      <c r="U189" s="8"/>
      <c r="V189" s="8">
        <v>0</v>
      </c>
      <c r="W189" s="12">
        <v>0</v>
      </c>
      <c r="Y189">
        <v>0</v>
      </c>
    </row>
    <row r="190" spans="1:25" ht="40" customHeight="1">
      <c r="A190" s="6" t="s">
        <v>997</v>
      </c>
      <c r="B190" s="6" t="s">
        <v>998</v>
      </c>
      <c r="C190" s="6">
        <v>129052</v>
      </c>
      <c r="D190" s="6" t="s">
        <v>999</v>
      </c>
      <c r="E190" s="6" t="s">
        <v>1000</v>
      </c>
      <c r="F190" s="6"/>
      <c r="G190" s="6" t="s">
        <v>976</v>
      </c>
      <c r="H190" s="6" t="s">
        <v>215</v>
      </c>
      <c r="I190" s="6" t="s">
        <v>31</v>
      </c>
      <c r="J190" s="6" t="s">
        <v>995</v>
      </c>
      <c r="K190" s="6" t="s">
        <v>1001</v>
      </c>
      <c r="L190" s="6" t="s">
        <v>54</v>
      </c>
      <c r="M190" s="6" t="s">
        <v>54</v>
      </c>
      <c r="N190" s="6" t="s">
        <v>904</v>
      </c>
      <c r="O190" s="6" t="s">
        <v>934</v>
      </c>
      <c r="P190" s="6"/>
      <c r="Q190" s="8">
        <v>150</v>
      </c>
      <c r="R190" s="8">
        <v>150.44999999999999</v>
      </c>
      <c r="S190" s="8">
        <v>299.89999999999998</v>
      </c>
      <c r="T190" s="8">
        <v>14</v>
      </c>
      <c r="U190" s="8"/>
      <c r="V190" s="8">
        <v>0</v>
      </c>
      <c r="W190" s="12">
        <v>0</v>
      </c>
      <c r="Y190">
        <v>0</v>
      </c>
    </row>
    <row r="191" spans="1:25" ht="40" customHeight="1">
      <c r="A191" s="6" t="s">
        <v>1002</v>
      </c>
      <c r="B191" s="6" t="s">
        <v>1003</v>
      </c>
      <c r="C191" s="6">
        <v>129052</v>
      </c>
      <c r="D191" s="6" t="s">
        <v>766</v>
      </c>
      <c r="E191" s="6" t="s">
        <v>1004</v>
      </c>
      <c r="F191" s="6"/>
      <c r="G191" s="6" t="s">
        <v>976</v>
      </c>
      <c r="H191" s="6" t="s">
        <v>215</v>
      </c>
      <c r="I191" s="6" t="s">
        <v>31</v>
      </c>
      <c r="J191" s="6" t="s">
        <v>995</v>
      </c>
      <c r="K191" s="6" t="s">
        <v>1005</v>
      </c>
      <c r="L191" s="6" t="s">
        <v>54</v>
      </c>
      <c r="M191" s="6" t="s">
        <v>54</v>
      </c>
      <c r="N191" s="6" t="s">
        <v>904</v>
      </c>
      <c r="O191" s="6" t="s">
        <v>934</v>
      </c>
      <c r="P191" s="6"/>
      <c r="Q191" s="8">
        <v>150</v>
      </c>
      <c r="R191" s="8">
        <v>150.44999999999999</v>
      </c>
      <c r="S191" s="8">
        <v>299.89999999999998</v>
      </c>
      <c r="T191" s="8">
        <v>14</v>
      </c>
      <c r="U191" s="8"/>
      <c r="V191" s="8">
        <v>0</v>
      </c>
      <c r="W191" s="12">
        <v>0</v>
      </c>
      <c r="Y191">
        <v>0</v>
      </c>
    </row>
    <row r="192" spans="1:25" ht="40" customHeight="1">
      <c r="A192" s="6" t="s">
        <v>1006</v>
      </c>
      <c r="B192" s="6" t="s">
        <v>1007</v>
      </c>
      <c r="C192" s="6">
        <v>129052</v>
      </c>
      <c r="D192" s="6" t="s">
        <v>89</v>
      </c>
      <c r="E192" s="6" t="s">
        <v>1008</v>
      </c>
      <c r="F192" s="6"/>
      <c r="G192" s="6" t="s">
        <v>976</v>
      </c>
      <c r="H192" s="6" t="s">
        <v>215</v>
      </c>
      <c r="I192" s="6" t="s">
        <v>31</v>
      </c>
      <c r="J192" s="6" t="s">
        <v>995</v>
      </c>
      <c r="K192" s="6" t="s">
        <v>1009</v>
      </c>
      <c r="L192" s="6" t="s">
        <v>54</v>
      </c>
      <c r="M192" s="6" t="s">
        <v>54</v>
      </c>
      <c r="N192" s="6" t="s">
        <v>904</v>
      </c>
      <c r="O192" s="6" t="s">
        <v>934</v>
      </c>
      <c r="P192" s="6"/>
      <c r="Q192" s="8">
        <v>150</v>
      </c>
      <c r="R192" s="8">
        <v>150.44999999999999</v>
      </c>
      <c r="S192" s="8">
        <v>299.89999999999998</v>
      </c>
      <c r="T192" s="8">
        <v>14</v>
      </c>
      <c r="U192" s="8"/>
      <c r="V192" s="8">
        <v>0</v>
      </c>
      <c r="W192" s="12">
        <v>0</v>
      </c>
      <c r="Y192">
        <v>0</v>
      </c>
    </row>
    <row r="193" spans="1:25" ht="40" customHeight="1">
      <c r="A193" s="6" t="s">
        <v>1010</v>
      </c>
      <c r="B193" s="6" t="s">
        <v>1011</v>
      </c>
      <c r="C193" s="6">
        <v>129052</v>
      </c>
      <c r="D193" s="6" t="s">
        <v>109</v>
      </c>
      <c r="E193" s="6" t="s">
        <v>1012</v>
      </c>
      <c r="F193" s="6"/>
      <c r="G193" s="6" t="s">
        <v>976</v>
      </c>
      <c r="H193" s="6" t="s">
        <v>215</v>
      </c>
      <c r="I193" s="6" t="s">
        <v>31</v>
      </c>
      <c r="J193" s="6" t="s">
        <v>995</v>
      </c>
      <c r="K193" s="6" t="s">
        <v>1013</v>
      </c>
      <c r="L193" s="6" t="s">
        <v>54</v>
      </c>
      <c r="M193" s="6" t="s">
        <v>54</v>
      </c>
      <c r="N193" s="6" t="s">
        <v>904</v>
      </c>
      <c r="O193" s="6" t="s">
        <v>934</v>
      </c>
      <c r="P193" s="6"/>
      <c r="Q193" s="8">
        <v>150</v>
      </c>
      <c r="R193" s="8">
        <v>150.44999999999999</v>
      </c>
      <c r="S193" s="8">
        <v>299.89999999999998</v>
      </c>
      <c r="T193" s="8">
        <v>14</v>
      </c>
      <c r="U193" s="8"/>
      <c r="V193" s="8">
        <v>0</v>
      </c>
      <c r="W193" s="12">
        <v>0</v>
      </c>
      <c r="Y193">
        <v>0</v>
      </c>
    </row>
    <row r="194" spans="1:25" ht="40" customHeight="1">
      <c r="A194" s="6" t="s">
        <v>1014</v>
      </c>
      <c r="B194" s="6" t="s">
        <v>1015</v>
      </c>
      <c r="C194" s="6">
        <v>129052</v>
      </c>
      <c r="D194" s="6" t="s">
        <v>45</v>
      </c>
      <c r="E194" s="6" t="s">
        <v>1016</v>
      </c>
      <c r="F194" s="6"/>
      <c r="G194" s="6" t="s">
        <v>976</v>
      </c>
      <c r="H194" s="6" t="s">
        <v>215</v>
      </c>
      <c r="I194" s="6" t="s">
        <v>31</v>
      </c>
      <c r="J194" s="6" t="s">
        <v>995</v>
      </c>
      <c r="K194" s="6" t="s">
        <v>1017</v>
      </c>
      <c r="L194" s="6" t="s">
        <v>54</v>
      </c>
      <c r="M194" s="6" t="s">
        <v>54</v>
      </c>
      <c r="N194" s="6" t="s">
        <v>904</v>
      </c>
      <c r="O194" s="6" t="s">
        <v>934</v>
      </c>
      <c r="P194" s="6"/>
      <c r="Q194" s="8">
        <v>150</v>
      </c>
      <c r="R194" s="8">
        <v>150.44999999999999</v>
      </c>
      <c r="S194" s="8">
        <v>299.89999999999998</v>
      </c>
      <c r="T194" s="8">
        <v>14</v>
      </c>
      <c r="U194" s="8"/>
      <c r="V194" s="8">
        <v>0</v>
      </c>
      <c r="W194" s="12">
        <v>0</v>
      </c>
      <c r="X194">
        <f>VLOOKUP(E194,[1]Sheet2!$A:$C,3,FALSE)</f>
        <v>1</v>
      </c>
      <c r="Y194">
        <v>1</v>
      </c>
    </row>
    <row r="195" spans="1:25" ht="40" customHeight="1">
      <c r="A195" s="6" t="s">
        <v>1018</v>
      </c>
      <c r="B195" s="6" t="s">
        <v>1019</v>
      </c>
      <c r="C195" s="6">
        <v>129200</v>
      </c>
      <c r="D195" s="6" t="s">
        <v>64</v>
      </c>
      <c r="E195" s="6" t="s">
        <v>1020</v>
      </c>
      <c r="F195" s="6"/>
      <c r="G195" s="6" t="s">
        <v>1021</v>
      </c>
      <c r="H195" s="6" t="s">
        <v>215</v>
      </c>
      <c r="I195" s="6" t="s">
        <v>31</v>
      </c>
      <c r="J195" s="6" t="s">
        <v>1022</v>
      </c>
      <c r="K195" s="6" t="s">
        <v>598</v>
      </c>
      <c r="L195" s="6" t="s">
        <v>1023</v>
      </c>
      <c r="M195" s="6" t="s">
        <v>1024</v>
      </c>
      <c r="N195" s="6" t="s">
        <v>904</v>
      </c>
      <c r="O195" s="6" t="s">
        <v>1025</v>
      </c>
      <c r="P195" s="6"/>
      <c r="Q195" s="8">
        <v>200</v>
      </c>
      <c r="R195" s="8">
        <v>200.6</v>
      </c>
      <c r="S195" s="8">
        <v>399.9</v>
      </c>
      <c r="T195" s="8">
        <v>14</v>
      </c>
      <c r="U195" s="8"/>
      <c r="V195" s="8">
        <v>0</v>
      </c>
      <c r="W195" s="12">
        <v>0</v>
      </c>
      <c r="Y195">
        <v>0</v>
      </c>
    </row>
    <row r="196" spans="1:25" ht="40" customHeight="1">
      <c r="A196" s="6" t="s">
        <v>1026</v>
      </c>
      <c r="B196" s="6" t="s">
        <v>1027</v>
      </c>
      <c r="C196" s="6">
        <v>129200</v>
      </c>
      <c r="D196" s="6" t="s">
        <v>1028</v>
      </c>
      <c r="E196" s="6" t="s">
        <v>1029</v>
      </c>
      <c r="F196" s="6"/>
      <c r="G196" s="6" t="s">
        <v>1021</v>
      </c>
      <c r="H196" s="6" t="s">
        <v>215</v>
      </c>
      <c r="I196" s="6" t="s">
        <v>31</v>
      </c>
      <c r="J196" s="6" t="s">
        <v>1022</v>
      </c>
      <c r="K196" s="6" t="s">
        <v>1030</v>
      </c>
      <c r="L196" s="6" t="s">
        <v>1023</v>
      </c>
      <c r="M196" s="6" t="s">
        <v>1024</v>
      </c>
      <c r="N196" s="6" t="s">
        <v>904</v>
      </c>
      <c r="O196" s="6" t="s">
        <v>1025</v>
      </c>
      <c r="P196" s="6"/>
      <c r="Q196" s="8">
        <v>200</v>
      </c>
      <c r="R196" s="8">
        <v>200.6</v>
      </c>
      <c r="S196" s="8">
        <v>399.9</v>
      </c>
      <c r="T196" s="8">
        <v>14</v>
      </c>
      <c r="U196" s="8"/>
      <c r="V196" s="8">
        <v>0</v>
      </c>
      <c r="W196" s="12">
        <v>0</v>
      </c>
      <c r="Y196">
        <v>0</v>
      </c>
    </row>
    <row r="197" spans="1:25" ht="40" customHeight="1">
      <c r="A197" s="6" t="s">
        <v>1031</v>
      </c>
      <c r="B197" s="6" t="s">
        <v>1032</v>
      </c>
      <c r="C197" s="6">
        <v>129200</v>
      </c>
      <c r="D197" s="6" t="s">
        <v>1033</v>
      </c>
      <c r="E197" s="6" t="s">
        <v>1034</v>
      </c>
      <c r="F197" s="6"/>
      <c r="G197" s="6" t="s">
        <v>1021</v>
      </c>
      <c r="H197" s="6" t="s">
        <v>215</v>
      </c>
      <c r="I197" s="6" t="s">
        <v>31</v>
      </c>
      <c r="J197" s="6" t="s">
        <v>1022</v>
      </c>
      <c r="K197" s="6" t="s">
        <v>1035</v>
      </c>
      <c r="L197" s="6" t="s">
        <v>1023</v>
      </c>
      <c r="M197" s="6" t="s">
        <v>1024</v>
      </c>
      <c r="N197" s="6" t="s">
        <v>904</v>
      </c>
      <c r="O197" s="6" t="s">
        <v>1025</v>
      </c>
      <c r="P197" s="6"/>
      <c r="Q197" s="8">
        <v>200</v>
      </c>
      <c r="R197" s="8">
        <v>200.6</v>
      </c>
      <c r="S197" s="8">
        <v>399.9</v>
      </c>
      <c r="T197" s="8">
        <v>14</v>
      </c>
      <c r="U197" s="8"/>
      <c r="V197" s="8">
        <v>0</v>
      </c>
      <c r="W197" s="12">
        <v>0</v>
      </c>
      <c r="Y197">
        <v>0</v>
      </c>
    </row>
    <row r="198" spans="1:25" ht="40" customHeight="1">
      <c r="A198" s="6" t="s">
        <v>1036</v>
      </c>
      <c r="B198" s="6" t="s">
        <v>1037</v>
      </c>
      <c r="C198" s="6">
        <v>129200</v>
      </c>
      <c r="D198" s="6" t="s">
        <v>74</v>
      </c>
      <c r="E198" s="6" t="s">
        <v>1038</v>
      </c>
      <c r="F198" s="6"/>
      <c r="G198" s="6" t="s">
        <v>1021</v>
      </c>
      <c r="H198" s="6" t="s">
        <v>215</v>
      </c>
      <c r="I198" s="6" t="s">
        <v>31</v>
      </c>
      <c r="J198" s="6" t="s">
        <v>1022</v>
      </c>
      <c r="K198" s="6" t="s">
        <v>1039</v>
      </c>
      <c r="L198" s="6" t="s">
        <v>1023</v>
      </c>
      <c r="M198" s="6" t="s">
        <v>1024</v>
      </c>
      <c r="N198" s="6" t="s">
        <v>904</v>
      </c>
      <c r="O198" s="6" t="s">
        <v>1025</v>
      </c>
      <c r="P198" s="6"/>
      <c r="Q198" s="8">
        <v>200</v>
      </c>
      <c r="R198" s="8">
        <v>200.6</v>
      </c>
      <c r="S198" s="8">
        <v>399.9</v>
      </c>
      <c r="T198" s="8">
        <v>14</v>
      </c>
      <c r="U198" s="8"/>
      <c r="V198" s="8">
        <v>0</v>
      </c>
      <c r="W198" s="12">
        <v>0</v>
      </c>
      <c r="Y198">
        <v>0</v>
      </c>
    </row>
    <row r="199" spans="1:25" ht="40" customHeight="1">
      <c r="A199" s="6" t="s">
        <v>1040</v>
      </c>
      <c r="B199" s="6" t="s">
        <v>1041</v>
      </c>
      <c r="C199" s="6">
        <v>129200</v>
      </c>
      <c r="D199" s="6" t="s">
        <v>126</v>
      </c>
      <c r="E199" s="6" t="s">
        <v>1042</v>
      </c>
      <c r="F199" s="6"/>
      <c r="G199" s="6" t="s">
        <v>1021</v>
      </c>
      <c r="H199" s="6" t="s">
        <v>215</v>
      </c>
      <c r="I199" s="6" t="s">
        <v>31</v>
      </c>
      <c r="J199" s="6" t="s">
        <v>1022</v>
      </c>
      <c r="K199" s="6" t="s">
        <v>682</v>
      </c>
      <c r="L199" s="6" t="s">
        <v>1023</v>
      </c>
      <c r="M199" s="6" t="s">
        <v>1024</v>
      </c>
      <c r="N199" s="6" t="s">
        <v>904</v>
      </c>
      <c r="O199" s="6" t="s">
        <v>1025</v>
      </c>
      <c r="P199" s="6"/>
      <c r="Q199" s="8">
        <v>200</v>
      </c>
      <c r="R199" s="8">
        <v>200.6</v>
      </c>
      <c r="S199" s="8">
        <v>399.9</v>
      </c>
      <c r="T199" s="8">
        <v>14</v>
      </c>
      <c r="U199" s="8"/>
      <c r="V199" s="8">
        <v>0</v>
      </c>
      <c r="W199" s="12">
        <v>0</v>
      </c>
      <c r="Y199">
        <v>0</v>
      </c>
    </row>
    <row r="200" spans="1:25" ht="40" customHeight="1">
      <c r="A200" s="6" t="s">
        <v>1043</v>
      </c>
      <c r="B200" s="6" t="s">
        <v>1044</v>
      </c>
      <c r="C200" s="6">
        <v>129365</v>
      </c>
      <c r="D200" s="6" t="s">
        <v>27</v>
      </c>
      <c r="E200" s="6" t="s">
        <v>1045</v>
      </c>
      <c r="F200" s="6"/>
      <c r="G200" s="6" t="s">
        <v>1046</v>
      </c>
      <c r="H200" s="6" t="s">
        <v>215</v>
      </c>
      <c r="I200" s="6" t="s">
        <v>31</v>
      </c>
      <c r="J200" s="6" t="s">
        <v>1047</v>
      </c>
      <c r="K200" s="6" t="s">
        <v>577</v>
      </c>
      <c r="L200" s="6" t="s">
        <v>54</v>
      </c>
      <c r="M200" s="6" t="s">
        <v>54</v>
      </c>
      <c r="N200" s="6" t="s">
        <v>904</v>
      </c>
      <c r="O200" s="6" t="s">
        <v>1048</v>
      </c>
      <c r="P200" s="6"/>
      <c r="Q200" s="8">
        <v>140</v>
      </c>
      <c r="R200" s="8">
        <v>140.41999999999999</v>
      </c>
      <c r="S200" s="8">
        <v>279.89999999999998</v>
      </c>
      <c r="T200" s="8">
        <v>14</v>
      </c>
      <c r="U200" s="8"/>
      <c r="V200" s="8">
        <v>0</v>
      </c>
      <c r="W200" s="12">
        <v>0</v>
      </c>
      <c r="Y200">
        <v>0</v>
      </c>
    </row>
    <row r="201" spans="1:25" ht="40" customHeight="1">
      <c r="A201" s="6" t="s">
        <v>1049</v>
      </c>
      <c r="B201" s="6" t="s">
        <v>1050</v>
      </c>
      <c r="C201" s="6">
        <v>129368</v>
      </c>
      <c r="D201" s="6" t="s">
        <v>64</v>
      </c>
      <c r="E201" s="6" t="s">
        <v>1051</v>
      </c>
      <c r="F201" s="6"/>
      <c r="G201" s="6" t="s">
        <v>1046</v>
      </c>
      <c r="H201" s="6" t="s">
        <v>1052</v>
      </c>
      <c r="I201" s="6" t="s">
        <v>31</v>
      </c>
      <c r="J201" s="6" t="s">
        <v>1053</v>
      </c>
      <c r="K201" s="6" t="s">
        <v>598</v>
      </c>
      <c r="L201" s="6" t="s">
        <v>1054</v>
      </c>
      <c r="M201" s="6" t="s">
        <v>1055</v>
      </c>
      <c r="N201" s="6" t="s">
        <v>904</v>
      </c>
      <c r="O201" s="6" t="s">
        <v>1056</v>
      </c>
      <c r="P201" s="6"/>
      <c r="Q201" s="8">
        <v>140</v>
      </c>
      <c r="R201" s="8">
        <v>140.41999999999999</v>
      </c>
      <c r="S201" s="8">
        <v>279.89999999999998</v>
      </c>
      <c r="T201" s="8">
        <v>14</v>
      </c>
      <c r="U201" s="8"/>
      <c r="V201" s="8">
        <v>0</v>
      </c>
      <c r="W201" s="12">
        <v>0</v>
      </c>
      <c r="Y201">
        <v>0</v>
      </c>
    </row>
    <row r="202" spans="1:25" ht="40" customHeight="1">
      <c r="A202" s="6" t="s">
        <v>1057</v>
      </c>
      <c r="B202" s="6" t="s">
        <v>1058</v>
      </c>
      <c r="C202" s="6">
        <v>129368</v>
      </c>
      <c r="D202" s="6" t="s">
        <v>999</v>
      </c>
      <c r="E202" s="6" t="s">
        <v>1059</v>
      </c>
      <c r="F202" s="6"/>
      <c r="G202" s="6" t="s">
        <v>1046</v>
      </c>
      <c r="H202" s="6" t="s">
        <v>1052</v>
      </c>
      <c r="I202" s="6" t="s">
        <v>31</v>
      </c>
      <c r="J202" s="6" t="s">
        <v>1053</v>
      </c>
      <c r="K202" s="6" t="s">
        <v>1060</v>
      </c>
      <c r="L202" s="6" t="s">
        <v>1054</v>
      </c>
      <c r="M202" s="6" t="s">
        <v>1055</v>
      </c>
      <c r="N202" s="6" t="s">
        <v>904</v>
      </c>
      <c r="O202" s="6" t="s">
        <v>1056</v>
      </c>
      <c r="P202" s="6"/>
      <c r="Q202" s="8">
        <v>140</v>
      </c>
      <c r="R202" s="8">
        <v>140.41999999999999</v>
      </c>
      <c r="S202" s="8">
        <v>279.89999999999998</v>
      </c>
      <c r="T202" s="8">
        <v>14</v>
      </c>
      <c r="U202" s="8"/>
      <c r="V202" s="8">
        <v>0</v>
      </c>
      <c r="W202" s="12">
        <v>0</v>
      </c>
      <c r="Y202">
        <v>0</v>
      </c>
    </row>
    <row r="203" spans="1:25" ht="40" customHeight="1">
      <c r="A203" s="6" t="s">
        <v>1061</v>
      </c>
      <c r="B203" s="6" t="s">
        <v>1062</v>
      </c>
      <c r="C203" s="6">
        <v>129368</v>
      </c>
      <c r="D203" s="6" t="s">
        <v>74</v>
      </c>
      <c r="E203" s="6" t="s">
        <v>1063</v>
      </c>
      <c r="F203" s="6"/>
      <c r="G203" s="6" t="s">
        <v>1046</v>
      </c>
      <c r="H203" s="6" t="s">
        <v>1052</v>
      </c>
      <c r="I203" s="6" t="s">
        <v>31</v>
      </c>
      <c r="J203" s="6" t="s">
        <v>1053</v>
      </c>
      <c r="K203" s="6" t="s">
        <v>1064</v>
      </c>
      <c r="L203" s="6" t="s">
        <v>1054</v>
      </c>
      <c r="M203" s="6" t="s">
        <v>1055</v>
      </c>
      <c r="N203" s="6" t="s">
        <v>904</v>
      </c>
      <c r="O203" s="6" t="s">
        <v>1056</v>
      </c>
      <c r="P203" s="6"/>
      <c r="Q203" s="8">
        <v>140</v>
      </c>
      <c r="R203" s="8">
        <v>140.41999999999999</v>
      </c>
      <c r="S203" s="8">
        <v>279.89999999999998</v>
      </c>
      <c r="T203" s="8">
        <v>14</v>
      </c>
      <c r="U203" s="8"/>
      <c r="V203" s="8">
        <v>0</v>
      </c>
      <c r="W203" s="12">
        <v>0</v>
      </c>
      <c r="Y203">
        <v>0</v>
      </c>
    </row>
    <row r="204" spans="1:25" ht="40" customHeight="1">
      <c r="A204" s="6" t="s">
        <v>1065</v>
      </c>
      <c r="B204" s="6" t="s">
        <v>1066</v>
      </c>
      <c r="C204" s="6">
        <v>129368</v>
      </c>
      <c r="D204" s="6" t="s">
        <v>605</v>
      </c>
      <c r="E204" s="6" t="s">
        <v>1067</v>
      </c>
      <c r="F204" s="6"/>
      <c r="G204" s="6" t="s">
        <v>1046</v>
      </c>
      <c r="H204" s="6" t="s">
        <v>1052</v>
      </c>
      <c r="I204" s="6" t="s">
        <v>31</v>
      </c>
      <c r="J204" s="6" t="s">
        <v>1053</v>
      </c>
      <c r="K204" s="6" t="s">
        <v>1068</v>
      </c>
      <c r="L204" s="6" t="s">
        <v>1054</v>
      </c>
      <c r="M204" s="6" t="s">
        <v>1055</v>
      </c>
      <c r="N204" s="6" t="s">
        <v>904</v>
      </c>
      <c r="O204" s="6" t="s">
        <v>1056</v>
      </c>
      <c r="P204" s="6"/>
      <c r="Q204" s="8">
        <v>140</v>
      </c>
      <c r="R204" s="8">
        <v>140.41999999999999</v>
      </c>
      <c r="S204" s="8">
        <v>279.89999999999998</v>
      </c>
      <c r="T204" s="8">
        <v>14</v>
      </c>
      <c r="U204" s="8"/>
      <c r="V204" s="8">
        <v>0</v>
      </c>
      <c r="W204" s="12">
        <v>0</v>
      </c>
      <c r="Y204">
        <v>0</v>
      </c>
    </row>
    <row r="205" spans="1:25" ht="40" customHeight="1">
      <c r="A205" s="6" t="s">
        <v>1069</v>
      </c>
      <c r="B205" s="6" t="s">
        <v>1070</v>
      </c>
      <c r="C205" s="6">
        <v>129368</v>
      </c>
      <c r="D205" s="6" t="s">
        <v>94</v>
      </c>
      <c r="E205" s="6" t="s">
        <v>1071</v>
      </c>
      <c r="F205" s="6"/>
      <c r="G205" s="6" t="s">
        <v>1046</v>
      </c>
      <c r="H205" s="6" t="s">
        <v>1052</v>
      </c>
      <c r="I205" s="6" t="s">
        <v>31</v>
      </c>
      <c r="J205" s="6" t="s">
        <v>1053</v>
      </c>
      <c r="K205" s="6" t="s">
        <v>1072</v>
      </c>
      <c r="L205" s="6" t="s">
        <v>1054</v>
      </c>
      <c r="M205" s="6" t="s">
        <v>1055</v>
      </c>
      <c r="N205" s="6" t="s">
        <v>904</v>
      </c>
      <c r="O205" s="6" t="s">
        <v>1056</v>
      </c>
      <c r="P205" s="6"/>
      <c r="Q205" s="8">
        <v>140</v>
      </c>
      <c r="R205" s="8">
        <v>140.41999999999999</v>
      </c>
      <c r="S205" s="8">
        <v>279.89999999999998</v>
      </c>
      <c r="T205" s="8">
        <v>14</v>
      </c>
      <c r="U205" s="8"/>
      <c r="V205" s="8">
        <v>0</v>
      </c>
      <c r="W205" s="12">
        <v>0</v>
      </c>
      <c r="Y205">
        <v>0</v>
      </c>
    </row>
    <row r="206" spans="1:25" ht="40" customHeight="1">
      <c r="A206" s="6" t="s">
        <v>1073</v>
      </c>
      <c r="B206" s="6" t="s">
        <v>1074</v>
      </c>
      <c r="C206" s="6">
        <v>129369</v>
      </c>
      <c r="D206" s="6" t="s">
        <v>27</v>
      </c>
      <c r="E206" s="6" t="s">
        <v>1075</v>
      </c>
      <c r="F206" s="6"/>
      <c r="G206" s="6" t="s">
        <v>1046</v>
      </c>
      <c r="H206" s="6" t="s">
        <v>1076</v>
      </c>
      <c r="I206" s="6" t="s">
        <v>31</v>
      </c>
      <c r="J206" s="6" t="s">
        <v>1077</v>
      </c>
      <c r="K206" s="6" t="s">
        <v>577</v>
      </c>
      <c r="L206" s="6" t="s">
        <v>54</v>
      </c>
      <c r="M206" s="6" t="s">
        <v>54</v>
      </c>
      <c r="N206" s="6" t="s">
        <v>904</v>
      </c>
      <c r="O206" s="6" t="s">
        <v>1078</v>
      </c>
      <c r="P206" s="6"/>
      <c r="Q206" s="8">
        <v>165</v>
      </c>
      <c r="R206" s="8">
        <v>165.495</v>
      </c>
      <c r="S206" s="8">
        <v>329.9</v>
      </c>
      <c r="T206" s="8">
        <v>14</v>
      </c>
      <c r="U206" s="8"/>
      <c r="V206" s="8">
        <v>0</v>
      </c>
      <c r="W206" s="12">
        <v>0</v>
      </c>
      <c r="Y206">
        <v>0</v>
      </c>
    </row>
    <row r="207" spans="1:25" ht="40" customHeight="1">
      <c r="A207" s="6" t="s">
        <v>1079</v>
      </c>
      <c r="B207" s="6" t="s">
        <v>1080</v>
      </c>
      <c r="C207" s="6">
        <v>129369</v>
      </c>
      <c r="D207" s="6" t="s">
        <v>64</v>
      </c>
      <c r="E207" s="6" t="s">
        <v>1081</v>
      </c>
      <c r="F207" s="6"/>
      <c r="G207" s="6" t="s">
        <v>1046</v>
      </c>
      <c r="H207" s="6" t="s">
        <v>1076</v>
      </c>
      <c r="I207" s="6" t="s">
        <v>31</v>
      </c>
      <c r="J207" s="6" t="s">
        <v>1077</v>
      </c>
      <c r="K207" s="6" t="s">
        <v>598</v>
      </c>
      <c r="L207" s="6" t="s">
        <v>54</v>
      </c>
      <c r="M207" s="6" t="s">
        <v>54</v>
      </c>
      <c r="N207" s="6" t="s">
        <v>904</v>
      </c>
      <c r="O207" s="6" t="s">
        <v>1078</v>
      </c>
      <c r="P207" s="6"/>
      <c r="Q207" s="8">
        <v>165</v>
      </c>
      <c r="R207" s="8">
        <v>165.495</v>
      </c>
      <c r="S207" s="8">
        <v>329.9</v>
      </c>
      <c r="T207" s="8">
        <v>14</v>
      </c>
      <c r="U207" s="8"/>
      <c r="V207" s="8">
        <v>0</v>
      </c>
      <c r="W207" s="12">
        <v>0</v>
      </c>
      <c r="Y207">
        <v>0</v>
      </c>
    </row>
    <row r="208" spans="1:25" ht="40" customHeight="1">
      <c r="A208" s="6" t="s">
        <v>1082</v>
      </c>
      <c r="B208" s="6" t="s">
        <v>1083</v>
      </c>
      <c r="C208" s="6">
        <v>129369</v>
      </c>
      <c r="D208" s="6" t="s">
        <v>40</v>
      </c>
      <c r="E208" s="6" t="s">
        <v>1084</v>
      </c>
      <c r="F208" s="6"/>
      <c r="G208" s="6" t="s">
        <v>1046</v>
      </c>
      <c r="H208" s="6" t="s">
        <v>1076</v>
      </c>
      <c r="I208" s="6" t="s">
        <v>31</v>
      </c>
      <c r="J208" s="6" t="s">
        <v>1077</v>
      </c>
      <c r="K208" s="6" t="s">
        <v>1085</v>
      </c>
      <c r="L208" s="6" t="s">
        <v>54</v>
      </c>
      <c r="M208" s="6" t="s">
        <v>54</v>
      </c>
      <c r="N208" s="6" t="s">
        <v>904</v>
      </c>
      <c r="O208" s="6" t="s">
        <v>1078</v>
      </c>
      <c r="P208" s="6"/>
      <c r="Q208" s="8">
        <v>165</v>
      </c>
      <c r="R208" s="8">
        <v>165.495</v>
      </c>
      <c r="S208" s="8">
        <v>329.9</v>
      </c>
      <c r="T208" s="8">
        <v>14</v>
      </c>
      <c r="U208" s="8"/>
      <c r="V208" s="8">
        <v>0</v>
      </c>
      <c r="W208" s="12">
        <v>0</v>
      </c>
      <c r="X208">
        <f>VLOOKUP(E208,[1]Sheet2!$A:$C,3,FALSE)</f>
        <v>1</v>
      </c>
      <c r="Y208">
        <v>1</v>
      </c>
    </row>
    <row r="209" spans="1:25" ht="40" customHeight="1">
      <c r="A209" s="6" t="s">
        <v>1086</v>
      </c>
      <c r="B209" s="6" t="s">
        <v>1087</v>
      </c>
      <c r="C209" s="6">
        <v>129369</v>
      </c>
      <c r="D209" s="6" t="s">
        <v>999</v>
      </c>
      <c r="E209" s="6" t="s">
        <v>1088</v>
      </c>
      <c r="F209" s="6"/>
      <c r="G209" s="6" t="s">
        <v>1046</v>
      </c>
      <c r="H209" s="6" t="s">
        <v>1076</v>
      </c>
      <c r="I209" s="6" t="s">
        <v>31</v>
      </c>
      <c r="J209" s="6" t="s">
        <v>1077</v>
      </c>
      <c r="K209" s="6" t="s">
        <v>1089</v>
      </c>
      <c r="L209" s="6" t="s">
        <v>54</v>
      </c>
      <c r="M209" s="6" t="s">
        <v>54</v>
      </c>
      <c r="N209" s="6" t="s">
        <v>904</v>
      </c>
      <c r="O209" s="6" t="s">
        <v>1078</v>
      </c>
      <c r="P209" s="6"/>
      <c r="Q209" s="8">
        <v>165</v>
      </c>
      <c r="R209" s="8">
        <v>165.495</v>
      </c>
      <c r="S209" s="8">
        <v>329.9</v>
      </c>
      <c r="T209" s="8">
        <v>14</v>
      </c>
      <c r="U209" s="8"/>
      <c r="V209" s="8">
        <v>0</v>
      </c>
      <c r="W209" s="12">
        <v>0</v>
      </c>
      <c r="Y209">
        <v>0</v>
      </c>
    </row>
    <row r="210" spans="1:25" ht="40" customHeight="1">
      <c r="A210" s="6" t="s">
        <v>1090</v>
      </c>
      <c r="B210" s="6" t="s">
        <v>1091</v>
      </c>
      <c r="C210" s="6">
        <v>129369</v>
      </c>
      <c r="D210" s="6" t="s">
        <v>1092</v>
      </c>
      <c r="E210" s="6" t="s">
        <v>1093</v>
      </c>
      <c r="F210" s="6"/>
      <c r="G210" s="6" t="s">
        <v>1046</v>
      </c>
      <c r="H210" s="6" t="s">
        <v>1076</v>
      </c>
      <c r="I210" s="6" t="s">
        <v>31</v>
      </c>
      <c r="J210" s="6" t="s">
        <v>1077</v>
      </c>
      <c r="K210" s="6" t="s">
        <v>1094</v>
      </c>
      <c r="L210" s="6" t="s">
        <v>54</v>
      </c>
      <c r="M210" s="6" t="s">
        <v>54</v>
      </c>
      <c r="N210" s="6" t="s">
        <v>904</v>
      </c>
      <c r="O210" s="6" t="s">
        <v>1078</v>
      </c>
      <c r="P210" s="6"/>
      <c r="Q210" s="8">
        <v>165</v>
      </c>
      <c r="R210" s="8">
        <v>165.495</v>
      </c>
      <c r="S210" s="8">
        <v>329.9</v>
      </c>
      <c r="T210" s="8">
        <v>14</v>
      </c>
      <c r="U210" s="8"/>
      <c r="V210" s="8">
        <v>0</v>
      </c>
      <c r="W210" s="12">
        <v>0</v>
      </c>
      <c r="Y210">
        <v>0</v>
      </c>
    </row>
    <row r="211" spans="1:25" ht="40" customHeight="1">
      <c r="A211" s="6" t="s">
        <v>1095</v>
      </c>
      <c r="B211" s="6" t="s">
        <v>1096</v>
      </c>
      <c r="C211" s="6">
        <v>129403</v>
      </c>
      <c r="D211" s="6" t="s">
        <v>64</v>
      </c>
      <c r="E211" s="6" t="s">
        <v>1097</v>
      </c>
      <c r="F211" s="6"/>
      <c r="G211" s="6" t="s">
        <v>1098</v>
      </c>
      <c r="H211" s="6" t="s">
        <v>1099</v>
      </c>
      <c r="I211" s="6" t="s">
        <v>31</v>
      </c>
      <c r="J211" s="6" t="s">
        <v>1100</v>
      </c>
      <c r="K211" s="6" t="s">
        <v>598</v>
      </c>
      <c r="L211" s="6" t="s">
        <v>1101</v>
      </c>
      <c r="M211" s="6" t="s">
        <v>1102</v>
      </c>
      <c r="N211" s="6" t="s">
        <v>904</v>
      </c>
      <c r="O211" s="6" t="s">
        <v>1103</v>
      </c>
      <c r="P211" s="6"/>
      <c r="Q211" s="8">
        <v>200</v>
      </c>
      <c r="R211" s="8">
        <v>200.6</v>
      </c>
      <c r="S211" s="8">
        <v>399.9</v>
      </c>
      <c r="T211" s="8">
        <v>14</v>
      </c>
      <c r="U211" s="8"/>
      <c r="V211" s="8">
        <v>0</v>
      </c>
      <c r="W211" s="12">
        <v>0</v>
      </c>
      <c r="Y211">
        <v>0</v>
      </c>
    </row>
    <row r="212" spans="1:25" ht="40" customHeight="1">
      <c r="A212" s="6" t="s">
        <v>1104</v>
      </c>
      <c r="B212" s="6" t="s">
        <v>1105</v>
      </c>
      <c r="C212" s="6">
        <v>129403</v>
      </c>
      <c r="D212" s="6" t="s">
        <v>74</v>
      </c>
      <c r="E212" s="6" t="s">
        <v>1106</v>
      </c>
      <c r="F212" s="6"/>
      <c r="G212" s="6" t="s">
        <v>1098</v>
      </c>
      <c r="H212" s="6" t="s">
        <v>1099</v>
      </c>
      <c r="I212" s="6" t="s">
        <v>31</v>
      </c>
      <c r="J212" s="6" t="s">
        <v>1100</v>
      </c>
      <c r="K212" s="6" t="s">
        <v>1107</v>
      </c>
      <c r="L212" s="6" t="s">
        <v>1101</v>
      </c>
      <c r="M212" s="6" t="s">
        <v>1102</v>
      </c>
      <c r="N212" s="6" t="s">
        <v>904</v>
      </c>
      <c r="O212" s="6" t="s">
        <v>1103</v>
      </c>
      <c r="P212" s="6"/>
      <c r="Q212" s="8">
        <v>200</v>
      </c>
      <c r="R212" s="8">
        <v>200.6</v>
      </c>
      <c r="S212" s="8">
        <v>399.9</v>
      </c>
      <c r="T212" s="8">
        <v>14</v>
      </c>
      <c r="U212" s="8"/>
      <c r="V212" s="8">
        <v>0</v>
      </c>
      <c r="W212" s="12">
        <v>0</v>
      </c>
      <c r="Y212">
        <v>0</v>
      </c>
    </row>
    <row r="213" spans="1:25" ht="40" customHeight="1">
      <c r="A213" s="6" t="s">
        <v>1108</v>
      </c>
      <c r="B213" s="6" t="s">
        <v>1109</v>
      </c>
      <c r="C213" s="6">
        <v>129403</v>
      </c>
      <c r="D213" s="6" t="s">
        <v>862</v>
      </c>
      <c r="E213" s="6" t="s">
        <v>1110</v>
      </c>
      <c r="F213" s="6"/>
      <c r="G213" s="6" t="s">
        <v>1098</v>
      </c>
      <c r="H213" s="6" t="s">
        <v>1099</v>
      </c>
      <c r="I213" s="6" t="s">
        <v>31</v>
      </c>
      <c r="J213" s="6" t="s">
        <v>1100</v>
      </c>
      <c r="K213" s="6" t="s">
        <v>1111</v>
      </c>
      <c r="L213" s="6" t="s">
        <v>1101</v>
      </c>
      <c r="M213" s="6" t="s">
        <v>1102</v>
      </c>
      <c r="N213" s="6" t="s">
        <v>904</v>
      </c>
      <c r="O213" s="6" t="s">
        <v>1103</v>
      </c>
      <c r="P213" s="6"/>
      <c r="Q213" s="8">
        <v>200</v>
      </c>
      <c r="R213" s="8">
        <v>200.6</v>
      </c>
      <c r="S213" s="8">
        <v>399.9</v>
      </c>
      <c r="T213" s="8">
        <v>14</v>
      </c>
      <c r="U213" s="8"/>
      <c r="V213" s="8">
        <v>0</v>
      </c>
      <c r="W213" s="12">
        <v>0</v>
      </c>
      <c r="Y213">
        <v>0</v>
      </c>
    </row>
    <row r="214" spans="1:25" ht="40" customHeight="1">
      <c r="A214" s="6" t="s">
        <v>1112</v>
      </c>
      <c r="B214" s="6" t="s">
        <v>1113</v>
      </c>
      <c r="C214" s="6">
        <v>129403</v>
      </c>
      <c r="D214" s="6" t="s">
        <v>94</v>
      </c>
      <c r="E214" s="6" t="s">
        <v>1114</v>
      </c>
      <c r="F214" s="6"/>
      <c r="G214" s="6" t="s">
        <v>1098</v>
      </c>
      <c r="H214" s="6" t="s">
        <v>1099</v>
      </c>
      <c r="I214" s="6" t="s">
        <v>31</v>
      </c>
      <c r="J214" s="6" t="s">
        <v>1100</v>
      </c>
      <c r="K214" s="6" t="s">
        <v>1115</v>
      </c>
      <c r="L214" s="6" t="s">
        <v>1101</v>
      </c>
      <c r="M214" s="6" t="s">
        <v>1102</v>
      </c>
      <c r="N214" s="6" t="s">
        <v>904</v>
      </c>
      <c r="O214" s="6" t="s">
        <v>1103</v>
      </c>
      <c r="P214" s="6"/>
      <c r="Q214" s="8">
        <v>200</v>
      </c>
      <c r="R214" s="8">
        <v>200.6</v>
      </c>
      <c r="S214" s="8">
        <v>399.9</v>
      </c>
      <c r="T214" s="8">
        <v>14</v>
      </c>
      <c r="U214" s="8"/>
      <c r="V214" s="8">
        <v>0</v>
      </c>
      <c r="W214" s="12">
        <v>0</v>
      </c>
      <c r="Y214">
        <v>0</v>
      </c>
    </row>
    <row r="215" spans="1:25" ht="40" customHeight="1">
      <c r="A215" s="6" t="s">
        <v>1116</v>
      </c>
      <c r="B215" s="6" t="s">
        <v>1117</v>
      </c>
      <c r="C215" s="6">
        <v>129409</v>
      </c>
      <c r="D215" s="6" t="s">
        <v>74</v>
      </c>
      <c r="E215" s="6" t="s">
        <v>1118</v>
      </c>
      <c r="F215" s="6"/>
      <c r="G215" s="6" t="s">
        <v>1098</v>
      </c>
      <c r="H215" s="6" t="s">
        <v>215</v>
      </c>
      <c r="I215" s="6" t="s">
        <v>31</v>
      </c>
      <c r="J215" s="6" t="s">
        <v>1119</v>
      </c>
      <c r="K215" s="6" t="s">
        <v>815</v>
      </c>
      <c r="L215" s="6" t="s">
        <v>54</v>
      </c>
      <c r="M215" s="6" t="s">
        <v>54</v>
      </c>
      <c r="N215" s="6" t="s">
        <v>904</v>
      </c>
      <c r="O215" s="6" t="s">
        <v>1120</v>
      </c>
      <c r="P215" s="6"/>
      <c r="Q215" s="8">
        <v>175</v>
      </c>
      <c r="R215" s="8">
        <v>175.52500000000001</v>
      </c>
      <c r="S215" s="8">
        <v>349.9</v>
      </c>
      <c r="T215" s="8">
        <v>14</v>
      </c>
      <c r="U215" s="8"/>
      <c r="V215" s="8">
        <v>0</v>
      </c>
      <c r="W215" s="12">
        <v>0</v>
      </c>
      <c r="Y215">
        <v>0</v>
      </c>
    </row>
    <row r="216" spans="1:25" ht="40" customHeight="1">
      <c r="A216" s="6" t="s">
        <v>1121</v>
      </c>
      <c r="B216" s="6" t="s">
        <v>1122</v>
      </c>
      <c r="C216" s="6">
        <v>129409</v>
      </c>
      <c r="D216" s="6" t="s">
        <v>357</v>
      </c>
      <c r="E216" s="6" t="s">
        <v>1123</v>
      </c>
      <c r="F216" s="6"/>
      <c r="G216" s="6" t="s">
        <v>1098</v>
      </c>
      <c r="H216" s="6" t="s">
        <v>215</v>
      </c>
      <c r="I216" s="6" t="s">
        <v>31</v>
      </c>
      <c r="J216" s="6" t="s">
        <v>1119</v>
      </c>
      <c r="K216" s="6" t="s">
        <v>1124</v>
      </c>
      <c r="L216" s="6" t="s">
        <v>54</v>
      </c>
      <c r="M216" s="6" t="s">
        <v>54</v>
      </c>
      <c r="N216" s="6" t="s">
        <v>904</v>
      </c>
      <c r="O216" s="6" t="s">
        <v>1120</v>
      </c>
      <c r="P216" s="6"/>
      <c r="Q216" s="8">
        <v>175</v>
      </c>
      <c r="R216" s="8">
        <v>175.52500000000001</v>
      </c>
      <c r="S216" s="8">
        <v>349.9</v>
      </c>
      <c r="T216" s="8">
        <v>14</v>
      </c>
      <c r="U216" s="8"/>
      <c r="V216" s="8">
        <v>0</v>
      </c>
      <c r="W216" s="12">
        <v>0</v>
      </c>
      <c r="Y216">
        <v>0</v>
      </c>
    </row>
    <row r="217" spans="1:25" ht="40" customHeight="1">
      <c r="A217" s="6" t="s">
        <v>1125</v>
      </c>
      <c r="B217" s="6" t="s">
        <v>1126</v>
      </c>
      <c r="C217" s="7">
        <v>129470</v>
      </c>
      <c r="D217" s="6" t="s">
        <v>623</v>
      </c>
      <c r="E217" s="7" t="s">
        <v>1127</v>
      </c>
      <c r="F217" s="6"/>
      <c r="G217" s="6" t="s">
        <v>1128</v>
      </c>
      <c r="H217" s="6" t="s">
        <v>215</v>
      </c>
      <c r="I217" s="6" t="s">
        <v>31</v>
      </c>
      <c r="J217" s="6" t="s">
        <v>1129</v>
      </c>
      <c r="K217" s="6" t="s">
        <v>1130</v>
      </c>
      <c r="L217" s="6" t="s">
        <v>1131</v>
      </c>
      <c r="M217" s="6" t="s">
        <v>1132</v>
      </c>
      <c r="N217" s="6" t="s">
        <v>904</v>
      </c>
      <c r="O217" s="6" t="s">
        <v>1133</v>
      </c>
      <c r="P217" s="6"/>
      <c r="Q217" s="8">
        <v>150</v>
      </c>
      <c r="R217" s="8">
        <v>150.44999999999999</v>
      </c>
      <c r="S217" s="8">
        <v>299.89999999999998</v>
      </c>
      <c r="T217" s="8">
        <v>14</v>
      </c>
      <c r="U217" s="8"/>
      <c r="V217" s="8">
        <v>0</v>
      </c>
      <c r="W217" s="12">
        <v>0</v>
      </c>
      <c r="Y217">
        <v>0</v>
      </c>
    </row>
    <row r="218" spans="1:25" ht="40" customHeight="1">
      <c r="A218" s="6" t="s">
        <v>1134</v>
      </c>
      <c r="B218" s="6" t="s">
        <v>1135</v>
      </c>
      <c r="C218" s="6">
        <v>129470</v>
      </c>
      <c r="D218" s="6" t="s">
        <v>1136</v>
      </c>
      <c r="E218" s="6" t="s">
        <v>1137</v>
      </c>
      <c r="F218" s="6"/>
      <c r="G218" s="6" t="s">
        <v>1128</v>
      </c>
      <c r="H218" s="6" t="s">
        <v>215</v>
      </c>
      <c r="I218" s="6" t="s">
        <v>31</v>
      </c>
      <c r="J218" s="6" t="s">
        <v>1129</v>
      </c>
      <c r="K218" s="6" t="s">
        <v>1138</v>
      </c>
      <c r="L218" s="6" t="s">
        <v>1131</v>
      </c>
      <c r="M218" s="6" t="s">
        <v>1132</v>
      </c>
      <c r="N218" s="6" t="s">
        <v>904</v>
      </c>
      <c r="O218" s="6" t="s">
        <v>1133</v>
      </c>
      <c r="P218" s="6"/>
      <c r="Q218" s="8">
        <v>150</v>
      </c>
      <c r="R218" s="8">
        <v>150.44999999999999</v>
      </c>
      <c r="S218" s="8">
        <v>299.89999999999998</v>
      </c>
      <c r="T218" s="8">
        <v>14</v>
      </c>
      <c r="U218" s="8"/>
      <c r="V218" s="8">
        <v>0</v>
      </c>
      <c r="W218" s="12">
        <v>0</v>
      </c>
      <c r="Y218">
        <v>0</v>
      </c>
    </row>
    <row r="219" spans="1:25" ht="40" customHeight="1">
      <c r="A219" s="6" t="s">
        <v>1139</v>
      </c>
      <c r="B219" s="6" t="s">
        <v>1140</v>
      </c>
      <c r="C219" s="7">
        <v>129470</v>
      </c>
      <c r="D219" s="6" t="s">
        <v>279</v>
      </c>
      <c r="E219" s="7" t="s">
        <v>1141</v>
      </c>
      <c r="F219" s="6"/>
      <c r="G219" s="6" t="s">
        <v>1128</v>
      </c>
      <c r="H219" s="6" t="s">
        <v>215</v>
      </c>
      <c r="I219" s="6" t="s">
        <v>31</v>
      </c>
      <c r="J219" s="6" t="s">
        <v>1129</v>
      </c>
      <c r="K219" s="6" t="s">
        <v>1142</v>
      </c>
      <c r="L219" s="6" t="s">
        <v>1131</v>
      </c>
      <c r="M219" s="6" t="s">
        <v>1132</v>
      </c>
      <c r="N219" s="6" t="s">
        <v>904</v>
      </c>
      <c r="O219" s="6" t="s">
        <v>1133</v>
      </c>
      <c r="P219" s="6"/>
      <c r="Q219" s="8">
        <v>150</v>
      </c>
      <c r="R219" s="8">
        <v>150.44999999999999</v>
      </c>
      <c r="S219" s="8">
        <v>299.89999999999998</v>
      </c>
      <c r="T219" s="8">
        <v>14</v>
      </c>
      <c r="U219" s="8"/>
      <c r="V219" s="8">
        <v>0</v>
      </c>
      <c r="W219" s="12">
        <v>0</v>
      </c>
      <c r="Y219">
        <v>0</v>
      </c>
    </row>
    <row r="220" spans="1:25" ht="40" customHeight="1">
      <c r="A220" s="6" t="s">
        <v>1143</v>
      </c>
      <c r="B220" s="6" t="s">
        <v>1144</v>
      </c>
      <c r="C220" s="6">
        <v>129470</v>
      </c>
      <c r="D220" s="6" t="s">
        <v>561</v>
      </c>
      <c r="E220" s="6" t="s">
        <v>1145</v>
      </c>
      <c r="F220" s="6"/>
      <c r="G220" s="6" t="s">
        <v>1128</v>
      </c>
      <c r="H220" s="6" t="s">
        <v>215</v>
      </c>
      <c r="I220" s="6" t="s">
        <v>31</v>
      </c>
      <c r="J220" s="6" t="s">
        <v>1129</v>
      </c>
      <c r="K220" s="6" t="s">
        <v>1146</v>
      </c>
      <c r="L220" s="6" t="s">
        <v>1131</v>
      </c>
      <c r="M220" s="6" t="s">
        <v>1132</v>
      </c>
      <c r="N220" s="6" t="s">
        <v>904</v>
      </c>
      <c r="O220" s="6" t="s">
        <v>1133</v>
      </c>
      <c r="P220" s="6"/>
      <c r="Q220" s="8">
        <v>150</v>
      </c>
      <c r="R220" s="8">
        <v>150.44999999999999</v>
      </c>
      <c r="S220" s="8">
        <v>299.89999999999998</v>
      </c>
      <c r="T220" s="8">
        <v>14</v>
      </c>
      <c r="U220" s="8"/>
      <c r="V220" s="8">
        <v>0</v>
      </c>
      <c r="W220" s="12">
        <v>0</v>
      </c>
      <c r="Y220">
        <v>0</v>
      </c>
    </row>
    <row r="221" spans="1:25" ht="40" customHeight="1">
      <c r="A221" s="6" t="s">
        <v>1147</v>
      </c>
      <c r="B221" s="6" t="s">
        <v>1148</v>
      </c>
      <c r="C221" s="6">
        <v>129470</v>
      </c>
      <c r="D221" s="6" t="s">
        <v>74</v>
      </c>
      <c r="E221" s="6" t="s">
        <v>1149</v>
      </c>
      <c r="F221" s="6"/>
      <c r="G221" s="6" t="s">
        <v>1128</v>
      </c>
      <c r="H221" s="6" t="s">
        <v>215</v>
      </c>
      <c r="I221" s="6" t="s">
        <v>31</v>
      </c>
      <c r="J221" s="6" t="s">
        <v>1129</v>
      </c>
      <c r="K221" s="6" t="s">
        <v>1150</v>
      </c>
      <c r="L221" s="6" t="s">
        <v>1131</v>
      </c>
      <c r="M221" s="6" t="s">
        <v>1132</v>
      </c>
      <c r="N221" s="6" t="s">
        <v>904</v>
      </c>
      <c r="O221" s="6" t="s">
        <v>1133</v>
      </c>
      <c r="P221" s="6"/>
      <c r="Q221" s="8">
        <v>150</v>
      </c>
      <c r="R221" s="8">
        <v>150.44999999999999</v>
      </c>
      <c r="S221" s="8">
        <v>299.89999999999998</v>
      </c>
      <c r="T221" s="8">
        <v>14</v>
      </c>
      <c r="U221" s="8"/>
      <c r="V221" s="8">
        <v>0</v>
      </c>
      <c r="W221" s="12">
        <v>0</v>
      </c>
      <c r="Y221">
        <v>0</v>
      </c>
    </row>
    <row r="222" spans="1:25" ht="40" customHeight="1">
      <c r="A222" s="6" t="s">
        <v>1151</v>
      </c>
      <c r="B222" s="6" t="s">
        <v>1152</v>
      </c>
      <c r="C222" s="6">
        <v>129470</v>
      </c>
      <c r="D222" s="6" t="s">
        <v>1153</v>
      </c>
      <c r="E222" s="6" t="s">
        <v>1154</v>
      </c>
      <c r="F222" s="6"/>
      <c r="G222" s="6" t="s">
        <v>1128</v>
      </c>
      <c r="H222" s="6" t="s">
        <v>215</v>
      </c>
      <c r="I222" s="6" t="s">
        <v>31</v>
      </c>
      <c r="J222" s="6" t="s">
        <v>1129</v>
      </c>
      <c r="K222" s="6" t="s">
        <v>1155</v>
      </c>
      <c r="L222" s="6" t="s">
        <v>1131</v>
      </c>
      <c r="M222" s="6" t="s">
        <v>1132</v>
      </c>
      <c r="N222" s="6" t="s">
        <v>904</v>
      </c>
      <c r="O222" s="6" t="s">
        <v>1133</v>
      </c>
      <c r="P222" s="6"/>
      <c r="Q222" s="8">
        <v>150</v>
      </c>
      <c r="R222" s="8">
        <v>150.44999999999999</v>
      </c>
      <c r="S222" s="8">
        <v>299.89999999999998</v>
      </c>
      <c r="T222" s="8">
        <v>14</v>
      </c>
      <c r="U222" s="8"/>
      <c r="V222" s="8">
        <v>0</v>
      </c>
      <c r="W222" s="12">
        <v>0</v>
      </c>
      <c r="Y222">
        <v>0</v>
      </c>
    </row>
    <row r="223" spans="1:25" ht="40" customHeight="1">
      <c r="A223" s="6" t="s">
        <v>1156</v>
      </c>
      <c r="B223" s="6" t="s">
        <v>1157</v>
      </c>
      <c r="C223" s="6">
        <v>129470</v>
      </c>
      <c r="D223" s="6" t="s">
        <v>1158</v>
      </c>
      <c r="E223" s="6" t="s">
        <v>1159</v>
      </c>
      <c r="F223" s="6"/>
      <c r="G223" s="6" t="s">
        <v>1128</v>
      </c>
      <c r="H223" s="6" t="s">
        <v>215</v>
      </c>
      <c r="I223" s="6" t="s">
        <v>31</v>
      </c>
      <c r="J223" s="6" t="s">
        <v>1129</v>
      </c>
      <c r="K223" s="6" t="s">
        <v>1160</v>
      </c>
      <c r="L223" s="6" t="s">
        <v>1131</v>
      </c>
      <c r="M223" s="6" t="s">
        <v>1132</v>
      </c>
      <c r="N223" s="6" t="s">
        <v>904</v>
      </c>
      <c r="O223" s="6" t="s">
        <v>1133</v>
      </c>
      <c r="P223" s="6"/>
      <c r="Q223" s="8">
        <v>150</v>
      </c>
      <c r="R223" s="8">
        <v>150.44999999999999</v>
      </c>
      <c r="S223" s="8">
        <v>299.89999999999998</v>
      </c>
      <c r="T223" s="8">
        <v>14</v>
      </c>
      <c r="U223" s="8"/>
      <c r="V223" s="8">
        <v>0</v>
      </c>
      <c r="W223" s="12">
        <v>0</v>
      </c>
      <c r="Y223">
        <v>0</v>
      </c>
    </row>
    <row r="224" spans="1:25" ht="40" customHeight="1">
      <c r="A224" s="6" t="s">
        <v>1161</v>
      </c>
      <c r="B224" s="8" t="s">
        <v>1162</v>
      </c>
      <c r="C224" s="8" t="s">
        <v>1163</v>
      </c>
      <c r="D224" s="6" t="s">
        <v>27</v>
      </c>
      <c r="E224" s="8" t="s">
        <v>1164</v>
      </c>
      <c r="F224" s="6" t="s">
        <v>5</v>
      </c>
      <c r="G224" s="6" t="s">
        <v>1128</v>
      </c>
      <c r="H224" s="6" t="s">
        <v>215</v>
      </c>
      <c r="I224" s="6" t="s">
        <v>31</v>
      </c>
      <c r="J224" s="6" t="s">
        <v>1129</v>
      </c>
      <c r="K224" s="6" t="s">
        <v>1165</v>
      </c>
      <c r="L224" s="6" t="s">
        <v>1131</v>
      </c>
      <c r="M224" s="6" t="s">
        <v>1132</v>
      </c>
      <c r="N224" s="6" t="s">
        <v>904</v>
      </c>
      <c r="O224" s="6" t="s">
        <v>1133</v>
      </c>
      <c r="P224" s="6"/>
      <c r="Q224" s="8">
        <v>150</v>
      </c>
      <c r="R224" s="8">
        <v>150.44999999999999</v>
      </c>
      <c r="S224" s="8">
        <v>299.89999999999998</v>
      </c>
      <c r="T224" s="8">
        <v>14</v>
      </c>
      <c r="U224" s="8"/>
      <c r="V224" s="8">
        <v>0</v>
      </c>
      <c r="W224" s="12">
        <v>0</v>
      </c>
      <c r="Y224">
        <v>0</v>
      </c>
    </row>
    <row r="225" spans="1:25" ht="40" customHeight="1">
      <c r="A225" s="6" t="s">
        <v>1166</v>
      </c>
      <c r="B225" s="6" t="s">
        <v>1167</v>
      </c>
      <c r="C225" s="6">
        <v>129470</v>
      </c>
      <c r="D225" s="6" t="s">
        <v>94</v>
      </c>
      <c r="E225" s="6" t="s">
        <v>1168</v>
      </c>
      <c r="F225" s="6"/>
      <c r="G225" s="6" t="s">
        <v>1128</v>
      </c>
      <c r="H225" s="6" t="s">
        <v>215</v>
      </c>
      <c r="I225" s="6" t="s">
        <v>31</v>
      </c>
      <c r="J225" s="6" t="s">
        <v>1129</v>
      </c>
      <c r="K225" s="6" t="s">
        <v>1169</v>
      </c>
      <c r="L225" s="6" t="s">
        <v>1131</v>
      </c>
      <c r="M225" s="6" t="s">
        <v>1132</v>
      </c>
      <c r="N225" s="6" t="s">
        <v>904</v>
      </c>
      <c r="O225" s="6" t="s">
        <v>1133</v>
      </c>
      <c r="P225" s="6"/>
      <c r="Q225" s="8">
        <v>150</v>
      </c>
      <c r="R225" s="8">
        <v>150.44999999999999</v>
      </c>
      <c r="S225" s="8">
        <v>299.89999999999998</v>
      </c>
      <c r="T225" s="8">
        <v>14</v>
      </c>
      <c r="U225" s="8"/>
      <c r="V225" s="8">
        <v>0</v>
      </c>
      <c r="W225" s="12">
        <v>0</v>
      </c>
      <c r="Y225">
        <v>0</v>
      </c>
    </row>
    <row r="226" spans="1:25" ht="40" customHeight="1">
      <c r="A226" s="6" t="s">
        <v>1170</v>
      </c>
      <c r="B226" s="8" t="s">
        <v>1171</v>
      </c>
      <c r="C226" s="1" t="s">
        <v>1163</v>
      </c>
      <c r="D226" s="6" t="s">
        <v>64</v>
      </c>
      <c r="E226" s="1" t="s">
        <v>1172</v>
      </c>
      <c r="F226" s="6" t="s">
        <v>5</v>
      </c>
      <c r="G226" s="6" t="s">
        <v>1128</v>
      </c>
      <c r="H226" s="6" t="s">
        <v>215</v>
      </c>
      <c r="I226" s="6" t="s">
        <v>31</v>
      </c>
      <c r="J226" s="6" t="s">
        <v>1129</v>
      </c>
      <c r="K226" s="6" t="s">
        <v>1173</v>
      </c>
      <c r="L226" s="6" t="s">
        <v>1131</v>
      </c>
      <c r="M226" s="6" t="s">
        <v>1132</v>
      </c>
      <c r="N226" s="6" t="s">
        <v>904</v>
      </c>
      <c r="O226" s="6" t="s">
        <v>1133</v>
      </c>
      <c r="P226" s="6"/>
      <c r="Q226" s="8">
        <v>150</v>
      </c>
      <c r="R226" s="8">
        <v>150.44999999999999</v>
      </c>
      <c r="S226" s="8">
        <v>299.89999999999998</v>
      </c>
      <c r="T226" s="8">
        <v>14</v>
      </c>
      <c r="U226" s="8"/>
      <c r="V226" s="8">
        <v>0</v>
      </c>
      <c r="W226" s="12">
        <v>0</v>
      </c>
      <c r="Y226">
        <v>0</v>
      </c>
    </row>
    <row r="227" spans="1:25" ht="40" customHeight="1">
      <c r="A227" s="6" t="s">
        <v>1174</v>
      </c>
      <c r="B227" s="6" t="s">
        <v>1175</v>
      </c>
      <c r="C227" s="6">
        <v>129470</v>
      </c>
      <c r="D227" s="6" t="s">
        <v>1176</v>
      </c>
      <c r="E227" s="6" t="s">
        <v>1177</v>
      </c>
      <c r="F227" s="6"/>
      <c r="G227" s="6" t="s">
        <v>1128</v>
      </c>
      <c r="H227" s="6" t="s">
        <v>215</v>
      </c>
      <c r="I227" s="6" t="s">
        <v>31</v>
      </c>
      <c r="J227" s="6" t="s">
        <v>1129</v>
      </c>
      <c r="K227" s="6" t="s">
        <v>1178</v>
      </c>
      <c r="L227" s="6" t="s">
        <v>1131</v>
      </c>
      <c r="M227" s="6" t="s">
        <v>1132</v>
      </c>
      <c r="N227" s="6" t="s">
        <v>904</v>
      </c>
      <c r="O227" s="6" t="s">
        <v>1133</v>
      </c>
      <c r="P227" s="6"/>
      <c r="Q227" s="8">
        <v>150</v>
      </c>
      <c r="R227" s="8">
        <v>150.44999999999999</v>
      </c>
      <c r="S227" s="8">
        <v>299.89999999999998</v>
      </c>
      <c r="T227" s="8">
        <v>14</v>
      </c>
      <c r="U227" s="8"/>
      <c r="V227" s="8">
        <v>0</v>
      </c>
      <c r="W227" s="12">
        <v>0</v>
      </c>
      <c r="Y227">
        <v>0</v>
      </c>
    </row>
    <row r="228" spans="1:25" ht="40" customHeight="1">
      <c r="A228" s="6" t="s">
        <v>1179</v>
      </c>
      <c r="B228" s="8" t="s">
        <v>1180</v>
      </c>
      <c r="C228" s="8" t="s">
        <v>1163</v>
      </c>
      <c r="D228" s="6" t="s">
        <v>1181</v>
      </c>
      <c r="E228" s="8" t="s">
        <v>1182</v>
      </c>
      <c r="F228" s="6" t="s">
        <v>5</v>
      </c>
      <c r="G228" s="6" t="s">
        <v>1128</v>
      </c>
      <c r="H228" s="6" t="s">
        <v>215</v>
      </c>
      <c r="I228" s="6" t="s">
        <v>31</v>
      </c>
      <c r="J228" s="6" t="s">
        <v>1129</v>
      </c>
      <c r="K228" s="6" t="s">
        <v>1183</v>
      </c>
      <c r="L228" s="6" t="s">
        <v>1131</v>
      </c>
      <c r="M228" s="6" t="s">
        <v>1132</v>
      </c>
      <c r="N228" s="6" t="s">
        <v>904</v>
      </c>
      <c r="O228" s="6" t="s">
        <v>1133</v>
      </c>
      <c r="P228" s="6"/>
      <c r="Q228" s="8">
        <v>150</v>
      </c>
      <c r="R228" s="8">
        <v>150.44999999999999</v>
      </c>
      <c r="S228" s="8">
        <v>299.89999999999998</v>
      </c>
      <c r="T228" s="8">
        <v>14</v>
      </c>
      <c r="U228" s="8"/>
      <c r="V228" s="8">
        <v>0</v>
      </c>
      <c r="W228" s="12">
        <v>0</v>
      </c>
      <c r="Y228">
        <v>0</v>
      </c>
    </row>
    <row r="229" spans="1:25" ht="40" customHeight="1">
      <c r="A229" s="6" t="s">
        <v>1184</v>
      </c>
      <c r="B229" s="6" t="s">
        <v>1185</v>
      </c>
      <c r="C229" s="6">
        <v>129472</v>
      </c>
      <c r="D229" s="6" t="s">
        <v>1186</v>
      </c>
      <c r="E229" s="6" t="s">
        <v>1187</v>
      </c>
      <c r="F229" s="6"/>
      <c r="G229" s="6" t="s">
        <v>1128</v>
      </c>
      <c r="H229" s="6" t="s">
        <v>1188</v>
      </c>
      <c r="I229" s="6" t="s">
        <v>31</v>
      </c>
      <c r="J229" s="6" t="s">
        <v>1189</v>
      </c>
      <c r="K229" s="6" t="s">
        <v>1190</v>
      </c>
      <c r="L229" s="6" t="s">
        <v>1131</v>
      </c>
      <c r="M229" s="6" t="s">
        <v>1191</v>
      </c>
      <c r="N229" s="6" t="s">
        <v>904</v>
      </c>
      <c r="O229" s="6" t="s">
        <v>1192</v>
      </c>
      <c r="P229" s="6"/>
      <c r="Q229" s="8">
        <v>150</v>
      </c>
      <c r="R229" s="8">
        <v>150.44999999999999</v>
      </c>
      <c r="S229" s="8">
        <v>299.89999999999998</v>
      </c>
      <c r="T229" s="8">
        <v>14</v>
      </c>
      <c r="U229" s="8"/>
      <c r="V229" s="8">
        <v>0</v>
      </c>
      <c r="W229" s="12">
        <v>0</v>
      </c>
      <c r="Y229">
        <v>0</v>
      </c>
    </row>
    <row r="230" spans="1:25" ht="40" customHeight="1">
      <c r="A230" s="6" t="s">
        <v>1193</v>
      </c>
      <c r="B230" s="6" t="s">
        <v>1194</v>
      </c>
      <c r="C230" s="6">
        <v>129472</v>
      </c>
      <c r="D230" s="6" t="s">
        <v>1195</v>
      </c>
      <c r="E230" s="6" t="s">
        <v>1196</v>
      </c>
      <c r="F230" s="6"/>
      <c r="G230" s="6" t="s">
        <v>1128</v>
      </c>
      <c r="H230" s="6" t="s">
        <v>1188</v>
      </c>
      <c r="I230" s="6" t="s">
        <v>31</v>
      </c>
      <c r="J230" s="6" t="s">
        <v>1189</v>
      </c>
      <c r="K230" s="6" t="s">
        <v>1197</v>
      </c>
      <c r="L230" s="6" t="s">
        <v>1131</v>
      </c>
      <c r="M230" s="6" t="s">
        <v>1191</v>
      </c>
      <c r="N230" s="6" t="s">
        <v>904</v>
      </c>
      <c r="O230" s="6" t="s">
        <v>1192</v>
      </c>
      <c r="P230" s="6"/>
      <c r="Q230" s="8">
        <v>150</v>
      </c>
      <c r="R230" s="8">
        <v>150.44999999999999</v>
      </c>
      <c r="S230" s="8">
        <v>299.89999999999998</v>
      </c>
      <c r="T230" s="8">
        <v>14</v>
      </c>
      <c r="U230" s="8"/>
      <c r="V230" s="8">
        <v>0</v>
      </c>
      <c r="W230" s="12">
        <v>0</v>
      </c>
      <c r="Y230">
        <v>0</v>
      </c>
    </row>
    <row r="231" spans="1:25" ht="40" customHeight="1">
      <c r="A231" s="6" t="s">
        <v>1198</v>
      </c>
      <c r="B231" s="6" t="s">
        <v>1199</v>
      </c>
      <c r="C231" s="6">
        <v>129472</v>
      </c>
      <c r="D231" s="6" t="s">
        <v>1176</v>
      </c>
      <c r="E231" s="6" t="s">
        <v>1200</v>
      </c>
      <c r="F231" s="6"/>
      <c r="G231" s="6" t="s">
        <v>1128</v>
      </c>
      <c r="H231" s="6" t="s">
        <v>1188</v>
      </c>
      <c r="I231" s="6" t="s">
        <v>31</v>
      </c>
      <c r="J231" s="6" t="s">
        <v>1189</v>
      </c>
      <c r="K231" s="6" t="s">
        <v>1201</v>
      </c>
      <c r="L231" s="6" t="s">
        <v>1131</v>
      </c>
      <c r="M231" s="6" t="s">
        <v>1191</v>
      </c>
      <c r="N231" s="6" t="s">
        <v>904</v>
      </c>
      <c r="O231" s="6" t="s">
        <v>1192</v>
      </c>
      <c r="P231" s="6"/>
      <c r="Q231" s="8">
        <v>150</v>
      </c>
      <c r="R231" s="8">
        <v>150.44999999999999</v>
      </c>
      <c r="S231" s="8">
        <v>299.89999999999998</v>
      </c>
      <c r="T231" s="8">
        <v>14</v>
      </c>
      <c r="U231" s="8"/>
      <c r="V231" s="8">
        <v>0</v>
      </c>
      <c r="W231" s="12">
        <v>0</v>
      </c>
      <c r="Y231">
        <v>0</v>
      </c>
    </row>
    <row r="232" spans="1:25" ht="40" customHeight="1">
      <c r="A232" s="6" t="s">
        <v>1202</v>
      </c>
      <c r="B232" s="6" t="s">
        <v>1203</v>
      </c>
      <c r="C232" s="6">
        <v>129478</v>
      </c>
      <c r="D232" s="6" t="s">
        <v>64</v>
      </c>
      <c r="E232" s="6" t="s">
        <v>1204</v>
      </c>
      <c r="F232" s="6"/>
      <c r="G232" s="6" t="s">
        <v>1128</v>
      </c>
      <c r="H232" s="6" t="s">
        <v>1205</v>
      </c>
      <c r="I232" s="6" t="s">
        <v>31</v>
      </c>
      <c r="J232" s="6" t="s">
        <v>1206</v>
      </c>
      <c r="K232" s="6" t="s">
        <v>598</v>
      </c>
      <c r="L232" s="6" t="s">
        <v>1207</v>
      </c>
      <c r="M232" s="6" t="s">
        <v>1208</v>
      </c>
      <c r="N232" s="6" t="s">
        <v>904</v>
      </c>
      <c r="O232" s="6" t="s">
        <v>1209</v>
      </c>
      <c r="P232" s="6"/>
      <c r="Q232" s="8">
        <v>175</v>
      </c>
      <c r="R232" s="8">
        <v>175.52500000000001</v>
      </c>
      <c r="S232" s="8">
        <v>349.9</v>
      </c>
      <c r="T232" s="8">
        <v>14</v>
      </c>
      <c r="U232" s="8"/>
      <c r="V232" s="8">
        <v>0</v>
      </c>
      <c r="W232" s="12">
        <v>0</v>
      </c>
      <c r="Y232">
        <v>0</v>
      </c>
    </row>
    <row r="233" spans="1:25" ht="40" customHeight="1">
      <c r="A233" s="6" t="s">
        <v>1210</v>
      </c>
      <c r="B233" s="6" t="s">
        <v>1211</v>
      </c>
      <c r="C233" s="6">
        <v>129478</v>
      </c>
      <c r="D233" s="6" t="s">
        <v>74</v>
      </c>
      <c r="E233" s="6" t="s">
        <v>1212</v>
      </c>
      <c r="F233" s="6"/>
      <c r="G233" s="6" t="s">
        <v>1128</v>
      </c>
      <c r="H233" s="6" t="s">
        <v>1205</v>
      </c>
      <c r="I233" s="6" t="s">
        <v>31</v>
      </c>
      <c r="J233" s="6" t="s">
        <v>1206</v>
      </c>
      <c r="K233" s="6" t="s">
        <v>815</v>
      </c>
      <c r="L233" s="6" t="s">
        <v>1207</v>
      </c>
      <c r="M233" s="6" t="s">
        <v>1208</v>
      </c>
      <c r="N233" s="6" t="s">
        <v>904</v>
      </c>
      <c r="O233" s="6" t="s">
        <v>1209</v>
      </c>
      <c r="P233" s="6"/>
      <c r="Q233" s="8">
        <v>175</v>
      </c>
      <c r="R233" s="8">
        <v>175.52500000000001</v>
      </c>
      <c r="S233" s="8">
        <v>349.9</v>
      </c>
      <c r="T233" s="8">
        <v>14</v>
      </c>
      <c r="U233" s="8"/>
      <c r="V233" s="8">
        <v>0</v>
      </c>
      <c r="W233" s="12">
        <v>0</v>
      </c>
      <c r="Y233">
        <v>0</v>
      </c>
    </row>
    <row r="234" spans="1:25" ht="40" customHeight="1">
      <c r="A234" s="6" t="s">
        <v>1213</v>
      </c>
      <c r="B234" s="6" t="s">
        <v>1214</v>
      </c>
      <c r="C234" s="6">
        <v>129478</v>
      </c>
      <c r="D234" s="6" t="s">
        <v>94</v>
      </c>
      <c r="E234" s="6" t="s">
        <v>1215</v>
      </c>
      <c r="F234" s="6"/>
      <c r="G234" s="6" t="s">
        <v>1128</v>
      </c>
      <c r="H234" s="6" t="s">
        <v>1205</v>
      </c>
      <c r="I234" s="6" t="s">
        <v>31</v>
      </c>
      <c r="J234" s="6" t="s">
        <v>1206</v>
      </c>
      <c r="K234" s="6" t="s">
        <v>1115</v>
      </c>
      <c r="L234" s="6" t="s">
        <v>1207</v>
      </c>
      <c r="M234" s="6" t="s">
        <v>1208</v>
      </c>
      <c r="N234" s="6" t="s">
        <v>904</v>
      </c>
      <c r="O234" s="6" t="s">
        <v>1209</v>
      </c>
      <c r="P234" s="6"/>
      <c r="Q234" s="8">
        <v>175</v>
      </c>
      <c r="R234" s="8">
        <v>175.52500000000001</v>
      </c>
      <c r="S234" s="8">
        <v>349.9</v>
      </c>
      <c r="T234" s="8">
        <v>14</v>
      </c>
      <c r="U234" s="8"/>
      <c r="V234" s="8">
        <v>0</v>
      </c>
      <c r="W234" s="12">
        <v>0</v>
      </c>
      <c r="Y234">
        <v>0</v>
      </c>
    </row>
    <row r="235" spans="1:25" ht="40" customHeight="1">
      <c r="A235" s="6" t="s">
        <v>1216</v>
      </c>
      <c r="B235" s="6" t="s">
        <v>1217</v>
      </c>
      <c r="C235" s="6">
        <v>129484</v>
      </c>
      <c r="D235" s="6" t="s">
        <v>64</v>
      </c>
      <c r="E235" s="6" t="s">
        <v>1218</v>
      </c>
      <c r="F235" s="6"/>
      <c r="G235" s="6" t="s">
        <v>1128</v>
      </c>
      <c r="H235" s="6" t="s">
        <v>215</v>
      </c>
      <c r="I235" s="6" t="s">
        <v>31</v>
      </c>
      <c r="J235" s="6" t="s">
        <v>1219</v>
      </c>
      <c r="K235" s="6" t="s">
        <v>365</v>
      </c>
      <c r="L235" s="6" t="s">
        <v>54</v>
      </c>
      <c r="M235" s="6" t="s">
        <v>54</v>
      </c>
      <c r="N235" s="6" t="s">
        <v>904</v>
      </c>
      <c r="O235" s="6" t="s">
        <v>1220</v>
      </c>
      <c r="P235" s="6"/>
      <c r="Q235" s="8">
        <v>175</v>
      </c>
      <c r="R235" s="8">
        <v>175.52500000000001</v>
      </c>
      <c r="S235" s="8">
        <v>349.9</v>
      </c>
      <c r="T235" s="8">
        <v>14</v>
      </c>
      <c r="U235" s="8"/>
      <c r="V235" s="8">
        <v>0</v>
      </c>
      <c r="W235" s="12">
        <v>0</v>
      </c>
      <c r="Y235">
        <v>0</v>
      </c>
    </row>
    <row r="236" spans="1:25" ht="40" customHeight="1">
      <c r="A236" s="6" t="s">
        <v>1221</v>
      </c>
      <c r="B236" s="6" t="s">
        <v>1222</v>
      </c>
      <c r="C236" s="6">
        <v>129484</v>
      </c>
      <c r="D236" s="6" t="s">
        <v>999</v>
      </c>
      <c r="E236" s="6" t="s">
        <v>1223</v>
      </c>
      <c r="F236" s="6"/>
      <c r="G236" s="6" t="s">
        <v>1128</v>
      </c>
      <c r="H236" s="6" t="s">
        <v>215</v>
      </c>
      <c r="I236" s="6" t="s">
        <v>31</v>
      </c>
      <c r="J236" s="6" t="s">
        <v>1219</v>
      </c>
      <c r="K236" s="6" t="s">
        <v>1224</v>
      </c>
      <c r="L236" s="6" t="s">
        <v>54</v>
      </c>
      <c r="M236" s="6" t="s">
        <v>54</v>
      </c>
      <c r="N236" s="6" t="s">
        <v>904</v>
      </c>
      <c r="O236" s="6" t="s">
        <v>1220</v>
      </c>
      <c r="P236" s="6"/>
      <c r="Q236" s="8">
        <v>175</v>
      </c>
      <c r="R236" s="8">
        <v>175.52500000000001</v>
      </c>
      <c r="S236" s="8">
        <v>349.9</v>
      </c>
      <c r="T236" s="8">
        <v>14</v>
      </c>
      <c r="U236" s="8"/>
      <c r="V236" s="8">
        <v>0</v>
      </c>
      <c r="W236" s="12">
        <v>0</v>
      </c>
      <c r="Y236">
        <v>0</v>
      </c>
    </row>
    <row r="237" spans="1:25" ht="40" customHeight="1">
      <c r="A237" s="6" t="s">
        <v>1225</v>
      </c>
      <c r="B237" s="6" t="s">
        <v>1226</v>
      </c>
      <c r="C237" s="6">
        <v>129484</v>
      </c>
      <c r="D237" s="6" t="s">
        <v>711</v>
      </c>
      <c r="E237" s="6" t="s">
        <v>1227</v>
      </c>
      <c r="F237" s="6"/>
      <c r="G237" s="6" t="s">
        <v>1128</v>
      </c>
      <c r="H237" s="6" t="s">
        <v>215</v>
      </c>
      <c r="I237" s="6" t="s">
        <v>31</v>
      </c>
      <c r="J237" s="6" t="s">
        <v>1219</v>
      </c>
      <c r="K237" s="6" t="s">
        <v>1228</v>
      </c>
      <c r="L237" s="6" t="s">
        <v>54</v>
      </c>
      <c r="M237" s="6" t="s">
        <v>54</v>
      </c>
      <c r="N237" s="6" t="s">
        <v>904</v>
      </c>
      <c r="O237" s="6" t="s">
        <v>1220</v>
      </c>
      <c r="P237" s="6"/>
      <c r="Q237" s="8">
        <v>175</v>
      </c>
      <c r="R237" s="8">
        <v>175.52500000000001</v>
      </c>
      <c r="S237" s="8">
        <v>349.9</v>
      </c>
      <c r="T237" s="8">
        <v>14</v>
      </c>
      <c r="U237" s="8"/>
      <c r="V237" s="8">
        <v>0</v>
      </c>
      <c r="W237" s="12">
        <v>0</v>
      </c>
      <c r="Y237">
        <v>0</v>
      </c>
    </row>
    <row r="238" spans="1:25" ht="40" customHeight="1">
      <c r="A238" s="6" t="s">
        <v>1229</v>
      </c>
      <c r="B238" s="6" t="s">
        <v>1230</v>
      </c>
      <c r="C238" s="6">
        <v>129484</v>
      </c>
      <c r="D238" s="6" t="s">
        <v>1231</v>
      </c>
      <c r="E238" s="6" t="s">
        <v>1232</v>
      </c>
      <c r="F238" s="6"/>
      <c r="G238" s="6" t="s">
        <v>1128</v>
      </c>
      <c r="H238" s="6" t="s">
        <v>215</v>
      </c>
      <c r="I238" s="6" t="s">
        <v>31</v>
      </c>
      <c r="J238" s="6" t="s">
        <v>1219</v>
      </c>
      <c r="K238" s="6" t="s">
        <v>1233</v>
      </c>
      <c r="L238" s="6" t="s">
        <v>54</v>
      </c>
      <c r="M238" s="6" t="s">
        <v>54</v>
      </c>
      <c r="N238" s="6" t="s">
        <v>904</v>
      </c>
      <c r="O238" s="6" t="s">
        <v>1220</v>
      </c>
      <c r="P238" s="6"/>
      <c r="Q238" s="8">
        <v>175</v>
      </c>
      <c r="R238" s="8">
        <v>175.52500000000001</v>
      </c>
      <c r="S238" s="8">
        <v>349.9</v>
      </c>
      <c r="T238" s="8">
        <v>14</v>
      </c>
      <c r="U238" s="8"/>
      <c r="V238" s="8">
        <v>0</v>
      </c>
      <c r="W238" s="12">
        <v>0</v>
      </c>
      <c r="Y238">
        <v>0</v>
      </c>
    </row>
    <row r="239" spans="1:25" ht="40" customHeight="1">
      <c r="A239" s="6" t="s">
        <v>1234</v>
      </c>
      <c r="B239" s="6" t="s">
        <v>1235</v>
      </c>
      <c r="C239" s="6">
        <v>129484</v>
      </c>
      <c r="D239" s="6" t="s">
        <v>126</v>
      </c>
      <c r="E239" s="6" t="s">
        <v>1236</v>
      </c>
      <c r="F239" s="6"/>
      <c r="G239" s="6" t="s">
        <v>1128</v>
      </c>
      <c r="H239" s="6" t="s">
        <v>215</v>
      </c>
      <c r="I239" s="6" t="s">
        <v>31</v>
      </c>
      <c r="J239" s="6" t="s">
        <v>1219</v>
      </c>
      <c r="K239" s="6" t="s">
        <v>553</v>
      </c>
      <c r="L239" s="6" t="s">
        <v>54</v>
      </c>
      <c r="M239" s="6" t="s">
        <v>54</v>
      </c>
      <c r="N239" s="6" t="s">
        <v>904</v>
      </c>
      <c r="O239" s="6" t="s">
        <v>1220</v>
      </c>
      <c r="P239" s="6"/>
      <c r="Q239" s="8">
        <v>175</v>
      </c>
      <c r="R239" s="8">
        <v>175.52500000000001</v>
      </c>
      <c r="S239" s="8">
        <v>349.9</v>
      </c>
      <c r="T239" s="8">
        <v>14</v>
      </c>
      <c r="U239" s="8"/>
      <c r="V239" s="8">
        <v>0</v>
      </c>
      <c r="W239" s="12">
        <v>0</v>
      </c>
      <c r="Y239">
        <v>0</v>
      </c>
    </row>
    <row r="240" spans="1:25" ht="40" customHeight="1">
      <c r="A240" s="6" t="s">
        <v>1237</v>
      </c>
      <c r="B240" s="6" t="s">
        <v>1238</v>
      </c>
      <c r="C240" s="6">
        <v>129720</v>
      </c>
      <c r="D240" s="6" t="s">
        <v>27</v>
      </c>
      <c r="E240" s="6" t="s">
        <v>1239</v>
      </c>
      <c r="F240" s="6"/>
      <c r="G240" s="6" t="s">
        <v>1240</v>
      </c>
      <c r="H240" s="6" t="s">
        <v>215</v>
      </c>
      <c r="I240" s="6" t="s">
        <v>31</v>
      </c>
      <c r="J240" s="6" t="s">
        <v>1241</v>
      </c>
      <c r="K240" s="6" t="s">
        <v>744</v>
      </c>
      <c r="L240" s="6" t="s">
        <v>54</v>
      </c>
      <c r="M240" s="6" t="s">
        <v>54</v>
      </c>
      <c r="N240" s="6" t="s">
        <v>904</v>
      </c>
      <c r="O240" s="6" t="s">
        <v>1242</v>
      </c>
      <c r="P240" s="6"/>
      <c r="Q240" s="8">
        <v>185</v>
      </c>
      <c r="R240" s="8">
        <v>185.55500000000001</v>
      </c>
      <c r="S240" s="8">
        <v>369.9</v>
      </c>
      <c r="T240" s="8">
        <v>14</v>
      </c>
      <c r="U240" s="8"/>
      <c r="V240" s="8">
        <v>0</v>
      </c>
      <c r="W240" s="12">
        <v>0</v>
      </c>
      <c r="Y240">
        <v>0</v>
      </c>
    </row>
    <row r="241" spans="1:25" ht="40" customHeight="1">
      <c r="A241" s="6" t="s">
        <v>1243</v>
      </c>
      <c r="B241" s="6" t="s">
        <v>1244</v>
      </c>
      <c r="C241" s="6">
        <v>129720</v>
      </c>
      <c r="D241" s="6" t="s">
        <v>64</v>
      </c>
      <c r="E241" s="6" t="s">
        <v>1245</v>
      </c>
      <c r="F241" s="6"/>
      <c r="G241" s="6" t="s">
        <v>1240</v>
      </c>
      <c r="H241" s="6" t="s">
        <v>215</v>
      </c>
      <c r="I241" s="6" t="s">
        <v>31</v>
      </c>
      <c r="J241" s="6" t="s">
        <v>1241</v>
      </c>
      <c r="K241" s="6" t="s">
        <v>598</v>
      </c>
      <c r="L241" s="6" t="s">
        <v>54</v>
      </c>
      <c r="M241" s="6" t="s">
        <v>54</v>
      </c>
      <c r="N241" s="6" t="s">
        <v>904</v>
      </c>
      <c r="O241" s="6" t="s">
        <v>1242</v>
      </c>
      <c r="P241" s="6"/>
      <c r="Q241" s="8">
        <v>185</v>
      </c>
      <c r="R241" s="8">
        <v>185.55500000000001</v>
      </c>
      <c r="S241" s="8">
        <v>369.9</v>
      </c>
      <c r="T241" s="8">
        <v>14</v>
      </c>
      <c r="U241" s="8"/>
      <c r="V241" s="8">
        <v>0</v>
      </c>
      <c r="W241" s="12">
        <v>0</v>
      </c>
      <c r="Y241">
        <v>0</v>
      </c>
    </row>
    <row r="242" spans="1:25" ht="40" customHeight="1">
      <c r="A242" s="6" t="s">
        <v>1246</v>
      </c>
      <c r="B242" s="6" t="s">
        <v>1247</v>
      </c>
      <c r="C242" s="6">
        <v>129720</v>
      </c>
      <c r="D242" s="6" t="s">
        <v>1248</v>
      </c>
      <c r="E242" s="6" t="s">
        <v>1249</v>
      </c>
      <c r="F242" s="6"/>
      <c r="G242" s="6" t="s">
        <v>1240</v>
      </c>
      <c r="H242" s="6" t="s">
        <v>215</v>
      </c>
      <c r="I242" s="6" t="s">
        <v>31</v>
      </c>
      <c r="J242" s="6" t="s">
        <v>1241</v>
      </c>
      <c r="K242" s="6" t="s">
        <v>1250</v>
      </c>
      <c r="L242" s="6" t="s">
        <v>54</v>
      </c>
      <c r="M242" s="6" t="s">
        <v>54</v>
      </c>
      <c r="N242" s="6" t="s">
        <v>904</v>
      </c>
      <c r="O242" s="6" t="s">
        <v>1242</v>
      </c>
      <c r="P242" s="6"/>
      <c r="Q242" s="8">
        <v>185</v>
      </c>
      <c r="R242" s="8">
        <v>185.55500000000001</v>
      </c>
      <c r="S242" s="8">
        <v>369.9</v>
      </c>
      <c r="T242" s="8">
        <v>14</v>
      </c>
      <c r="U242" s="8"/>
      <c r="V242" s="8">
        <v>0</v>
      </c>
      <c r="W242" s="12">
        <v>0</v>
      </c>
      <c r="Y242">
        <v>0</v>
      </c>
    </row>
    <row r="243" spans="1:25" ht="40" customHeight="1">
      <c r="A243" s="6" t="s">
        <v>1251</v>
      </c>
      <c r="B243" s="6" t="s">
        <v>1252</v>
      </c>
      <c r="C243" s="6">
        <v>129720</v>
      </c>
      <c r="D243" s="6" t="s">
        <v>109</v>
      </c>
      <c r="E243" s="6" t="s">
        <v>1253</v>
      </c>
      <c r="F243" s="6"/>
      <c r="G243" s="6" t="s">
        <v>1240</v>
      </c>
      <c r="H243" s="6" t="s">
        <v>215</v>
      </c>
      <c r="I243" s="6" t="s">
        <v>31</v>
      </c>
      <c r="J243" s="6" t="s">
        <v>1241</v>
      </c>
      <c r="K243" s="6" t="s">
        <v>1254</v>
      </c>
      <c r="L243" s="6" t="s">
        <v>54</v>
      </c>
      <c r="M243" s="6" t="s">
        <v>54</v>
      </c>
      <c r="N243" s="6" t="s">
        <v>904</v>
      </c>
      <c r="O243" s="6" t="s">
        <v>1242</v>
      </c>
      <c r="P243" s="6"/>
      <c r="Q243" s="8">
        <v>185</v>
      </c>
      <c r="R243" s="8">
        <v>185.55500000000001</v>
      </c>
      <c r="S243" s="8">
        <v>369.9</v>
      </c>
      <c r="T243" s="8">
        <v>14</v>
      </c>
      <c r="U243" s="8"/>
      <c r="V243" s="8">
        <v>0</v>
      </c>
      <c r="W243" s="12">
        <v>0</v>
      </c>
      <c r="Y243">
        <v>0</v>
      </c>
    </row>
    <row r="244" spans="1:25" ht="40" customHeight="1">
      <c r="A244" s="6" t="s">
        <v>1255</v>
      </c>
      <c r="B244" s="6" t="s">
        <v>1256</v>
      </c>
      <c r="C244" s="6">
        <v>129720</v>
      </c>
      <c r="D244" s="6" t="s">
        <v>1231</v>
      </c>
      <c r="E244" s="6" t="s">
        <v>1257</v>
      </c>
      <c r="F244" s="6"/>
      <c r="G244" s="6" t="s">
        <v>1240</v>
      </c>
      <c r="H244" s="6" t="s">
        <v>215</v>
      </c>
      <c r="I244" s="6" t="s">
        <v>31</v>
      </c>
      <c r="J244" s="6" t="s">
        <v>1241</v>
      </c>
      <c r="K244" s="6" t="s">
        <v>1258</v>
      </c>
      <c r="L244" s="6" t="s">
        <v>54</v>
      </c>
      <c r="M244" s="6" t="s">
        <v>54</v>
      </c>
      <c r="N244" s="6" t="s">
        <v>904</v>
      </c>
      <c r="O244" s="6" t="s">
        <v>1242</v>
      </c>
      <c r="P244" s="6"/>
      <c r="Q244" s="8">
        <v>185</v>
      </c>
      <c r="R244" s="8">
        <v>185.55500000000001</v>
      </c>
      <c r="S244" s="8">
        <v>369.9</v>
      </c>
      <c r="T244" s="8">
        <v>14</v>
      </c>
      <c r="U244" s="8"/>
      <c r="V244" s="8">
        <v>0</v>
      </c>
      <c r="W244" s="12">
        <v>0</v>
      </c>
      <c r="Y244">
        <v>0</v>
      </c>
    </row>
    <row r="245" spans="1:25" ht="40" customHeight="1">
      <c r="A245" s="6" t="s">
        <v>1259</v>
      </c>
      <c r="B245" s="6" t="s">
        <v>1260</v>
      </c>
      <c r="C245" s="6">
        <v>129720</v>
      </c>
      <c r="D245" s="6" t="s">
        <v>126</v>
      </c>
      <c r="E245" s="6" t="s">
        <v>1261</v>
      </c>
      <c r="F245" s="6"/>
      <c r="G245" s="6" t="s">
        <v>1240</v>
      </c>
      <c r="H245" s="6" t="s">
        <v>215</v>
      </c>
      <c r="I245" s="6" t="s">
        <v>31</v>
      </c>
      <c r="J245" s="6" t="s">
        <v>1241</v>
      </c>
      <c r="K245" s="6" t="s">
        <v>682</v>
      </c>
      <c r="L245" s="6" t="s">
        <v>54</v>
      </c>
      <c r="M245" s="6" t="s">
        <v>54</v>
      </c>
      <c r="N245" s="6" t="s">
        <v>904</v>
      </c>
      <c r="O245" s="6" t="s">
        <v>1242</v>
      </c>
      <c r="P245" s="6"/>
      <c r="Q245" s="8">
        <v>185</v>
      </c>
      <c r="R245" s="8">
        <v>185.55500000000001</v>
      </c>
      <c r="S245" s="8">
        <v>369.9</v>
      </c>
      <c r="T245" s="8">
        <v>14</v>
      </c>
      <c r="U245" s="8"/>
      <c r="V245" s="8">
        <v>0</v>
      </c>
      <c r="W245" s="12">
        <v>0</v>
      </c>
      <c r="Y245">
        <v>0</v>
      </c>
    </row>
    <row r="246" spans="1:25" ht="40" customHeight="1">
      <c r="A246" s="6" t="s">
        <v>1262</v>
      </c>
      <c r="B246" s="6" t="s">
        <v>1263</v>
      </c>
      <c r="C246" s="6">
        <v>129721</v>
      </c>
      <c r="D246" s="6" t="s">
        <v>1092</v>
      </c>
      <c r="E246" s="6" t="s">
        <v>1264</v>
      </c>
      <c r="F246" s="6"/>
      <c r="G246" s="6" t="s">
        <v>1240</v>
      </c>
      <c r="H246" s="6" t="s">
        <v>1265</v>
      </c>
      <c r="I246" s="6" t="s">
        <v>31</v>
      </c>
      <c r="J246" s="6" t="s">
        <v>1266</v>
      </c>
      <c r="K246" s="6" t="s">
        <v>1094</v>
      </c>
      <c r="L246" s="6" t="s">
        <v>1267</v>
      </c>
      <c r="M246" s="6" t="s">
        <v>1268</v>
      </c>
      <c r="N246" s="6" t="s">
        <v>904</v>
      </c>
      <c r="O246" s="6" t="s">
        <v>1242</v>
      </c>
      <c r="P246" s="6"/>
      <c r="Q246" s="8">
        <v>185</v>
      </c>
      <c r="R246" s="8">
        <v>185.55500000000001</v>
      </c>
      <c r="S246" s="8">
        <v>369.9</v>
      </c>
      <c r="T246" s="8">
        <v>14</v>
      </c>
      <c r="U246" s="8"/>
      <c r="V246" s="8">
        <v>0</v>
      </c>
      <c r="W246" s="12">
        <v>0</v>
      </c>
      <c r="Y246">
        <v>0</v>
      </c>
    </row>
    <row r="247" spans="1:25" ht="40" customHeight="1">
      <c r="A247" s="6" t="s">
        <v>1269</v>
      </c>
      <c r="B247" s="6" t="s">
        <v>1270</v>
      </c>
      <c r="C247" s="6">
        <v>129721</v>
      </c>
      <c r="D247" s="6" t="s">
        <v>74</v>
      </c>
      <c r="E247" s="6" t="s">
        <v>1271</v>
      </c>
      <c r="F247" s="6"/>
      <c r="G247" s="6" t="s">
        <v>1240</v>
      </c>
      <c r="H247" s="6" t="s">
        <v>1265</v>
      </c>
      <c r="I247" s="6" t="s">
        <v>31</v>
      </c>
      <c r="J247" s="6" t="s">
        <v>1266</v>
      </c>
      <c r="K247" s="6" t="s">
        <v>815</v>
      </c>
      <c r="L247" s="6" t="s">
        <v>1267</v>
      </c>
      <c r="M247" s="6" t="s">
        <v>1268</v>
      </c>
      <c r="N247" s="6" t="s">
        <v>904</v>
      </c>
      <c r="O247" s="6" t="s">
        <v>1242</v>
      </c>
      <c r="P247" s="6"/>
      <c r="Q247" s="8">
        <v>185</v>
      </c>
      <c r="R247" s="8">
        <v>185.55500000000001</v>
      </c>
      <c r="S247" s="8">
        <v>369.9</v>
      </c>
      <c r="T247" s="8">
        <v>14</v>
      </c>
      <c r="U247" s="8"/>
      <c r="V247" s="8">
        <v>0</v>
      </c>
      <c r="W247" s="12">
        <v>0</v>
      </c>
      <c r="Y247">
        <v>0</v>
      </c>
    </row>
    <row r="248" spans="1:25" ht="40" customHeight="1">
      <c r="A248" s="6" t="s">
        <v>1272</v>
      </c>
      <c r="B248" s="6" t="s">
        <v>1273</v>
      </c>
      <c r="C248" s="6">
        <v>129721</v>
      </c>
      <c r="D248" s="6" t="s">
        <v>126</v>
      </c>
      <c r="E248" s="6" t="s">
        <v>1274</v>
      </c>
      <c r="F248" s="6"/>
      <c r="G248" s="6" t="s">
        <v>1240</v>
      </c>
      <c r="H248" s="6" t="s">
        <v>1265</v>
      </c>
      <c r="I248" s="6" t="s">
        <v>31</v>
      </c>
      <c r="J248" s="6" t="s">
        <v>1266</v>
      </c>
      <c r="K248" s="6" t="s">
        <v>682</v>
      </c>
      <c r="L248" s="6" t="s">
        <v>1267</v>
      </c>
      <c r="M248" s="6" t="s">
        <v>1268</v>
      </c>
      <c r="N248" s="6" t="s">
        <v>904</v>
      </c>
      <c r="O248" s="6" t="s">
        <v>1242</v>
      </c>
      <c r="P248" s="6"/>
      <c r="Q248" s="8">
        <v>185</v>
      </c>
      <c r="R248" s="8">
        <v>185.55500000000001</v>
      </c>
      <c r="S248" s="8">
        <v>369.9</v>
      </c>
      <c r="T248" s="8">
        <v>14</v>
      </c>
      <c r="U248" s="8"/>
      <c r="V248" s="8">
        <v>0</v>
      </c>
      <c r="W248" s="12">
        <v>0</v>
      </c>
      <c r="Y248">
        <v>0</v>
      </c>
    </row>
    <row r="249" spans="1:25" ht="40" customHeight="1">
      <c r="A249" s="6" t="s">
        <v>1275</v>
      </c>
      <c r="B249" s="6" t="s">
        <v>1276</v>
      </c>
      <c r="C249" s="6">
        <v>129724</v>
      </c>
      <c r="D249" s="6" t="s">
        <v>623</v>
      </c>
      <c r="E249" s="6" t="s">
        <v>1277</v>
      </c>
      <c r="F249" s="6"/>
      <c r="G249" s="6" t="s">
        <v>1240</v>
      </c>
      <c r="H249" s="6" t="s">
        <v>1278</v>
      </c>
      <c r="I249" s="6" t="s">
        <v>31</v>
      </c>
      <c r="J249" s="6" t="s">
        <v>1279</v>
      </c>
      <c r="K249" s="6" t="s">
        <v>625</v>
      </c>
      <c r="L249" s="6" t="s">
        <v>54</v>
      </c>
      <c r="M249" s="6" t="s">
        <v>54</v>
      </c>
      <c r="N249" s="6" t="s">
        <v>904</v>
      </c>
      <c r="O249" s="6" t="s">
        <v>1280</v>
      </c>
      <c r="P249" s="6"/>
      <c r="Q249" s="8">
        <v>240</v>
      </c>
      <c r="R249" s="8">
        <v>240.72</v>
      </c>
      <c r="S249" s="8">
        <v>479.9</v>
      </c>
      <c r="T249" s="8">
        <v>14</v>
      </c>
      <c r="U249" s="8"/>
      <c r="V249" s="8">
        <v>0</v>
      </c>
      <c r="W249" s="12">
        <v>0</v>
      </c>
      <c r="Y249">
        <v>0</v>
      </c>
    </row>
    <row r="250" spans="1:25" ht="40" customHeight="1">
      <c r="A250" s="6" t="s">
        <v>1281</v>
      </c>
      <c r="B250" s="6" t="s">
        <v>1282</v>
      </c>
      <c r="C250" s="6">
        <v>129724</v>
      </c>
      <c r="D250" s="6" t="s">
        <v>999</v>
      </c>
      <c r="E250" s="6" t="s">
        <v>1283</v>
      </c>
      <c r="F250" s="6"/>
      <c r="G250" s="6" t="s">
        <v>1240</v>
      </c>
      <c r="H250" s="6" t="s">
        <v>1278</v>
      </c>
      <c r="I250" s="6" t="s">
        <v>31</v>
      </c>
      <c r="J250" s="6" t="s">
        <v>1279</v>
      </c>
      <c r="K250" s="6" t="s">
        <v>1089</v>
      </c>
      <c r="L250" s="6" t="s">
        <v>54</v>
      </c>
      <c r="M250" s="6" t="s">
        <v>54</v>
      </c>
      <c r="N250" s="6" t="s">
        <v>904</v>
      </c>
      <c r="O250" s="6" t="s">
        <v>1280</v>
      </c>
      <c r="P250" s="6"/>
      <c r="Q250" s="8">
        <v>240</v>
      </c>
      <c r="R250" s="8">
        <v>240.72</v>
      </c>
      <c r="S250" s="8">
        <v>479.9</v>
      </c>
      <c r="T250" s="8">
        <v>14</v>
      </c>
      <c r="U250" s="8"/>
      <c r="V250" s="8">
        <v>0</v>
      </c>
      <c r="W250" s="12">
        <v>0</v>
      </c>
      <c r="Y250">
        <v>0</v>
      </c>
    </row>
    <row r="251" spans="1:25" ht="40" customHeight="1">
      <c r="A251" s="6" t="s">
        <v>1284</v>
      </c>
      <c r="B251" s="6" t="s">
        <v>1285</v>
      </c>
      <c r="C251" s="6">
        <v>129724</v>
      </c>
      <c r="D251" s="6" t="s">
        <v>1286</v>
      </c>
      <c r="E251" s="6" t="s">
        <v>1287</v>
      </c>
      <c r="F251" s="6"/>
      <c r="G251" s="6" t="s">
        <v>1240</v>
      </c>
      <c r="H251" s="6" t="s">
        <v>1278</v>
      </c>
      <c r="I251" s="6" t="s">
        <v>31</v>
      </c>
      <c r="J251" s="6" t="s">
        <v>1279</v>
      </c>
      <c r="K251" s="6" t="s">
        <v>1288</v>
      </c>
      <c r="L251" s="6" t="s">
        <v>54</v>
      </c>
      <c r="M251" s="6" t="s">
        <v>54</v>
      </c>
      <c r="N251" s="6" t="s">
        <v>904</v>
      </c>
      <c r="O251" s="6" t="s">
        <v>1280</v>
      </c>
      <c r="P251" s="6"/>
      <c r="Q251" s="8">
        <v>240</v>
      </c>
      <c r="R251" s="8">
        <v>240.72</v>
      </c>
      <c r="S251" s="8">
        <v>479.9</v>
      </c>
      <c r="T251" s="8">
        <v>14</v>
      </c>
      <c r="U251" s="8"/>
      <c r="V251" s="8">
        <v>0</v>
      </c>
      <c r="W251" s="12">
        <v>0</v>
      </c>
      <c r="Y251">
        <v>0</v>
      </c>
    </row>
    <row r="252" spans="1:25" ht="40" customHeight="1">
      <c r="A252" s="6" t="s">
        <v>1289</v>
      </c>
      <c r="B252" s="6" t="s">
        <v>1290</v>
      </c>
      <c r="C252" s="6">
        <v>129735</v>
      </c>
      <c r="D252" s="6" t="s">
        <v>64</v>
      </c>
      <c r="E252" s="6" t="s">
        <v>1291</v>
      </c>
      <c r="F252" s="6"/>
      <c r="G252" s="6" t="s">
        <v>1046</v>
      </c>
      <c r="H252" s="6" t="s">
        <v>215</v>
      </c>
      <c r="I252" s="6" t="s">
        <v>31</v>
      </c>
      <c r="J252" s="6" t="s">
        <v>1292</v>
      </c>
      <c r="K252" s="6" t="s">
        <v>598</v>
      </c>
      <c r="L252" s="6" t="s">
        <v>54</v>
      </c>
      <c r="M252" s="6" t="s">
        <v>54</v>
      </c>
      <c r="N252" s="6" t="s">
        <v>904</v>
      </c>
      <c r="O252" s="6" t="s">
        <v>1056</v>
      </c>
      <c r="P252" s="6"/>
      <c r="Q252" s="8">
        <v>140</v>
      </c>
      <c r="R252" s="8">
        <v>140.41999999999999</v>
      </c>
      <c r="S252" s="8">
        <v>279.89999999999998</v>
      </c>
      <c r="T252" s="8">
        <v>14</v>
      </c>
      <c r="U252" s="8"/>
      <c r="V252" s="8">
        <v>0</v>
      </c>
      <c r="W252" s="12">
        <v>0</v>
      </c>
      <c r="Y252">
        <v>0</v>
      </c>
    </row>
    <row r="253" spans="1:25" ht="40" customHeight="1">
      <c r="A253" s="6" t="s">
        <v>1293</v>
      </c>
      <c r="B253" s="6" t="s">
        <v>1294</v>
      </c>
      <c r="C253" s="6">
        <v>129735</v>
      </c>
      <c r="D253" s="6" t="s">
        <v>999</v>
      </c>
      <c r="E253" s="6" t="s">
        <v>1295</v>
      </c>
      <c r="F253" s="6"/>
      <c r="G253" s="6" t="s">
        <v>1046</v>
      </c>
      <c r="H253" s="6" t="s">
        <v>215</v>
      </c>
      <c r="I253" s="6" t="s">
        <v>31</v>
      </c>
      <c r="J253" s="6" t="s">
        <v>1292</v>
      </c>
      <c r="K253" s="6" t="s">
        <v>1296</v>
      </c>
      <c r="L253" s="6" t="s">
        <v>54</v>
      </c>
      <c r="M253" s="6" t="s">
        <v>54</v>
      </c>
      <c r="N253" s="6" t="s">
        <v>904</v>
      </c>
      <c r="O253" s="6" t="s">
        <v>1056</v>
      </c>
      <c r="P253" s="6"/>
      <c r="Q253" s="8">
        <v>140</v>
      </c>
      <c r="R253" s="8">
        <v>140.41999999999999</v>
      </c>
      <c r="S253" s="8">
        <v>279.89999999999998</v>
      </c>
      <c r="T253" s="8">
        <v>14</v>
      </c>
      <c r="U253" s="8"/>
      <c r="V253" s="8">
        <v>0</v>
      </c>
      <c r="W253" s="12">
        <v>0</v>
      </c>
      <c r="Y253">
        <v>0</v>
      </c>
    </row>
    <row r="254" spans="1:25" ht="40" customHeight="1">
      <c r="A254" s="6" t="s">
        <v>1297</v>
      </c>
      <c r="B254" s="6" t="s">
        <v>1298</v>
      </c>
      <c r="C254" s="6">
        <v>129760</v>
      </c>
      <c r="D254" s="6" t="s">
        <v>27</v>
      </c>
      <c r="E254" s="6" t="s">
        <v>1299</v>
      </c>
      <c r="F254" s="6"/>
      <c r="G254" s="6" t="s">
        <v>1300</v>
      </c>
      <c r="H254" s="6" t="s">
        <v>215</v>
      </c>
      <c r="I254" s="6" t="s">
        <v>31</v>
      </c>
      <c r="J254" s="6" t="s">
        <v>1301</v>
      </c>
      <c r="K254" s="6" t="s">
        <v>744</v>
      </c>
      <c r="L254" s="6" t="s">
        <v>54</v>
      </c>
      <c r="M254" s="6" t="s">
        <v>54</v>
      </c>
      <c r="N254" s="6" t="s">
        <v>904</v>
      </c>
      <c r="O254" s="6" t="s">
        <v>1302</v>
      </c>
      <c r="P254" s="6"/>
      <c r="Q254" s="8">
        <v>175</v>
      </c>
      <c r="R254" s="8">
        <v>175.52500000000001</v>
      </c>
      <c r="S254" s="8">
        <v>349.9</v>
      </c>
      <c r="T254" s="8">
        <v>14</v>
      </c>
      <c r="U254" s="8"/>
      <c r="V254" s="8">
        <v>0</v>
      </c>
      <c r="W254" s="12">
        <v>0</v>
      </c>
      <c r="Y254">
        <v>0</v>
      </c>
    </row>
    <row r="255" spans="1:25" ht="40" customHeight="1">
      <c r="A255" s="6" t="s">
        <v>1303</v>
      </c>
      <c r="B255" s="6" t="s">
        <v>1304</v>
      </c>
      <c r="C255" s="6">
        <v>129760</v>
      </c>
      <c r="D255" s="6" t="s">
        <v>147</v>
      </c>
      <c r="E255" s="6" t="s">
        <v>1305</v>
      </c>
      <c r="F255" s="6"/>
      <c r="G255" s="6" t="s">
        <v>1300</v>
      </c>
      <c r="H255" s="6" t="s">
        <v>215</v>
      </c>
      <c r="I255" s="6" t="s">
        <v>31</v>
      </c>
      <c r="J255" s="6" t="s">
        <v>1301</v>
      </c>
      <c r="K255" s="6" t="s">
        <v>744</v>
      </c>
      <c r="L255" s="6" t="s">
        <v>54</v>
      </c>
      <c r="M255" s="6" t="s">
        <v>54</v>
      </c>
      <c r="N255" s="6" t="s">
        <v>904</v>
      </c>
      <c r="O255" s="6" t="s">
        <v>1302</v>
      </c>
      <c r="P255" s="6"/>
      <c r="Q255" s="8">
        <v>175</v>
      </c>
      <c r="R255" s="8">
        <v>175.52500000000001</v>
      </c>
      <c r="S255" s="8">
        <v>349.9</v>
      </c>
      <c r="T255" s="8">
        <v>14</v>
      </c>
      <c r="U255" s="8"/>
      <c r="V255" s="8">
        <v>0</v>
      </c>
      <c r="W255" s="12">
        <v>0</v>
      </c>
      <c r="Y255">
        <v>0</v>
      </c>
    </row>
    <row r="256" spans="1:25" ht="40" customHeight="1">
      <c r="A256" s="6" t="s">
        <v>1306</v>
      </c>
      <c r="B256" s="6" t="s">
        <v>1307</v>
      </c>
      <c r="C256" s="6">
        <v>129760</v>
      </c>
      <c r="D256" s="6" t="s">
        <v>40</v>
      </c>
      <c r="E256" s="6" t="s">
        <v>1308</v>
      </c>
      <c r="F256" s="6"/>
      <c r="G256" s="6" t="s">
        <v>1300</v>
      </c>
      <c r="H256" s="6" t="s">
        <v>215</v>
      </c>
      <c r="I256" s="6" t="s">
        <v>31</v>
      </c>
      <c r="J256" s="6" t="s">
        <v>1301</v>
      </c>
      <c r="K256" s="6" t="s">
        <v>1085</v>
      </c>
      <c r="L256" s="6" t="s">
        <v>54</v>
      </c>
      <c r="M256" s="6" t="s">
        <v>54</v>
      </c>
      <c r="N256" s="6" t="s">
        <v>904</v>
      </c>
      <c r="O256" s="6" t="s">
        <v>1302</v>
      </c>
      <c r="P256" s="6"/>
      <c r="Q256" s="8">
        <v>175</v>
      </c>
      <c r="R256" s="8">
        <v>175.52500000000001</v>
      </c>
      <c r="S256" s="8">
        <v>349.9</v>
      </c>
      <c r="T256" s="8">
        <v>14</v>
      </c>
      <c r="U256" s="8"/>
      <c r="V256" s="8">
        <v>0</v>
      </c>
      <c r="W256" s="12">
        <v>0</v>
      </c>
      <c r="Y256">
        <v>0</v>
      </c>
    </row>
    <row r="257" spans="1:25" ht="40" customHeight="1">
      <c r="A257" s="6" t="s">
        <v>1309</v>
      </c>
      <c r="B257" s="6" t="s">
        <v>1310</v>
      </c>
      <c r="C257" s="6">
        <v>129760</v>
      </c>
      <c r="D257" s="6" t="s">
        <v>999</v>
      </c>
      <c r="E257" s="6" t="s">
        <v>1311</v>
      </c>
      <c r="F257" s="6"/>
      <c r="G257" s="6" t="s">
        <v>1300</v>
      </c>
      <c r="H257" s="6" t="s">
        <v>215</v>
      </c>
      <c r="I257" s="6" t="s">
        <v>31</v>
      </c>
      <c r="J257" s="6" t="s">
        <v>1301</v>
      </c>
      <c r="K257" s="6" t="s">
        <v>1089</v>
      </c>
      <c r="L257" s="6" t="s">
        <v>54</v>
      </c>
      <c r="M257" s="6" t="s">
        <v>54</v>
      </c>
      <c r="N257" s="6" t="s">
        <v>904</v>
      </c>
      <c r="O257" s="6" t="s">
        <v>1302</v>
      </c>
      <c r="P257" s="6"/>
      <c r="Q257" s="8">
        <v>175</v>
      </c>
      <c r="R257" s="8">
        <v>175.52500000000001</v>
      </c>
      <c r="S257" s="8">
        <v>349.9</v>
      </c>
      <c r="T257" s="8">
        <v>14</v>
      </c>
      <c r="U257" s="8"/>
      <c r="V257" s="8">
        <v>0</v>
      </c>
      <c r="W257" s="12">
        <v>0</v>
      </c>
      <c r="Y257">
        <v>0</v>
      </c>
    </row>
    <row r="258" spans="1:25" ht="40" customHeight="1">
      <c r="A258" s="6" t="s">
        <v>1312</v>
      </c>
      <c r="B258" s="6" t="s">
        <v>1313</v>
      </c>
      <c r="C258" s="6">
        <v>129760</v>
      </c>
      <c r="D258" s="6" t="s">
        <v>74</v>
      </c>
      <c r="E258" s="6" t="s">
        <v>1314</v>
      </c>
      <c r="F258" s="6"/>
      <c r="G258" s="6" t="s">
        <v>1300</v>
      </c>
      <c r="H258" s="6" t="s">
        <v>215</v>
      </c>
      <c r="I258" s="6" t="s">
        <v>31</v>
      </c>
      <c r="J258" s="6" t="s">
        <v>1301</v>
      </c>
      <c r="K258" s="6" t="s">
        <v>815</v>
      </c>
      <c r="L258" s="6" t="s">
        <v>54</v>
      </c>
      <c r="M258" s="6" t="s">
        <v>54</v>
      </c>
      <c r="N258" s="6" t="s">
        <v>904</v>
      </c>
      <c r="O258" s="6" t="s">
        <v>1302</v>
      </c>
      <c r="P258" s="6"/>
      <c r="Q258" s="8">
        <v>175</v>
      </c>
      <c r="R258" s="8">
        <v>175.52500000000001</v>
      </c>
      <c r="S258" s="8">
        <v>349.9</v>
      </c>
      <c r="T258" s="8">
        <v>14</v>
      </c>
      <c r="U258" s="8"/>
      <c r="V258" s="8">
        <v>0</v>
      </c>
      <c r="W258" s="12">
        <v>0</v>
      </c>
      <c r="Y258">
        <v>0</v>
      </c>
    </row>
    <row r="259" spans="1:25" ht="40" customHeight="1">
      <c r="A259" s="6" t="s">
        <v>1315</v>
      </c>
      <c r="B259" s="6" t="s">
        <v>1316</v>
      </c>
      <c r="C259" s="6">
        <v>129760</v>
      </c>
      <c r="D259" s="6" t="s">
        <v>1317</v>
      </c>
      <c r="E259" s="6" t="s">
        <v>1318</v>
      </c>
      <c r="F259" s="6"/>
      <c r="G259" s="6" t="s">
        <v>1300</v>
      </c>
      <c r="H259" s="6" t="s">
        <v>215</v>
      </c>
      <c r="I259" s="6" t="s">
        <v>31</v>
      </c>
      <c r="J259" s="6" t="s">
        <v>1301</v>
      </c>
      <c r="K259" s="6" t="s">
        <v>1319</v>
      </c>
      <c r="L259" s="6" t="s">
        <v>54</v>
      </c>
      <c r="M259" s="6" t="s">
        <v>54</v>
      </c>
      <c r="N259" s="6" t="s">
        <v>904</v>
      </c>
      <c r="O259" s="6" t="s">
        <v>1302</v>
      </c>
      <c r="P259" s="6"/>
      <c r="Q259" s="8">
        <v>175</v>
      </c>
      <c r="R259" s="8">
        <v>175.52500000000001</v>
      </c>
      <c r="S259" s="8">
        <v>349.9</v>
      </c>
      <c r="T259" s="8">
        <v>14</v>
      </c>
      <c r="U259" s="8"/>
      <c r="V259" s="8">
        <v>0</v>
      </c>
      <c r="W259" s="12">
        <v>0</v>
      </c>
      <c r="Y259">
        <v>0</v>
      </c>
    </row>
    <row r="260" spans="1:25" ht="40" customHeight="1">
      <c r="A260" s="6" t="s">
        <v>1320</v>
      </c>
      <c r="B260" s="6" t="s">
        <v>1321</v>
      </c>
      <c r="C260" s="6">
        <v>129760</v>
      </c>
      <c r="D260" s="6" t="s">
        <v>1286</v>
      </c>
      <c r="E260" s="6" t="s">
        <v>1322</v>
      </c>
      <c r="F260" s="6"/>
      <c r="G260" s="6" t="s">
        <v>1300</v>
      </c>
      <c r="H260" s="6" t="s">
        <v>215</v>
      </c>
      <c r="I260" s="6" t="s">
        <v>31</v>
      </c>
      <c r="J260" s="6" t="s">
        <v>1301</v>
      </c>
      <c r="K260" s="6" t="s">
        <v>1323</v>
      </c>
      <c r="L260" s="6" t="s">
        <v>54</v>
      </c>
      <c r="M260" s="6" t="s">
        <v>54</v>
      </c>
      <c r="N260" s="6" t="s">
        <v>904</v>
      </c>
      <c r="O260" s="6" t="s">
        <v>1302</v>
      </c>
      <c r="P260" s="6"/>
      <c r="Q260" s="8">
        <v>175</v>
      </c>
      <c r="R260" s="8">
        <v>175.52500000000001</v>
      </c>
      <c r="S260" s="8">
        <v>349.9</v>
      </c>
      <c r="T260" s="8">
        <v>14</v>
      </c>
      <c r="U260" s="8"/>
      <c r="V260" s="8">
        <v>0</v>
      </c>
      <c r="W260" s="12">
        <v>0</v>
      </c>
      <c r="Y260">
        <v>0</v>
      </c>
    </row>
    <row r="261" spans="1:25" ht="40" customHeight="1">
      <c r="A261" s="6" t="s">
        <v>1324</v>
      </c>
      <c r="B261" s="6" t="s">
        <v>1325</v>
      </c>
      <c r="C261" s="6">
        <v>129761</v>
      </c>
      <c r="D261" s="6" t="s">
        <v>27</v>
      </c>
      <c r="E261" s="6" t="s">
        <v>1326</v>
      </c>
      <c r="F261" s="6"/>
      <c r="G261" s="6" t="s">
        <v>1300</v>
      </c>
      <c r="H261" s="6" t="s">
        <v>1327</v>
      </c>
      <c r="I261" s="6" t="s">
        <v>31</v>
      </c>
      <c r="J261" s="6" t="s">
        <v>1129</v>
      </c>
      <c r="K261" s="6" t="s">
        <v>577</v>
      </c>
      <c r="L261" s="6" t="s">
        <v>54</v>
      </c>
      <c r="M261" s="6" t="s">
        <v>54</v>
      </c>
      <c r="N261" s="6" t="s">
        <v>904</v>
      </c>
      <c r="O261" s="6" t="s">
        <v>1328</v>
      </c>
      <c r="P261" s="6"/>
      <c r="Q261" s="8">
        <v>150</v>
      </c>
      <c r="R261" s="8">
        <v>150.44999999999999</v>
      </c>
      <c r="S261" s="8">
        <v>299.89999999999998</v>
      </c>
      <c r="T261" s="8">
        <v>14</v>
      </c>
      <c r="U261" s="8"/>
      <c r="V261" s="8">
        <v>0</v>
      </c>
      <c r="W261" s="12">
        <v>0</v>
      </c>
      <c r="Y261">
        <v>0</v>
      </c>
    </row>
    <row r="262" spans="1:25" ht="40" customHeight="1">
      <c r="A262" s="6" t="s">
        <v>1329</v>
      </c>
      <c r="B262" s="6" t="s">
        <v>1330</v>
      </c>
      <c r="C262" s="6">
        <v>129761</v>
      </c>
      <c r="D262" s="6" t="s">
        <v>64</v>
      </c>
      <c r="E262" s="6" t="s">
        <v>1331</v>
      </c>
      <c r="F262" s="6"/>
      <c r="G262" s="6" t="s">
        <v>1300</v>
      </c>
      <c r="H262" s="6" t="s">
        <v>1327</v>
      </c>
      <c r="I262" s="6" t="s">
        <v>31</v>
      </c>
      <c r="J262" s="6" t="s">
        <v>1129</v>
      </c>
      <c r="K262" s="6" t="s">
        <v>744</v>
      </c>
      <c r="L262" s="6" t="s">
        <v>54</v>
      </c>
      <c r="M262" s="6" t="s">
        <v>54</v>
      </c>
      <c r="N262" s="6" t="s">
        <v>904</v>
      </c>
      <c r="O262" s="6" t="s">
        <v>1328</v>
      </c>
      <c r="P262" s="6"/>
      <c r="Q262" s="8">
        <v>150</v>
      </c>
      <c r="R262" s="8">
        <v>150.44999999999999</v>
      </c>
      <c r="S262" s="8">
        <v>299.89999999999998</v>
      </c>
      <c r="T262" s="8">
        <v>14</v>
      </c>
      <c r="U262" s="8"/>
      <c r="V262" s="8">
        <v>0</v>
      </c>
      <c r="W262" s="12">
        <v>0</v>
      </c>
      <c r="Y262">
        <v>0</v>
      </c>
    </row>
    <row r="263" spans="1:25" ht="40" customHeight="1">
      <c r="A263" s="6" t="s">
        <v>1332</v>
      </c>
      <c r="B263" s="6" t="s">
        <v>1333</v>
      </c>
      <c r="C263" s="6">
        <v>129761</v>
      </c>
      <c r="D263" s="6" t="s">
        <v>279</v>
      </c>
      <c r="E263" s="6" t="s">
        <v>1334</v>
      </c>
      <c r="F263" s="6"/>
      <c r="G263" s="6" t="s">
        <v>1300</v>
      </c>
      <c r="H263" s="6" t="s">
        <v>1327</v>
      </c>
      <c r="I263" s="6" t="s">
        <v>31</v>
      </c>
      <c r="J263" s="6" t="s">
        <v>1129</v>
      </c>
      <c r="K263" s="6" t="s">
        <v>1335</v>
      </c>
      <c r="L263" s="6" t="s">
        <v>54</v>
      </c>
      <c r="M263" s="6" t="s">
        <v>54</v>
      </c>
      <c r="N263" s="6" t="s">
        <v>904</v>
      </c>
      <c r="O263" s="6" t="s">
        <v>1328</v>
      </c>
      <c r="P263" s="6"/>
      <c r="Q263" s="8">
        <v>150</v>
      </c>
      <c r="R263" s="8">
        <v>150.44999999999999</v>
      </c>
      <c r="S263" s="8">
        <v>299.89999999999998</v>
      </c>
      <c r="T263" s="8">
        <v>14</v>
      </c>
      <c r="U263" s="8"/>
      <c r="V263" s="8">
        <v>0</v>
      </c>
      <c r="W263" s="12">
        <v>0</v>
      </c>
      <c r="Y263">
        <v>0</v>
      </c>
    </row>
    <row r="264" spans="1:25" ht="40" customHeight="1">
      <c r="A264" s="6" t="s">
        <v>1336</v>
      </c>
      <c r="B264" s="6" t="s">
        <v>1337</v>
      </c>
      <c r="C264" s="6">
        <v>129761</v>
      </c>
      <c r="D264" s="6" t="s">
        <v>1317</v>
      </c>
      <c r="E264" s="6" t="s">
        <v>1338</v>
      </c>
      <c r="F264" s="6"/>
      <c r="G264" s="6" t="s">
        <v>1300</v>
      </c>
      <c r="H264" s="6" t="s">
        <v>1327</v>
      </c>
      <c r="I264" s="6" t="s">
        <v>31</v>
      </c>
      <c r="J264" s="6" t="s">
        <v>1129</v>
      </c>
      <c r="K264" s="6" t="s">
        <v>1319</v>
      </c>
      <c r="L264" s="6" t="s">
        <v>54</v>
      </c>
      <c r="M264" s="6" t="s">
        <v>54</v>
      </c>
      <c r="N264" s="6" t="s">
        <v>904</v>
      </c>
      <c r="O264" s="6" t="s">
        <v>1328</v>
      </c>
      <c r="P264" s="6"/>
      <c r="Q264" s="8">
        <v>150</v>
      </c>
      <c r="R264" s="8">
        <v>150.44999999999999</v>
      </c>
      <c r="S264" s="8">
        <v>299.89999999999998</v>
      </c>
      <c r="T264" s="8">
        <v>14</v>
      </c>
      <c r="U264" s="8"/>
      <c r="V264" s="8">
        <v>0</v>
      </c>
      <c r="W264" s="12">
        <v>0</v>
      </c>
      <c r="Y264">
        <v>0</v>
      </c>
    </row>
    <row r="265" spans="1:25" ht="40" customHeight="1">
      <c r="A265" s="6" t="s">
        <v>1339</v>
      </c>
      <c r="B265" s="6" t="s">
        <v>1340</v>
      </c>
      <c r="C265" s="6">
        <v>129761</v>
      </c>
      <c r="D265" s="6" t="s">
        <v>862</v>
      </c>
      <c r="E265" s="6" t="s">
        <v>1341</v>
      </c>
      <c r="F265" s="6"/>
      <c r="G265" s="6" t="s">
        <v>1300</v>
      </c>
      <c r="H265" s="6" t="s">
        <v>1327</v>
      </c>
      <c r="I265" s="6" t="s">
        <v>31</v>
      </c>
      <c r="J265" s="6" t="s">
        <v>1129</v>
      </c>
      <c r="K265" s="6" t="s">
        <v>1111</v>
      </c>
      <c r="L265" s="6" t="s">
        <v>54</v>
      </c>
      <c r="M265" s="6" t="s">
        <v>54</v>
      </c>
      <c r="N265" s="6" t="s">
        <v>904</v>
      </c>
      <c r="O265" s="6" t="s">
        <v>1328</v>
      </c>
      <c r="P265" s="6"/>
      <c r="Q265" s="8">
        <v>150</v>
      </c>
      <c r="R265" s="8">
        <v>150.44999999999999</v>
      </c>
      <c r="S265" s="8">
        <v>299.89999999999998</v>
      </c>
      <c r="T265" s="8">
        <v>14</v>
      </c>
      <c r="U265" s="8"/>
      <c r="V265" s="8">
        <v>0</v>
      </c>
      <c r="W265" s="12">
        <v>0</v>
      </c>
      <c r="Y265">
        <v>0</v>
      </c>
    </row>
    <row r="266" spans="1:25" ht="40" customHeight="1">
      <c r="A266" s="6" t="s">
        <v>1342</v>
      </c>
      <c r="B266" s="6" t="s">
        <v>1343</v>
      </c>
      <c r="C266" s="6">
        <v>129761</v>
      </c>
      <c r="D266" s="6" t="s">
        <v>126</v>
      </c>
      <c r="E266" s="6" t="s">
        <v>1344</v>
      </c>
      <c r="F266" s="6"/>
      <c r="G266" s="6" t="s">
        <v>1300</v>
      </c>
      <c r="H266" s="6" t="s">
        <v>1327</v>
      </c>
      <c r="I266" s="6" t="s">
        <v>31</v>
      </c>
      <c r="J266" s="6" t="s">
        <v>1129</v>
      </c>
      <c r="K266" s="6" t="s">
        <v>682</v>
      </c>
      <c r="L266" s="6" t="s">
        <v>54</v>
      </c>
      <c r="M266" s="6" t="s">
        <v>54</v>
      </c>
      <c r="N266" s="6" t="s">
        <v>904</v>
      </c>
      <c r="O266" s="6" t="s">
        <v>1328</v>
      </c>
      <c r="P266" s="6"/>
      <c r="Q266" s="8">
        <v>150</v>
      </c>
      <c r="R266" s="8">
        <v>150.44999999999999</v>
      </c>
      <c r="S266" s="8">
        <v>299.89999999999998</v>
      </c>
      <c r="T266" s="8">
        <v>14</v>
      </c>
      <c r="U266" s="8"/>
      <c r="V266" s="8">
        <v>0</v>
      </c>
      <c r="W266" s="12">
        <v>0</v>
      </c>
      <c r="Y266">
        <v>0</v>
      </c>
    </row>
    <row r="267" spans="1:25" ht="40" customHeight="1">
      <c r="A267" s="6" t="s">
        <v>1345</v>
      </c>
      <c r="B267" s="6" t="s">
        <v>1346</v>
      </c>
      <c r="C267" s="6">
        <v>129780</v>
      </c>
      <c r="D267" s="6" t="s">
        <v>64</v>
      </c>
      <c r="E267" s="6" t="s">
        <v>1347</v>
      </c>
      <c r="F267" s="6"/>
      <c r="G267" s="6" t="s">
        <v>1348</v>
      </c>
      <c r="H267" s="6" t="s">
        <v>1349</v>
      </c>
      <c r="I267" s="6" t="s">
        <v>31</v>
      </c>
      <c r="J267" s="6" t="s">
        <v>1350</v>
      </c>
      <c r="K267" s="6" t="s">
        <v>1351</v>
      </c>
      <c r="L267" s="6" t="s">
        <v>54</v>
      </c>
      <c r="M267" s="6" t="s">
        <v>54</v>
      </c>
      <c r="N267" s="6" t="s">
        <v>904</v>
      </c>
      <c r="O267" s="6" t="s">
        <v>1352</v>
      </c>
      <c r="P267" s="6"/>
      <c r="Q267" s="8">
        <v>165</v>
      </c>
      <c r="R267" s="8">
        <v>165.495</v>
      </c>
      <c r="S267" s="8">
        <v>329.9</v>
      </c>
      <c r="T267" s="8">
        <v>14</v>
      </c>
      <c r="U267" s="8"/>
      <c r="V267" s="8">
        <v>0</v>
      </c>
      <c r="W267" s="12">
        <v>0</v>
      </c>
      <c r="Y267">
        <v>0</v>
      </c>
    </row>
    <row r="268" spans="1:25" ht="40" customHeight="1">
      <c r="A268" s="6" t="s">
        <v>1353</v>
      </c>
      <c r="B268" s="6" t="s">
        <v>1354</v>
      </c>
      <c r="C268" s="6">
        <v>129780</v>
      </c>
      <c r="D268" s="6" t="s">
        <v>40</v>
      </c>
      <c r="E268" s="6" t="s">
        <v>1355</v>
      </c>
      <c r="F268" s="6"/>
      <c r="G268" s="6" t="s">
        <v>1348</v>
      </c>
      <c r="H268" s="6" t="s">
        <v>1349</v>
      </c>
      <c r="I268" s="6" t="s">
        <v>31</v>
      </c>
      <c r="J268" s="6" t="s">
        <v>1350</v>
      </c>
      <c r="K268" s="6" t="s">
        <v>983</v>
      </c>
      <c r="L268" s="6" t="s">
        <v>54</v>
      </c>
      <c r="M268" s="6" t="s">
        <v>54</v>
      </c>
      <c r="N268" s="6" t="s">
        <v>904</v>
      </c>
      <c r="O268" s="6" t="s">
        <v>1352</v>
      </c>
      <c r="P268" s="6"/>
      <c r="Q268" s="8">
        <v>165</v>
      </c>
      <c r="R268" s="8">
        <v>165.495</v>
      </c>
      <c r="S268" s="8">
        <v>329.9</v>
      </c>
      <c r="T268" s="8">
        <v>14</v>
      </c>
      <c r="U268" s="8"/>
      <c r="V268" s="8">
        <v>0</v>
      </c>
      <c r="W268" s="12">
        <v>0</v>
      </c>
      <c r="Y268">
        <v>0</v>
      </c>
    </row>
    <row r="269" spans="1:25" ht="40" customHeight="1">
      <c r="A269" s="6" t="s">
        <v>1356</v>
      </c>
      <c r="B269" s="6" t="s">
        <v>1357</v>
      </c>
      <c r="C269" s="6">
        <v>129780</v>
      </c>
      <c r="D269" s="6" t="s">
        <v>89</v>
      </c>
      <c r="E269" s="6" t="s">
        <v>1358</v>
      </c>
      <c r="F269" s="6"/>
      <c r="G269" s="6" t="s">
        <v>1348</v>
      </c>
      <c r="H269" s="6" t="s">
        <v>1349</v>
      </c>
      <c r="I269" s="6" t="s">
        <v>31</v>
      </c>
      <c r="J269" s="6" t="s">
        <v>1350</v>
      </c>
      <c r="K269" s="6" t="s">
        <v>987</v>
      </c>
      <c r="L269" s="6" t="s">
        <v>54</v>
      </c>
      <c r="M269" s="6" t="s">
        <v>54</v>
      </c>
      <c r="N269" s="6" t="s">
        <v>904</v>
      </c>
      <c r="O269" s="6" t="s">
        <v>1352</v>
      </c>
      <c r="P269" s="6"/>
      <c r="Q269" s="8">
        <v>165</v>
      </c>
      <c r="R269" s="8">
        <v>165.495</v>
      </c>
      <c r="S269" s="8">
        <v>329.9</v>
      </c>
      <c r="T269" s="8">
        <v>14</v>
      </c>
      <c r="U269" s="8"/>
      <c r="V269" s="8">
        <v>0</v>
      </c>
      <c r="W269" s="12">
        <v>0</v>
      </c>
      <c r="Y269">
        <v>0</v>
      </c>
    </row>
    <row r="270" spans="1:25" ht="40" customHeight="1">
      <c r="A270" s="6" t="s">
        <v>1359</v>
      </c>
      <c r="B270" s="6" t="s">
        <v>1360</v>
      </c>
      <c r="C270" s="6">
        <v>129780</v>
      </c>
      <c r="D270" s="6" t="s">
        <v>1361</v>
      </c>
      <c r="E270" s="6" t="s">
        <v>1362</v>
      </c>
      <c r="F270" s="6"/>
      <c r="G270" s="6" t="s">
        <v>1348</v>
      </c>
      <c r="H270" s="6" t="s">
        <v>1349</v>
      </c>
      <c r="I270" s="6" t="s">
        <v>31</v>
      </c>
      <c r="J270" s="6" t="s">
        <v>1350</v>
      </c>
      <c r="K270" s="6" t="s">
        <v>1363</v>
      </c>
      <c r="L270" s="6" t="s">
        <v>54</v>
      </c>
      <c r="M270" s="6" t="s">
        <v>54</v>
      </c>
      <c r="N270" s="6" t="s">
        <v>904</v>
      </c>
      <c r="O270" s="6" t="s">
        <v>1352</v>
      </c>
      <c r="P270" s="6"/>
      <c r="Q270" s="8">
        <v>165</v>
      </c>
      <c r="R270" s="8">
        <v>165.495</v>
      </c>
      <c r="S270" s="8">
        <v>329.9</v>
      </c>
      <c r="T270" s="8">
        <v>14</v>
      </c>
      <c r="U270" s="8"/>
      <c r="V270" s="8">
        <v>0</v>
      </c>
      <c r="W270" s="12">
        <v>0</v>
      </c>
      <c r="Y270">
        <v>0</v>
      </c>
    </row>
    <row r="271" spans="1:25" ht="40" customHeight="1">
      <c r="A271" s="6" t="s">
        <v>1364</v>
      </c>
      <c r="B271" s="6" t="s">
        <v>1365</v>
      </c>
      <c r="C271" s="6">
        <v>129782</v>
      </c>
      <c r="D271" s="6" t="s">
        <v>27</v>
      </c>
      <c r="E271" s="6" t="s">
        <v>1366</v>
      </c>
      <c r="F271" s="6"/>
      <c r="G271" s="6" t="s">
        <v>1348</v>
      </c>
      <c r="H271" s="6" t="s">
        <v>215</v>
      </c>
      <c r="I271" s="6" t="s">
        <v>31</v>
      </c>
      <c r="J271" s="6" t="s">
        <v>1367</v>
      </c>
      <c r="K271" s="6" t="s">
        <v>365</v>
      </c>
      <c r="L271" s="6" t="s">
        <v>54</v>
      </c>
      <c r="M271" s="6" t="s">
        <v>54</v>
      </c>
      <c r="N271" s="6" t="s">
        <v>904</v>
      </c>
      <c r="O271" s="6" t="s">
        <v>1368</v>
      </c>
      <c r="P271" s="6"/>
      <c r="Q271" s="8">
        <v>185</v>
      </c>
      <c r="R271" s="8">
        <v>185.55500000000001</v>
      </c>
      <c r="S271" s="8">
        <v>369.9</v>
      </c>
      <c r="T271" s="8">
        <v>14</v>
      </c>
      <c r="U271" s="8"/>
      <c r="V271" s="8">
        <v>0</v>
      </c>
      <c r="W271" s="12">
        <v>0</v>
      </c>
      <c r="Y271">
        <v>0</v>
      </c>
    </row>
    <row r="272" spans="1:25" ht="40" customHeight="1">
      <c r="A272" s="6" t="s">
        <v>1369</v>
      </c>
      <c r="B272" s="6" t="s">
        <v>1370</v>
      </c>
      <c r="C272" s="6">
        <v>129782</v>
      </c>
      <c r="D272" s="6" t="s">
        <v>147</v>
      </c>
      <c r="E272" s="6" t="s">
        <v>1371</v>
      </c>
      <c r="F272" s="6"/>
      <c r="G272" s="6" t="s">
        <v>1348</v>
      </c>
      <c r="H272" s="6" t="s">
        <v>215</v>
      </c>
      <c r="I272" s="6" t="s">
        <v>31</v>
      </c>
      <c r="J272" s="6" t="s">
        <v>1367</v>
      </c>
      <c r="K272" s="6" t="s">
        <v>365</v>
      </c>
      <c r="L272" s="6" t="s">
        <v>54</v>
      </c>
      <c r="M272" s="6" t="s">
        <v>54</v>
      </c>
      <c r="N272" s="6" t="s">
        <v>904</v>
      </c>
      <c r="O272" s="6" t="s">
        <v>1368</v>
      </c>
      <c r="P272" s="6"/>
      <c r="Q272" s="8">
        <v>185</v>
      </c>
      <c r="R272" s="8">
        <v>185.55500000000001</v>
      </c>
      <c r="S272" s="8">
        <v>369.9</v>
      </c>
      <c r="T272" s="8">
        <v>14</v>
      </c>
      <c r="U272" s="8"/>
      <c r="V272" s="8">
        <v>0</v>
      </c>
      <c r="W272" s="12">
        <v>0</v>
      </c>
      <c r="Y272">
        <v>0</v>
      </c>
    </row>
    <row r="273" spans="1:25" ht="40" customHeight="1">
      <c r="A273" s="6" t="s">
        <v>1372</v>
      </c>
      <c r="B273" s="6" t="s">
        <v>1373</v>
      </c>
      <c r="C273" s="6">
        <v>129782</v>
      </c>
      <c r="D273" s="6" t="s">
        <v>1374</v>
      </c>
      <c r="E273" s="6" t="s">
        <v>1375</v>
      </c>
      <c r="F273" s="6"/>
      <c r="G273" s="6" t="s">
        <v>1348</v>
      </c>
      <c r="H273" s="6" t="s">
        <v>215</v>
      </c>
      <c r="I273" s="6" t="s">
        <v>31</v>
      </c>
      <c r="J273" s="6" t="s">
        <v>1367</v>
      </c>
      <c r="K273" s="6" t="s">
        <v>1376</v>
      </c>
      <c r="L273" s="6" t="s">
        <v>54</v>
      </c>
      <c r="M273" s="6" t="s">
        <v>54</v>
      </c>
      <c r="N273" s="6" t="s">
        <v>904</v>
      </c>
      <c r="O273" s="6" t="s">
        <v>1368</v>
      </c>
      <c r="P273" s="6"/>
      <c r="Q273" s="8">
        <v>185</v>
      </c>
      <c r="R273" s="8">
        <v>185.55500000000001</v>
      </c>
      <c r="S273" s="8">
        <v>369.9</v>
      </c>
      <c r="T273" s="8">
        <v>14</v>
      </c>
      <c r="U273" s="8"/>
      <c r="V273" s="8">
        <v>0</v>
      </c>
      <c r="W273" s="12">
        <v>0</v>
      </c>
      <c r="Y273">
        <v>0</v>
      </c>
    </row>
    <row r="274" spans="1:25" ht="40" customHeight="1">
      <c r="A274" s="6" t="s">
        <v>1377</v>
      </c>
      <c r="B274" s="6" t="s">
        <v>1378</v>
      </c>
      <c r="C274" s="6">
        <v>129782</v>
      </c>
      <c r="D274" s="6" t="s">
        <v>999</v>
      </c>
      <c r="E274" s="6" t="s">
        <v>1379</v>
      </c>
      <c r="F274" s="6"/>
      <c r="G274" s="6" t="s">
        <v>1348</v>
      </c>
      <c r="H274" s="6" t="s">
        <v>215</v>
      </c>
      <c r="I274" s="6" t="s">
        <v>31</v>
      </c>
      <c r="J274" s="6" t="s">
        <v>1367</v>
      </c>
      <c r="K274" s="6" t="s">
        <v>1224</v>
      </c>
      <c r="L274" s="6" t="s">
        <v>54</v>
      </c>
      <c r="M274" s="6" t="s">
        <v>54</v>
      </c>
      <c r="N274" s="6" t="s">
        <v>904</v>
      </c>
      <c r="O274" s="6" t="s">
        <v>1368</v>
      </c>
      <c r="P274" s="6"/>
      <c r="Q274" s="8">
        <v>185</v>
      </c>
      <c r="R274" s="8">
        <v>185.55500000000001</v>
      </c>
      <c r="S274" s="8">
        <v>369.9</v>
      </c>
      <c r="T274" s="8">
        <v>14</v>
      </c>
      <c r="U274" s="8"/>
      <c r="V274" s="8">
        <v>0</v>
      </c>
      <c r="W274" s="12">
        <v>0</v>
      </c>
      <c r="Y274">
        <v>0</v>
      </c>
    </row>
    <row r="275" spans="1:25" ht="40" customHeight="1">
      <c r="A275" s="6" t="s">
        <v>1380</v>
      </c>
      <c r="B275" s="6" t="s">
        <v>1381</v>
      </c>
      <c r="C275" s="6">
        <v>129782</v>
      </c>
      <c r="D275" s="6" t="s">
        <v>89</v>
      </c>
      <c r="E275" s="6" t="s">
        <v>1382</v>
      </c>
      <c r="F275" s="6"/>
      <c r="G275" s="6" t="s">
        <v>1348</v>
      </c>
      <c r="H275" s="6" t="s">
        <v>215</v>
      </c>
      <c r="I275" s="6" t="s">
        <v>31</v>
      </c>
      <c r="J275" s="6" t="s">
        <v>1367</v>
      </c>
      <c r="K275" s="6" t="s">
        <v>1383</v>
      </c>
      <c r="L275" s="6" t="s">
        <v>54</v>
      </c>
      <c r="M275" s="6" t="s">
        <v>54</v>
      </c>
      <c r="N275" s="6" t="s">
        <v>904</v>
      </c>
      <c r="O275" s="6" t="s">
        <v>1368</v>
      </c>
      <c r="P275" s="6"/>
      <c r="Q275" s="8">
        <v>185</v>
      </c>
      <c r="R275" s="8">
        <v>185.55500000000001</v>
      </c>
      <c r="S275" s="8">
        <v>369.9</v>
      </c>
      <c r="T275" s="8">
        <v>14</v>
      </c>
      <c r="U275" s="8"/>
      <c r="V275" s="8">
        <v>0</v>
      </c>
      <c r="W275" s="12">
        <v>0</v>
      </c>
      <c r="Y275">
        <v>0</v>
      </c>
    </row>
    <row r="276" spans="1:25" ht="40" customHeight="1">
      <c r="A276" s="6" t="s">
        <v>1384</v>
      </c>
      <c r="B276" s="6" t="s">
        <v>1385</v>
      </c>
      <c r="C276" s="6">
        <v>129782</v>
      </c>
      <c r="D276" s="6" t="s">
        <v>1231</v>
      </c>
      <c r="E276" s="6" t="s">
        <v>1386</v>
      </c>
      <c r="F276" s="6"/>
      <c r="G276" s="6" t="s">
        <v>1348</v>
      </c>
      <c r="H276" s="6" t="s">
        <v>215</v>
      </c>
      <c r="I276" s="6" t="s">
        <v>31</v>
      </c>
      <c r="J276" s="6" t="s">
        <v>1367</v>
      </c>
      <c r="K276" s="6" t="s">
        <v>1233</v>
      </c>
      <c r="L276" s="6" t="s">
        <v>54</v>
      </c>
      <c r="M276" s="6" t="s">
        <v>54</v>
      </c>
      <c r="N276" s="6" t="s">
        <v>904</v>
      </c>
      <c r="O276" s="6" t="s">
        <v>1368</v>
      </c>
      <c r="P276" s="6"/>
      <c r="Q276" s="8">
        <v>185</v>
      </c>
      <c r="R276" s="8">
        <v>185.55500000000001</v>
      </c>
      <c r="S276" s="8">
        <v>369.9</v>
      </c>
      <c r="T276" s="8">
        <v>14</v>
      </c>
      <c r="U276" s="8"/>
      <c r="V276" s="8">
        <v>0</v>
      </c>
      <c r="W276" s="12">
        <v>0</v>
      </c>
      <c r="Y276">
        <v>0</v>
      </c>
    </row>
    <row r="277" spans="1:25" ht="40" customHeight="1">
      <c r="A277" s="6" t="s">
        <v>1387</v>
      </c>
      <c r="B277" s="6" t="s">
        <v>1388</v>
      </c>
      <c r="C277" s="6">
        <v>129782</v>
      </c>
      <c r="D277" s="6" t="s">
        <v>357</v>
      </c>
      <c r="E277" s="6" t="s">
        <v>1389</v>
      </c>
      <c r="F277" s="6"/>
      <c r="G277" s="6" t="s">
        <v>1348</v>
      </c>
      <c r="H277" s="6" t="s">
        <v>215</v>
      </c>
      <c r="I277" s="6" t="s">
        <v>31</v>
      </c>
      <c r="J277" s="6" t="s">
        <v>1367</v>
      </c>
      <c r="K277" s="6" t="s">
        <v>553</v>
      </c>
      <c r="L277" s="6" t="s">
        <v>54</v>
      </c>
      <c r="M277" s="6" t="s">
        <v>54</v>
      </c>
      <c r="N277" s="6" t="s">
        <v>904</v>
      </c>
      <c r="O277" s="6" t="s">
        <v>1368</v>
      </c>
      <c r="P277" s="6"/>
      <c r="Q277" s="8">
        <v>185</v>
      </c>
      <c r="R277" s="8">
        <v>185.55500000000001</v>
      </c>
      <c r="S277" s="8">
        <v>369.9</v>
      </c>
      <c r="T277" s="8">
        <v>14</v>
      </c>
      <c r="U277" s="8"/>
      <c r="V277" s="8">
        <v>0</v>
      </c>
      <c r="W277" s="12">
        <v>0</v>
      </c>
      <c r="Y277">
        <v>0</v>
      </c>
    </row>
    <row r="278" spans="1:25" ht="40" customHeight="1">
      <c r="A278" s="6" t="s">
        <v>1390</v>
      </c>
      <c r="B278" s="6" t="s">
        <v>1391</v>
      </c>
      <c r="C278" s="6">
        <v>129800</v>
      </c>
      <c r="D278" s="6" t="s">
        <v>40</v>
      </c>
      <c r="E278" s="6" t="s">
        <v>1392</v>
      </c>
      <c r="F278" s="6"/>
      <c r="G278" s="6" t="s">
        <v>1393</v>
      </c>
      <c r="H278" s="6" t="s">
        <v>215</v>
      </c>
      <c r="I278" s="6" t="s">
        <v>31</v>
      </c>
      <c r="J278" s="6" t="s">
        <v>1394</v>
      </c>
      <c r="K278" s="6" t="s">
        <v>1085</v>
      </c>
      <c r="L278" s="6" t="s">
        <v>54</v>
      </c>
      <c r="M278" s="6" t="s">
        <v>54</v>
      </c>
      <c r="N278" s="6" t="s">
        <v>904</v>
      </c>
      <c r="O278" s="6" t="s">
        <v>1395</v>
      </c>
      <c r="P278" s="6"/>
      <c r="Q278" s="8">
        <v>225</v>
      </c>
      <c r="R278" s="8">
        <v>225.67500000000001</v>
      </c>
      <c r="S278" s="8">
        <v>449.9</v>
      </c>
      <c r="T278" s="8">
        <v>14</v>
      </c>
      <c r="U278" s="8"/>
      <c r="V278" s="8">
        <v>0</v>
      </c>
      <c r="W278" s="12">
        <v>0</v>
      </c>
      <c r="Y278">
        <v>0</v>
      </c>
    </row>
    <row r="279" spans="1:25" ht="40" customHeight="1">
      <c r="A279" s="6" t="s">
        <v>1396</v>
      </c>
      <c r="B279" s="6" t="s">
        <v>1397</v>
      </c>
      <c r="C279" s="6">
        <v>129800</v>
      </c>
      <c r="D279" s="6" t="s">
        <v>74</v>
      </c>
      <c r="E279" s="6" t="s">
        <v>1398</v>
      </c>
      <c r="F279" s="6"/>
      <c r="G279" s="6" t="s">
        <v>1393</v>
      </c>
      <c r="H279" s="6" t="s">
        <v>215</v>
      </c>
      <c r="I279" s="6" t="s">
        <v>31</v>
      </c>
      <c r="J279" s="6" t="s">
        <v>1394</v>
      </c>
      <c r="K279" s="6" t="s">
        <v>815</v>
      </c>
      <c r="L279" s="6" t="s">
        <v>54</v>
      </c>
      <c r="M279" s="6" t="s">
        <v>54</v>
      </c>
      <c r="N279" s="6" t="s">
        <v>904</v>
      </c>
      <c r="O279" s="6" t="s">
        <v>1395</v>
      </c>
      <c r="P279" s="6"/>
      <c r="Q279" s="8">
        <v>225</v>
      </c>
      <c r="R279" s="8">
        <v>225.67500000000001</v>
      </c>
      <c r="S279" s="8">
        <v>449.9</v>
      </c>
      <c r="T279" s="8">
        <v>14</v>
      </c>
      <c r="U279" s="8"/>
      <c r="V279" s="8">
        <v>0</v>
      </c>
      <c r="W279" s="12">
        <v>0</v>
      </c>
      <c r="Y279">
        <v>0</v>
      </c>
    </row>
    <row r="280" spans="1:25" ht="40" customHeight="1">
      <c r="A280" s="6" t="s">
        <v>1399</v>
      </c>
      <c r="B280" s="6" t="s">
        <v>1400</v>
      </c>
      <c r="C280" s="6">
        <v>129800</v>
      </c>
      <c r="D280" s="6" t="s">
        <v>747</v>
      </c>
      <c r="E280" s="6" t="s">
        <v>1401</v>
      </c>
      <c r="F280" s="6"/>
      <c r="G280" s="6" t="s">
        <v>1393</v>
      </c>
      <c r="H280" s="6" t="s">
        <v>215</v>
      </c>
      <c r="I280" s="6" t="s">
        <v>31</v>
      </c>
      <c r="J280" s="6" t="s">
        <v>1394</v>
      </c>
      <c r="K280" s="6" t="s">
        <v>752</v>
      </c>
      <c r="L280" s="6" t="s">
        <v>54</v>
      </c>
      <c r="M280" s="6" t="s">
        <v>54</v>
      </c>
      <c r="N280" s="6" t="s">
        <v>904</v>
      </c>
      <c r="O280" s="6" t="s">
        <v>1395</v>
      </c>
      <c r="P280" s="6"/>
      <c r="Q280" s="8">
        <v>225</v>
      </c>
      <c r="R280" s="8">
        <v>225.67500000000001</v>
      </c>
      <c r="S280" s="8">
        <v>449.9</v>
      </c>
      <c r="T280" s="8">
        <v>14</v>
      </c>
      <c r="U280" s="8"/>
      <c r="V280" s="8">
        <v>0</v>
      </c>
      <c r="W280" s="12">
        <v>0</v>
      </c>
      <c r="Y280">
        <v>0</v>
      </c>
    </row>
    <row r="281" spans="1:25" ht="40" customHeight="1">
      <c r="A281" s="6" t="s">
        <v>1402</v>
      </c>
      <c r="B281" s="6" t="s">
        <v>1403</v>
      </c>
      <c r="C281" s="6">
        <v>129802</v>
      </c>
      <c r="D281" s="6" t="s">
        <v>64</v>
      </c>
      <c r="E281" s="6" t="s">
        <v>1404</v>
      </c>
      <c r="F281" s="6"/>
      <c r="G281" s="6" t="s">
        <v>1393</v>
      </c>
      <c r="H281" s="6" t="s">
        <v>1405</v>
      </c>
      <c r="I281" s="6" t="s">
        <v>31</v>
      </c>
      <c r="J281" s="6" t="s">
        <v>1406</v>
      </c>
      <c r="K281" s="6" t="s">
        <v>598</v>
      </c>
      <c r="L281" s="6" t="s">
        <v>1407</v>
      </c>
      <c r="M281" s="6" t="s">
        <v>1408</v>
      </c>
      <c r="N281" s="6" t="s">
        <v>904</v>
      </c>
      <c r="O281" s="6" t="s">
        <v>1409</v>
      </c>
      <c r="P281" s="6"/>
      <c r="Q281" s="8">
        <v>200</v>
      </c>
      <c r="R281" s="8">
        <v>200.6</v>
      </c>
      <c r="S281" s="8">
        <v>399.9</v>
      </c>
      <c r="T281" s="8">
        <v>14</v>
      </c>
      <c r="U281" s="8"/>
      <c r="V281" s="8">
        <v>0</v>
      </c>
      <c r="W281" s="12">
        <v>0</v>
      </c>
      <c r="Y281">
        <v>0</v>
      </c>
    </row>
    <row r="282" spans="1:25" ht="40" customHeight="1">
      <c r="A282" s="6" t="s">
        <v>1410</v>
      </c>
      <c r="B282" s="6" t="s">
        <v>1411</v>
      </c>
      <c r="C282" s="6">
        <v>129802</v>
      </c>
      <c r="D282" s="6" t="s">
        <v>999</v>
      </c>
      <c r="E282" s="6" t="s">
        <v>1412</v>
      </c>
      <c r="F282" s="6"/>
      <c r="G282" s="6" t="s">
        <v>1393</v>
      </c>
      <c r="H282" s="6" t="s">
        <v>1405</v>
      </c>
      <c r="I282" s="6" t="s">
        <v>31</v>
      </c>
      <c r="J282" s="6" t="s">
        <v>1406</v>
      </c>
      <c r="K282" s="6" t="s">
        <v>1089</v>
      </c>
      <c r="L282" s="6" t="s">
        <v>1407</v>
      </c>
      <c r="M282" s="6" t="s">
        <v>1408</v>
      </c>
      <c r="N282" s="6" t="s">
        <v>904</v>
      </c>
      <c r="O282" s="6" t="s">
        <v>1409</v>
      </c>
      <c r="P282" s="6"/>
      <c r="Q282" s="8">
        <v>200</v>
      </c>
      <c r="R282" s="8">
        <v>200.6</v>
      </c>
      <c r="S282" s="8">
        <v>399.9</v>
      </c>
      <c r="T282" s="8">
        <v>14</v>
      </c>
      <c r="U282" s="8"/>
      <c r="V282" s="8">
        <v>0</v>
      </c>
      <c r="W282" s="12">
        <v>0</v>
      </c>
      <c r="Y282">
        <v>0</v>
      </c>
    </row>
    <row r="283" spans="1:25" ht="40" customHeight="1">
      <c r="A283" s="6" t="s">
        <v>1413</v>
      </c>
      <c r="B283" s="6" t="s">
        <v>1414</v>
      </c>
      <c r="C283" s="6">
        <v>129802</v>
      </c>
      <c r="D283" s="6" t="s">
        <v>561</v>
      </c>
      <c r="E283" s="6" t="s">
        <v>1415</v>
      </c>
      <c r="F283" s="6"/>
      <c r="G283" s="6" t="s">
        <v>1393</v>
      </c>
      <c r="H283" s="6" t="s">
        <v>1405</v>
      </c>
      <c r="I283" s="6" t="s">
        <v>31</v>
      </c>
      <c r="J283" s="6" t="s">
        <v>1406</v>
      </c>
      <c r="K283" s="6" t="s">
        <v>1416</v>
      </c>
      <c r="L283" s="6" t="s">
        <v>1407</v>
      </c>
      <c r="M283" s="6" t="s">
        <v>1408</v>
      </c>
      <c r="N283" s="6" t="s">
        <v>904</v>
      </c>
      <c r="O283" s="6" t="s">
        <v>1409</v>
      </c>
      <c r="P283" s="6"/>
      <c r="Q283" s="8">
        <v>200</v>
      </c>
      <c r="R283" s="8">
        <v>200.6</v>
      </c>
      <c r="S283" s="8">
        <v>399.9</v>
      </c>
      <c r="T283" s="8">
        <v>14</v>
      </c>
      <c r="U283" s="8"/>
      <c r="V283" s="8">
        <v>0</v>
      </c>
      <c r="W283" s="12">
        <v>0</v>
      </c>
      <c r="Y283">
        <v>0</v>
      </c>
    </row>
    <row r="284" spans="1:25" ht="40" customHeight="1">
      <c r="A284" s="6" t="s">
        <v>1417</v>
      </c>
      <c r="B284" s="6" t="s">
        <v>1418</v>
      </c>
      <c r="C284" s="6">
        <v>129802</v>
      </c>
      <c r="D284" s="6" t="s">
        <v>1419</v>
      </c>
      <c r="E284" s="6" t="s">
        <v>1420</v>
      </c>
      <c r="F284" s="6"/>
      <c r="G284" s="6" t="s">
        <v>1393</v>
      </c>
      <c r="H284" s="6" t="s">
        <v>1405</v>
      </c>
      <c r="I284" s="6" t="s">
        <v>31</v>
      </c>
      <c r="J284" s="6" t="s">
        <v>1406</v>
      </c>
      <c r="K284" s="6" t="s">
        <v>815</v>
      </c>
      <c r="L284" s="6" t="s">
        <v>1407</v>
      </c>
      <c r="M284" s="6" t="s">
        <v>1408</v>
      </c>
      <c r="N284" s="6" t="s">
        <v>904</v>
      </c>
      <c r="O284" s="6" t="s">
        <v>1409</v>
      </c>
      <c r="P284" s="6"/>
      <c r="Q284" s="8">
        <v>200</v>
      </c>
      <c r="R284" s="8">
        <v>200.6</v>
      </c>
      <c r="S284" s="8">
        <v>399.9</v>
      </c>
      <c r="T284" s="8">
        <v>14</v>
      </c>
      <c r="U284" s="8"/>
      <c r="V284" s="8">
        <v>0</v>
      </c>
      <c r="W284" s="12">
        <v>0</v>
      </c>
      <c r="Y284">
        <v>0</v>
      </c>
    </row>
    <row r="285" spans="1:25" ht="40" customHeight="1">
      <c r="A285" s="6" t="s">
        <v>1421</v>
      </c>
      <c r="B285" s="6" t="s">
        <v>1422</v>
      </c>
      <c r="C285" s="6">
        <v>129802</v>
      </c>
      <c r="D285" s="6" t="s">
        <v>126</v>
      </c>
      <c r="E285" s="6" t="s">
        <v>1423</v>
      </c>
      <c r="F285" s="6"/>
      <c r="G285" s="6" t="s">
        <v>1393</v>
      </c>
      <c r="H285" s="6" t="s">
        <v>1405</v>
      </c>
      <c r="I285" s="6" t="s">
        <v>31</v>
      </c>
      <c r="J285" s="6" t="s">
        <v>1406</v>
      </c>
      <c r="K285" s="6" t="s">
        <v>682</v>
      </c>
      <c r="L285" s="6" t="s">
        <v>1407</v>
      </c>
      <c r="M285" s="6" t="s">
        <v>1408</v>
      </c>
      <c r="N285" s="6" t="s">
        <v>904</v>
      </c>
      <c r="O285" s="6" t="s">
        <v>1409</v>
      </c>
      <c r="P285" s="6"/>
      <c r="Q285" s="8">
        <v>200</v>
      </c>
      <c r="R285" s="8">
        <v>200.6</v>
      </c>
      <c r="S285" s="8">
        <v>399.9</v>
      </c>
      <c r="T285" s="8">
        <v>14</v>
      </c>
      <c r="U285" s="8"/>
      <c r="V285" s="8">
        <v>0</v>
      </c>
      <c r="W285" s="12">
        <v>0</v>
      </c>
      <c r="Y285">
        <v>0</v>
      </c>
    </row>
    <row r="286" spans="1:25" ht="40" customHeight="1">
      <c r="A286" s="6" t="s">
        <v>1424</v>
      </c>
      <c r="B286" s="6" t="s">
        <v>1425</v>
      </c>
      <c r="C286" s="6">
        <v>129825</v>
      </c>
      <c r="D286" s="6" t="s">
        <v>1426</v>
      </c>
      <c r="E286" s="6" t="s">
        <v>1427</v>
      </c>
      <c r="F286" s="6"/>
      <c r="G286" s="6" t="s">
        <v>1428</v>
      </c>
      <c r="H286" s="6" t="s">
        <v>215</v>
      </c>
      <c r="I286" s="6" t="s">
        <v>31</v>
      </c>
      <c r="J286" s="6" t="s">
        <v>1429</v>
      </c>
      <c r="K286" s="6" t="s">
        <v>1430</v>
      </c>
      <c r="L286" s="6" t="s">
        <v>1431</v>
      </c>
      <c r="M286" s="6" t="s">
        <v>1432</v>
      </c>
      <c r="N286" s="6" t="s">
        <v>904</v>
      </c>
      <c r="O286" s="6" t="s">
        <v>1433</v>
      </c>
      <c r="P286" s="6"/>
      <c r="Q286" s="8">
        <v>175</v>
      </c>
      <c r="R286" s="8">
        <v>175.52500000000001</v>
      </c>
      <c r="S286" s="8">
        <v>349.9</v>
      </c>
      <c r="T286" s="8">
        <v>14</v>
      </c>
      <c r="U286" s="8"/>
      <c r="V286" s="8">
        <v>0</v>
      </c>
      <c r="W286" s="12">
        <v>0</v>
      </c>
      <c r="Y286">
        <v>0</v>
      </c>
    </row>
    <row r="287" spans="1:25" ht="40" customHeight="1">
      <c r="A287" s="6" t="s">
        <v>1434</v>
      </c>
      <c r="B287" s="6" t="s">
        <v>1435</v>
      </c>
      <c r="C287" s="6">
        <v>129825</v>
      </c>
      <c r="D287" s="6" t="s">
        <v>40</v>
      </c>
      <c r="E287" s="6" t="s">
        <v>1436</v>
      </c>
      <c r="F287" s="6"/>
      <c r="G287" s="6" t="s">
        <v>1428</v>
      </c>
      <c r="H287" s="6" t="s">
        <v>215</v>
      </c>
      <c r="I287" s="6" t="s">
        <v>31</v>
      </c>
      <c r="J287" s="6" t="s">
        <v>1429</v>
      </c>
      <c r="K287" s="6" t="s">
        <v>1437</v>
      </c>
      <c r="L287" s="6" t="s">
        <v>1431</v>
      </c>
      <c r="M287" s="6" t="s">
        <v>1432</v>
      </c>
      <c r="N287" s="6" t="s">
        <v>904</v>
      </c>
      <c r="O287" s="6" t="s">
        <v>1433</v>
      </c>
      <c r="P287" s="6"/>
      <c r="Q287" s="8">
        <v>140</v>
      </c>
      <c r="R287" s="8">
        <v>140.41999999999999</v>
      </c>
      <c r="S287" s="8">
        <v>279.89999999999998</v>
      </c>
      <c r="T287" s="8">
        <v>14</v>
      </c>
      <c r="U287" s="8"/>
      <c r="V287" s="8">
        <v>0</v>
      </c>
      <c r="W287" s="12">
        <v>0</v>
      </c>
      <c r="Y287">
        <v>0</v>
      </c>
    </row>
    <row r="288" spans="1:25" ht="40" customHeight="1">
      <c r="A288" s="6" t="s">
        <v>1438</v>
      </c>
      <c r="B288" s="6" t="s">
        <v>1439</v>
      </c>
      <c r="C288" s="6">
        <v>129825</v>
      </c>
      <c r="D288" s="6" t="s">
        <v>279</v>
      </c>
      <c r="E288" s="6" t="s">
        <v>1440</v>
      </c>
      <c r="F288" s="6"/>
      <c r="G288" s="6" t="s">
        <v>1428</v>
      </c>
      <c r="H288" s="6" t="s">
        <v>215</v>
      </c>
      <c r="I288" s="6" t="s">
        <v>31</v>
      </c>
      <c r="J288" s="6" t="s">
        <v>1429</v>
      </c>
      <c r="K288" s="6" t="s">
        <v>1441</v>
      </c>
      <c r="L288" s="6" t="s">
        <v>1431</v>
      </c>
      <c r="M288" s="6" t="s">
        <v>1432</v>
      </c>
      <c r="N288" s="6" t="s">
        <v>904</v>
      </c>
      <c r="O288" s="6" t="s">
        <v>1433</v>
      </c>
      <c r="P288" s="6"/>
      <c r="Q288" s="8">
        <v>175</v>
      </c>
      <c r="R288" s="8">
        <v>175.52500000000001</v>
      </c>
      <c r="S288" s="8">
        <v>349.9</v>
      </c>
      <c r="T288" s="8">
        <v>14</v>
      </c>
      <c r="U288" s="8"/>
      <c r="V288" s="8">
        <v>0</v>
      </c>
      <c r="W288" s="12">
        <v>0</v>
      </c>
      <c r="Y288">
        <v>0</v>
      </c>
    </row>
    <row r="289" spans="1:25" ht="40" customHeight="1">
      <c r="A289" s="6" t="s">
        <v>1442</v>
      </c>
      <c r="B289" s="6" t="s">
        <v>1443</v>
      </c>
      <c r="C289" s="6">
        <v>129825</v>
      </c>
      <c r="D289" s="6" t="s">
        <v>74</v>
      </c>
      <c r="E289" s="6" t="s">
        <v>1444</v>
      </c>
      <c r="F289" s="6"/>
      <c r="G289" s="6" t="s">
        <v>1428</v>
      </c>
      <c r="H289" s="6" t="s">
        <v>215</v>
      </c>
      <c r="I289" s="6" t="s">
        <v>31</v>
      </c>
      <c r="J289" s="6" t="s">
        <v>1429</v>
      </c>
      <c r="K289" s="6" t="s">
        <v>1445</v>
      </c>
      <c r="L289" s="6" t="s">
        <v>1431</v>
      </c>
      <c r="M289" s="6" t="s">
        <v>1432</v>
      </c>
      <c r="N289" s="6" t="s">
        <v>904</v>
      </c>
      <c r="O289" s="6" t="s">
        <v>1433</v>
      </c>
      <c r="P289" s="6"/>
      <c r="Q289" s="8">
        <v>175</v>
      </c>
      <c r="R289" s="8">
        <v>175.52500000000001</v>
      </c>
      <c r="S289" s="8">
        <v>349.9</v>
      </c>
      <c r="T289" s="8">
        <v>14</v>
      </c>
      <c r="U289" s="8"/>
      <c r="V289" s="8">
        <v>0</v>
      </c>
      <c r="W289" s="12">
        <v>0</v>
      </c>
      <c r="Y289">
        <v>0</v>
      </c>
    </row>
    <row r="290" spans="1:25" ht="40" customHeight="1">
      <c r="A290" s="6" t="s">
        <v>1446</v>
      </c>
      <c r="B290" s="6" t="s">
        <v>1447</v>
      </c>
      <c r="C290" s="6">
        <v>129825</v>
      </c>
      <c r="D290" s="6" t="s">
        <v>862</v>
      </c>
      <c r="E290" s="6" t="s">
        <v>1448</v>
      </c>
      <c r="F290" s="6"/>
      <c r="G290" s="6" t="s">
        <v>1428</v>
      </c>
      <c r="H290" s="6" t="s">
        <v>215</v>
      </c>
      <c r="I290" s="6" t="s">
        <v>31</v>
      </c>
      <c r="J290" s="6" t="s">
        <v>1429</v>
      </c>
      <c r="K290" s="6" t="s">
        <v>1449</v>
      </c>
      <c r="L290" s="6" t="s">
        <v>1431</v>
      </c>
      <c r="M290" s="6" t="s">
        <v>1432</v>
      </c>
      <c r="N290" s="6" t="s">
        <v>904</v>
      </c>
      <c r="O290" s="6" t="s">
        <v>1433</v>
      </c>
      <c r="P290" s="6"/>
      <c r="Q290" s="8">
        <v>175</v>
      </c>
      <c r="R290" s="8">
        <v>175.52500000000001</v>
      </c>
      <c r="S290" s="8">
        <v>349.9</v>
      </c>
      <c r="T290" s="8">
        <v>14</v>
      </c>
      <c r="U290" s="8"/>
      <c r="V290" s="8">
        <v>0</v>
      </c>
      <c r="W290" s="12">
        <v>0</v>
      </c>
      <c r="Y290">
        <v>0</v>
      </c>
    </row>
    <row r="291" spans="1:25" ht="40" customHeight="1">
      <c r="A291" s="6" t="s">
        <v>1450</v>
      </c>
      <c r="B291" s="6" t="s">
        <v>1451</v>
      </c>
      <c r="C291" s="6">
        <v>129825</v>
      </c>
      <c r="D291" s="6" t="s">
        <v>1286</v>
      </c>
      <c r="E291" s="6" t="s">
        <v>1452</v>
      </c>
      <c r="F291" s="6"/>
      <c r="G291" s="6" t="s">
        <v>1428</v>
      </c>
      <c r="H291" s="6" t="s">
        <v>215</v>
      </c>
      <c r="I291" s="6" t="s">
        <v>31</v>
      </c>
      <c r="J291" s="6" t="s">
        <v>1429</v>
      </c>
      <c r="K291" s="6" t="s">
        <v>1453</v>
      </c>
      <c r="L291" s="6" t="s">
        <v>1431</v>
      </c>
      <c r="M291" s="6" t="s">
        <v>1432</v>
      </c>
      <c r="N291" s="6" t="s">
        <v>904</v>
      </c>
      <c r="O291" s="6" t="s">
        <v>1433</v>
      </c>
      <c r="P291" s="6"/>
      <c r="Q291" s="8">
        <v>175</v>
      </c>
      <c r="R291" s="8">
        <v>175.52500000000001</v>
      </c>
      <c r="S291" s="8">
        <v>349.9</v>
      </c>
      <c r="T291" s="8">
        <v>14</v>
      </c>
      <c r="U291" s="8"/>
      <c r="V291" s="8">
        <v>0</v>
      </c>
      <c r="W291" s="12">
        <v>0</v>
      </c>
      <c r="Y291">
        <v>0</v>
      </c>
    </row>
    <row r="292" spans="1:25" ht="40" customHeight="1">
      <c r="A292" s="6" t="s">
        <v>1454</v>
      </c>
      <c r="B292" s="6" t="s">
        <v>1455</v>
      </c>
      <c r="C292" s="6">
        <v>129826</v>
      </c>
      <c r="D292" s="6" t="s">
        <v>27</v>
      </c>
      <c r="E292" s="6" t="s">
        <v>1456</v>
      </c>
      <c r="F292" s="6"/>
      <c r="G292" s="6" t="s">
        <v>1428</v>
      </c>
      <c r="H292" s="6" t="s">
        <v>1457</v>
      </c>
      <c r="I292" s="6" t="s">
        <v>31</v>
      </c>
      <c r="J292" s="6" t="s">
        <v>1458</v>
      </c>
      <c r="K292" s="6" t="s">
        <v>996</v>
      </c>
      <c r="L292" s="6" t="s">
        <v>1459</v>
      </c>
      <c r="M292" s="6" t="s">
        <v>1460</v>
      </c>
      <c r="N292" s="6" t="s">
        <v>904</v>
      </c>
      <c r="O292" s="6" t="s">
        <v>1461</v>
      </c>
      <c r="P292" s="6"/>
      <c r="Q292" s="8">
        <v>150</v>
      </c>
      <c r="R292" s="8">
        <v>150.44999999999999</v>
      </c>
      <c r="S292" s="8">
        <v>299.89999999999998</v>
      </c>
      <c r="T292" s="8">
        <v>14</v>
      </c>
      <c r="U292" s="8"/>
      <c r="V292" s="8">
        <v>0</v>
      </c>
      <c r="W292" s="12">
        <v>0</v>
      </c>
      <c r="Y292">
        <v>0</v>
      </c>
    </row>
    <row r="293" spans="1:25" ht="40" customHeight="1">
      <c r="A293" s="6" t="s">
        <v>1462</v>
      </c>
      <c r="B293" s="6" t="s">
        <v>1463</v>
      </c>
      <c r="C293" s="7">
        <v>129826</v>
      </c>
      <c r="D293" s="6" t="s">
        <v>999</v>
      </c>
      <c r="E293" s="7" t="s">
        <v>1464</v>
      </c>
      <c r="F293" s="6"/>
      <c r="G293" s="6" t="s">
        <v>1428</v>
      </c>
      <c r="H293" s="6" t="s">
        <v>1457</v>
      </c>
      <c r="I293" s="6" t="s">
        <v>31</v>
      </c>
      <c r="J293" s="6" t="s">
        <v>1458</v>
      </c>
      <c r="K293" s="6" t="s">
        <v>1465</v>
      </c>
      <c r="L293" s="6" t="s">
        <v>1459</v>
      </c>
      <c r="M293" s="6" t="s">
        <v>1460</v>
      </c>
      <c r="N293" s="6" t="s">
        <v>904</v>
      </c>
      <c r="O293" s="6" t="s">
        <v>1461</v>
      </c>
      <c r="P293" s="6"/>
      <c r="Q293" s="8">
        <v>150</v>
      </c>
      <c r="R293" s="8">
        <v>150.44999999999999</v>
      </c>
      <c r="S293" s="8">
        <v>299.89999999999998</v>
      </c>
      <c r="T293" s="8">
        <v>14</v>
      </c>
      <c r="U293" s="8"/>
      <c r="V293" s="8">
        <v>0</v>
      </c>
      <c r="W293" s="12">
        <v>0</v>
      </c>
      <c r="Y293">
        <v>0</v>
      </c>
    </row>
    <row r="294" spans="1:25" ht="40" customHeight="1">
      <c r="A294" s="6" t="s">
        <v>1466</v>
      </c>
      <c r="B294" s="6" t="s">
        <v>1467</v>
      </c>
      <c r="C294" s="6">
        <v>129826</v>
      </c>
      <c r="D294" s="6" t="s">
        <v>1092</v>
      </c>
      <c r="E294" s="6" t="s">
        <v>1468</v>
      </c>
      <c r="F294" s="6"/>
      <c r="G294" s="6" t="s">
        <v>1428</v>
      </c>
      <c r="H294" s="6" t="s">
        <v>1457</v>
      </c>
      <c r="I294" s="6" t="s">
        <v>31</v>
      </c>
      <c r="J294" s="6" t="s">
        <v>1458</v>
      </c>
      <c r="K294" s="6" t="s">
        <v>1469</v>
      </c>
      <c r="L294" s="6" t="s">
        <v>1459</v>
      </c>
      <c r="M294" s="6" t="s">
        <v>1460</v>
      </c>
      <c r="N294" s="6" t="s">
        <v>904</v>
      </c>
      <c r="O294" s="6" t="s">
        <v>1461</v>
      </c>
      <c r="P294" s="6"/>
      <c r="Q294" s="8">
        <v>150</v>
      </c>
      <c r="R294" s="8">
        <v>150.44999999999999</v>
      </c>
      <c r="S294" s="8">
        <v>299.89999999999998</v>
      </c>
      <c r="T294" s="8">
        <v>14</v>
      </c>
      <c r="U294" s="8"/>
      <c r="V294" s="8">
        <v>0</v>
      </c>
      <c r="W294" s="12">
        <v>0</v>
      </c>
      <c r="Y294">
        <v>0</v>
      </c>
    </row>
    <row r="295" spans="1:25" ht="40" customHeight="1">
      <c r="A295" s="6" t="s">
        <v>1470</v>
      </c>
      <c r="B295" s="6" t="s">
        <v>1471</v>
      </c>
      <c r="C295" s="7">
        <v>129826</v>
      </c>
      <c r="D295" s="6" t="s">
        <v>74</v>
      </c>
      <c r="E295" s="7" t="s">
        <v>1472</v>
      </c>
      <c r="F295" s="6"/>
      <c r="G295" s="6" t="s">
        <v>1428</v>
      </c>
      <c r="H295" s="6" t="s">
        <v>1457</v>
      </c>
      <c r="I295" s="6" t="s">
        <v>31</v>
      </c>
      <c r="J295" s="6" t="s">
        <v>1458</v>
      </c>
      <c r="K295" s="6" t="s">
        <v>1445</v>
      </c>
      <c r="L295" s="6" t="s">
        <v>1459</v>
      </c>
      <c r="M295" s="6" t="s">
        <v>1460</v>
      </c>
      <c r="N295" s="6" t="s">
        <v>904</v>
      </c>
      <c r="O295" s="6" t="s">
        <v>1461</v>
      </c>
      <c r="P295" s="6"/>
      <c r="Q295" s="8">
        <v>150</v>
      </c>
      <c r="R295" s="8">
        <v>150.44999999999999</v>
      </c>
      <c r="S295" s="8">
        <v>299.89999999999998</v>
      </c>
      <c r="T295" s="8">
        <v>14</v>
      </c>
      <c r="U295" s="8"/>
      <c r="V295" s="8">
        <v>0</v>
      </c>
      <c r="W295" s="12">
        <v>0</v>
      </c>
      <c r="Y295">
        <v>0</v>
      </c>
    </row>
    <row r="296" spans="1:25" ht="40" customHeight="1">
      <c r="A296" s="6" t="s">
        <v>1473</v>
      </c>
      <c r="B296" s="8" t="s">
        <v>1474</v>
      </c>
      <c r="C296" s="8" t="s">
        <v>1475</v>
      </c>
      <c r="D296" s="6" t="s">
        <v>64</v>
      </c>
      <c r="E296" s="8" t="s">
        <v>1476</v>
      </c>
      <c r="F296" s="6" t="s">
        <v>5</v>
      </c>
      <c r="G296" s="6" t="s">
        <v>1428</v>
      </c>
      <c r="H296" s="6" t="s">
        <v>1457</v>
      </c>
      <c r="I296" s="6" t="s">
        <v>31</v>
      </c>
      <c r="J296" s="6" t="s">
        <v>1458</v>
      </c>
      <c r="K296" s="6" t="s">
        <v>996</v>
      </c>
      <c r="L296" s="6" t="s">
        <v>1459</v>
      </c>
      <c r="M296" s="6" t="s">
        <v>1460</v>
      </c>
      <c r="N296" s="6" t="s">
        <v>904</v>
      </c>
      <c r="O296" s="6" t="s">
        <v>1461</v>
      </c>
      <c r="P296" s="6"/>
      <c r="Q296" s="8">
        <v>150</v>
      </c>
      <c r="R296" s="8">
        <v>150.44999999999999</v>
      </c>
      <c r="S296" s="8">
        <v>299.89999999999998</v>
      </c>
      <c r="T296" s="8">
        <v>14</v>
      </c>
      <c r="U296" s="8"/>
      <c r="V296" s="8">
        <v>0</v>
      </c>
      <c r="W296" s="12">
        <v>0</v>
      </c>
      <c r="Y296">
        <v>0</v>
      </c>
    </row>
    <row r="297" spans="1:25" ht="40" customHeight="1">
      <c r="A297" s="6" t="s">
        <v>1477</v>
      </c>
      <c r="B297" s="6" t="s">
        <v>1478</v>
      </c>
      <c r="C297" s="6">
        <v>129826</v>
      </c>
      <c r="D297" s="6" t="s">
        <v>357</v>
      </c>
      <c r="E297" s="6" t="s">
        <v>1479</v>
      </c>
      <c r="F297" s="6"/>
      <c r="G297" s="6" t="s">
        <v>1428</v>
      </c>
      <c r="H297" s="6" t="s">
        <v>1457</v>
      </c>
      <c r="I297" s="6" t="s">
        <v>31</v>
      </c>
      <c r="J297" s="6" t="s">
        <v>1458</v>
      </c>
      <c r="K297" s="6" t="s">
        <v>1453</v>
      </c>
      <c r="L297" s="6" t="s">
        <v>1459</v>
      </c>
      <c r="M297" s="6" t="s">
        <v>1460</v>
      </c>
      <c r="N297" s="6" t="s">
        <v>904</v>
      </c>
      <c r="O297" s="6" t="s">
        <v>1461</v>
      </c>
      <c r="P297" s="6"/>
      <c r="Q297" s="8">
        <v>150</v>
      </c>
      <c r="R297" s="8">
        <v>150.44999999999999</v>
      </c>
      <c r="S297" s="8">
        <v>299.89999999999998</v>
      </c>
      <c r="T297" s="8">
        <v>14</v>
      </c>
      <c r="U297" s="8"/>
      <c r="V297" s="8">
        <v>0</v>
      </c>
      <c r="W297" s="12">
        <v>0</v>
      </c>
      <c r="Y297">
        <v>0</v>
      </c>
    </row>
    <row r="298" spans="1:25" ht="40" customHeight="1">
      <c r="A298" s="6" t="s">
        <v>1480</v>
      </c>
      <c r="B298" s="8" t="s">
        <v>1481</v>
      </c>
      <c r="C298" s="8" t="s">
        <v>1475</v>
      </c>
      <c r="D298" s="6" t="s">
        <v>561</v>
      </c>
      <c r="E298" s="8" t="s">
        <v>1482</v>
      </c>
      <c r="F298" s="6" t="s">
        <v>5</v>
      </c>
      <c r="G298" s="6" t="s">
        <v>1428</v>
      </c>
      <c r="H298" s="6" t="s">
        <v>1457</v>
      </c>
      <c r="I298" s="6" t="s">
        <v>31</v>
      </c>
      <c r="J298" s="6" t="s">
        <v>1458</v>
      </c>
      <c r="K298" s="6" t="s">
        <v>1437</v>
      </c>
      <c r="L298" s="6" t="s">
        <v>1459</v>
      </c>
      <c r="M298" s="6" t="s">
        <v>1460</v>
      </c>
      <c r="N298" s="6" t="s">
        <v>904</v>
      </c>
      <c r="O298" s="6" t="s">
        <v>1461</v>
      </c>
      <c r="P298" s="6"/>
      <c r="Q298" s="8">
        <v>150</v>
      </c>
      <c r="R298" s="8">
        <v>150.44999999999999</v>
      </c>
      <c r="S298" s="8">
        <v>299.89999999999998</v>
      </c>
      <c r="T298" s="8">
        <v>14</v>
      </c>
      <c r="U298" s="8"/>
      <c r="V298" s="8">
        <v>0</v>
      </c>
      <c r="W298" s="12">
        <v>0</v>
      </c>
      <c r="Y298">
        <v>0</v>
      </c>
    </row>
    <row r="299" spans="1:25" ht="40" customHeight="1">
      <c r="A299" s="6" t="s">
        <v>1483</v>
      </c>
      <c r="B299" s="6" t="s">
        <v>1484</v>
      </c>
      <c r="C299" s="6">
        <v>149529</v>
      </c>
      <c r="D299" s="6" t="s">
        <v>27</v>
      </c>
      <c r="E299" s="6" t="s">
        <v>1485</v>
      </c>
      <c r="F299" s="6"/>
      <c r="G299" s="6" t="s">
        <v>1486</v>
      </c>
      <c r="H299" s="6" t="s">
        <v>1487</v>
      </c>
      <c r="I299" s="6" t="s">
        <v>31</v>
      </c>
      <c r="J299" s="6" t="s">
        <v>1488</v>
      </c>
      <c r="K299" s="6" t="s">
        <v>1489</v>
      </c>
      <c r="L299" s="6" t="s">
        <v>234</v>
      </c>
      <c r="M299" s="6" t="s">
        <v>1490</v>
      </c>
      <c r="N299" s="6" t="s">
        <v>1491</v>
      </c>
      <c r="O299" s="6" t="s">
        <v>236</v>
      </c>
      <c r="P299" s="6" t="s">
        <v>1492</v>
      </c>
      <c r="Q299" s="8">
        <v>110</v>
      </c>
      <c r="R299" s="8">
        <v>110.33</v>
      </c>
      <c r="S299" s="8">
        <v>219.9</v>
      </c>
      <c r="T299" s="8">
        <v>14</v>
      </c>
      <c r="U299" s="8"/>
      <c r="V299" s="8">
        <v>0</v>
      </c>
      <c r="W299" s="12">
        <v>0</v>
      </c>
      <c r="Y299">
        <v>0</v>
      </c>
    </row>
    <row r="300" spans="1:25" ht="40" customHeight="1">
      <c r="A300" s="6" t="s">
        <v>1493</v>
      </c>
      <c r="B300" s="6" t="s">
        <v>1494</v>
      </c>
      <c r="C300" s="6">
        <v>149529</v>
      </c>
      <c r="D300" s="6" t="s">
        <v>1495</v>
      </c>
      <c r="E300" s="6" t="s">
        <v>1496</v>
      </c>
      <c r="F300" s="6"/>
      <c r="G300" s="6" t="s">
        <v>1486</v>
      </c>
      <c r="H300" s="6" t="s">
        <v>1487</v>
      </c>
      <c r="I300" s="6" t="s">
        <v>31</v>
      </c>
      <c r="J300" s="6" t="s">
        <v>1488</v>
      </c>
      <c r="K300" s="6" t="s">
        <v>1497</v>
      </c>
      <c r="L300" s="6" t="s">
        <v>234</v>
      </c>
      <c r="M300" s="6" t="s">
        <v>1490</v>
      </c>
      <c r="N300" s="6" t="s">
        <v>1491</v>
      </c>
      <c r="O300" s="6" t="s">
        <v>236</v>
      </c>
      <c r="P300" s="6" t="s">
        <v>1492</v>
      </c>
      <c r="Q300" s="8">
        <v>110</v>
      </c>
      <c r="R300" s="8">
        <v>110.33</v>
      </c>
      <c r="S300" s="8">
        <v>219.9</v>
      </c>
      <c r="T300" s="8">
        <v>14</v>
      </c>
      <c r="U300" s="8"/>
      <c r="V300" s="8">
        <v>0</v>
      </c>
      <c r="W300" s="12">
        <v>0</v>
      </c>
      <c r="Y300">
        <v>0</v>
      </c>
    </row>
    <row r="301" spans="1:25" ht="40" customHeight="1">
      <c r="A301" s="6" t="s">
        <v>1498</v>
      </c>
      <c r="B301" s="6" t="s">
        <v>1499</v>
      </c>
      <c r="C301" s="6">
        <v>149529</v>
      </c>
      <c r="D301" s="6" t="s">
        <v>1500</v>
      </c>
      <c r="E301" s="6" t="s">
        <v>1501</v>
      </c>
      <c r="F301" s="6"/>
      <c r="G301" s="6" t="s">
        <v>1486</v>
      </c>
      <c r="H301" s="6" t="s">
        <v>1487</v>
      </c>
      <c r="I301" s="6" t="s">
        <v>31</v>
      </c>
      <c r="J301" s="6" t="s">
        <v>1488</v>
      </c>
      <c r="K301" s="8"/>
      <c r="L301" s="8"/>
      <c r="M301" s="8"/>
      <c r="N301" s="8"/>
      <c r="O301" s="8"/>
      <c r="P301" s="8"/>
      <c r="Q301" s="8">
        <v>110</v>
      </c>
      <c r="R301" s="8">
        <v>110.33</v>
      </c>
      <c r="S301" s="8">
        <v>219.9</v>
      </c>
      <c r="T301" s="8">
        <v>14</v>
      </c>
      <c r="U301" s="8"/>
      <c r="V301" s="8">
        <v>0</v>
      </c>
      <c r="W301" s="12">
        <v>0</v>
      </c>
      <c r="Y301">
        <v>0</v>
      </c>
    </row>
    <row r="302" spans="1:25" ht="40" customHeight="1">
      <c r="A302" s="6" t="s">
        <v>1502</v>
      </c>
      <c r="B302" s="6" t="s">
        <v>1503</v>
      </c>
      <c r="C302" s="6">
        <v>149529</v>
      </c>
      <c r="D302" s="6" t="s">
        <v>1504</v>
      </c>
      <c r="E302" s="6" t="s">
        <v>1505</v>
      </c>
      <c r="F302" s="6"/>
      <c r="G302" s="6" t="s">
        <v>1486</v>
      </c>
      <c r="H302" s="6" t="s">
        <v>1487</v>
      </c>
      <c r="I302" s="6" t="s">
        <v>31</v>
      </c>
      <c r="J302" s="6" t="s">
        <v>1488</v>
      </c>
      <c r="K302" s="6" t="s">
        <v>1506</v>
      </c>
      <c r="L302" s="6" t="s">
        <v>234</v>
      </c>
      <c r="M302" s="6" t="s">
        <v>1490</v>
      </c>
      <c r="N302" s="6" t="s">
        <v>1491</v>
      </c>
      <c r="O302" s="6" t="s">
        <v>236</v>
      </c>
      <c r="P302" s="6" t="s">
        <v>1492</v>
      </c>
      <c r="Q302" s="8">
        <v>110</v>
      </c>
      <c r="R302" s="8">
        <v>110.33</v>
      </c>
      <c r="S302" s="8">
        <v>219.9</v>
      </c>
      <c r="T302" s="8">
        <v>14</v>
      </c>
      <c r="U302" s="8"/>
      <c r="V302" s="8">
        <v>0</v>
      </c>
      <c r="W302" s="12">
        <v>0</v>
      </c>
      <c r="Y302">
        <v>0</v>
      </c>
    </row>
    <row r="303" spans="1:25" ht="40" customHeight="1">
      <c r="A303" s="6" t="s">
        <v>1507</v>
      </c>
      <c r="B303" s="6" t="s">
        <v>1508</v>
      </c>
      <c r="C303" s="6">
        <v>149529</v>
      </c>
      <c r="D303" s="6" t="s">
        <v>659</v>
      </c>
      <c r="E303" s="6" t="s">
        <v>1509</v>
      </c>
      <c r="F303" s="6"/>
      <c r="G303" s="6" t="s">
        <v>1486</v>
      </c>
      <c r="H303" s="6" t="s">
        <v>1487</v>
      </c>
      <c r="I303" s="6" t="s">
        <v>31</v>
      </c>
      <c r="J303" s="6" t="s">
        <v>1488</v>
      </c>
      <c r="K303" s="6" t="s">
        <v>1510</v>
      </c>
      <c r="L303" s="6" t="s">
        <v>234</v>
      </c>
      <c r="M303" s="6" t="s">
        <v>1490</v>
      </c>
      <c r="N303" s="6" t="s">
        <v>1491</v>
      </c>
      <c r="O303" s="6" t="s">
        <v>236</v>
      </c>
      <c r="P303" s="6" t="s">
        <v>1492</v>
      </c>
      <c r="Q303" s="8">
        <v>110</v>
      </c>
      <c r="R303" s="8">
        <v>110.33</v>
      </c>
      <c r="S303" s="8">
        <v>219.9</v>
      </c>
      <c r="T303" s="8">
        <v>14</v>
      </c>
      <c r="U303" s="8"/>
      <c r="V303" s="8">
        <v>0</v>
      </c>
      <c r="W303" s="12">
        <v>0</v>
      </c>
      <c r="Y303">
        <v>0</v>
      </c>
    </row>
    <row r="304" spans="1:25" ht="40" customHeight="1">
      <c r="A304" s="6" t="s">
        <v>1511</v>
      </c>
      <c r="B304" s="6" t="s">
        <v>1512</v>
      </c>
      <c r="C304" s="7">
        <v>150051</v>
      </c>
      <c r="D304" s="6" t="s">
        <v>64</v>
      </c>
      <c r="E304" s="7" t="s">
        <v>1513</v>
      </c>
      <c r="F304" s="6"/>
      <c r="G304" s="6" t="s">
        <v>1514</v>
      </c>
      <c r="H304" s="6" t="s">
        <v>1515</v>
      </c>
      <c r="I304" s="6" t="s">
        <v>31</v>
      </c>
      <c r="J304" s="6" t="s">
        <v>1516</v>
      </c>
      <c r="K304" s="6" t="s">
        <v>1517</v>
      </c>
      <c r="L304" s="6" t="s">
        <v>1518</v>
      </c>
      <c r="M304" s="6" t="s">
        <v>1519</v>
      </c>
      <c r="N304" s="6" t="s">
        <v>1491</v>
      </c>
      <c r="O304" s="6" t="s">
        <v>1520</v>
      </c>
      <c r="P304" s="6"/>
      <c r="Q304" s="8">
        <v>160</v>
      </c>
      <c r="R304" s="8">
        <v>160.47999999999999</v>
      </c>
      <c r="S304" s="8">
        <v>319.89999999999998</v>
      </c>
      <c r="T304" s="8">
        <v>14</v>
      </c>
      <c r="U304" s="8"/>
      <c r="V304" s="8">
        <v>0</v>
      </c>
      <c r="W304" s="12">
        <v>0</v>
      </c>
      <c r="Y304">
        <v>0</v>
      </c>
    </row>
    <row r="305" spans="1:25" ht="40" customHeight="1">
      <c r="A305" s="6" t="s">
        <v>1521</v>
      </c>
      <c r="B305" s="6" t="s">
        <v>1522</v>
      </c>
      <c r="C305" s="6">
        <v>150051</v>
      </c>
      <c r="D305" s="6" t="s">
        <v>1523</v>
      </c>
      <c r="E305" s="6" t="s">
        <v>1524</v>
      </c>
      <c r="F305" s="6"/>
      <c r="G305" s="6" t="s">
        <v>1514</v>
      </c>
      <c r="H305" s="6" t="s">
        <v>1515</v>
      </c>
      <c r="I305" s="6" t="s">
        <v>31</v>
      </c>
      <c r="J305" s="6" t="s">
        <v>1516</v>
      </c>
      <c r="K305" s="6" t="s">
        <v>1525</v>
      </c>
      <c r="L305" s="6" t="s">
        <v>1518</v>
      </c>
      <c r="M305" s="6" t="s">
        <v>1519</v>
      </c>
      <c r="N305" s="6" t="s">
        <v>1491</v>
      </c>
      <c r="O305" s="6" t="s">
        <v>1520</v>
      </c>
      <c r="P305" s="6"/>
      <c r="Q305" s="8">
        <v>160</v>
      </c>
      <c r="R305" s="8">
        <v>160.47999999999999</v>
      </c>
      <c r="S305" s="8">
        <v>319.89999999999998</v>
      </c>
      <c r="T305" s="8">
        <v>14</v>
      </c>
      <c r="U305" s="8"/>
      <c r="V305" s="8">
        <v>0</v>
      </c>
      <c r="W305" s="12">
        <v>0</v>
      </c>
      <c r="Y305">
        <v>0</v>
      </c>
    </row>
    <row r="306" spans="1:25" ht="40" customHeight="1">
      <c r="A306" s="6" t="s">
        <v>1526</v>
      </c>
      <c r="B306" s="8" t="s">
        <v>1527</v>
      </c>
      <c r="C306" s="8" t="s">
        <v>1528</v>
      </c>
      <c r="D306" s="6" t="s">
        <v>27</v>
      </c>
      <c r="E306" s="8" t="s">
        <v>1529</v>
      </c>
      <c r="F306" s="6" t="s">
        <v>5</v>
      </c>
      <c r="G306" s="6" t="s">
        <v>1514</v>
      </c>
      <c r="H306" s="6" t="s">
        <v>1515</v>
      </c>
      <c r="I306" s="6" t="s">
        <v>31</v>
      </c>
      <c r="J306" s="6" t="s">
        <v>1516</v>
      </c>
      <c r="K306" s="6" t="s">
        <v>1530</v>
      </c>
      <c r="L306" s="6" t="s">
        <v>1518</v>
      </c>
      <c r="M306" s="6" t="s">
        <v>1519</v>
      </c>
      <c r="N306" s="6" t="s">
        <v>1491</v>
      </c>
      <c r="O306" s="6" t="s">
        <v>1520</v>
      </c>
      <c r="P306" s="6"/>
      <c r="Q306" s="8">
        <v>160</v>
      </c>
      <c r="R306" s="8">
        <v>160.47999999999999</v>
      </c>
      <c r="S306" s="8">
        <v>319.89999999999998</v>
      </c>
      <c r="T306" s="8">
        <v>14</v>
      </c>
      <c r="U306" s="8"/>
      <c r="V306" s="8">
        <v>0</v>
      </c>
      <c r="W306" s="12">
        <v>0</v>
      </c>
      <c r="Y306">
        <v>0</v>
      </c>
    </row>
    <row r="307" spans="1:25" ht="40" customHeight="1">
      <c r="A307" s="6" t="s">
        <v>1531</v>
      </c>
      <c r="B307" s="6" t="s">
        <v>1532</v>
      </c>
      <c r="C307" s="7" t="s">
        <v>1528</v>
      </c>
      <c r="D307" s="6" t="s">
        <v>1153</v>
      </c>
      <c r="E307" s="7" t="s">
        <v>1533</v>
      </c>
      <c r="F307" s="6" t="s">
        <v>5</v>
      </c>
      <c r="G307" s="6" t="s">
        <v>1514</v>
      </c>
      <c r="H307" s="6" t="s">
        <v>1515</v>
      </c>
      <c r="I307" s="6" t="s">
        <v>31</v>
      </c>
      <c r="J307" s="6" t="s">
        <v>1516</v>
      </c>
      <c r="K307" s="6" t="s">
        <v>1534</v>
      </c>
      <c r="L307" s="6" t="s">
        <v>1518</v>
      </c>
      <c r="M307" s="6" t="s">
        <v>1519</v>
      </c>
      <c r="N307" s="6" t="s">
        <v>1491</v>
      </c>
      <c r="O307" s="6" t="s">
        <v>1535</v>
      </c>
      <c r="P307" s="6"/>
      <c r="Q307" s="8">
        <v>160</v>
      </c>
      <c r="R307" s="8">
        <v>160.47999999999999</v>
      </c>
      <c r="S307" s="8">
        <v>319.89999999999998</v>
      </c>
      <c r="T307" s="8">
        <v>14</v>
      </c>
      <c r="U307" s="8"/>
      <c r="V307" s="8">
        <v>0</v>
      </c>
      <c r="W307" s="12">
        <v>0</v>
      </c>
      <c r="Y307">
        <v>0</v>
      </c>
    </row>
    <row r="308" spans="1:25" ht="40" customHeight="1">
      <c r="A308" s="6" t="s">
        <v>1536</v>
      </c>
      <c r="B308" s="8" t="s">
        <v>1537</v>
      </c>
      <c r="C308" s="8" t="s">
        <v>1528</v>
      </c>
      <c r="D308" s="6" t="s">
        <v>126</v>
      </c>
      <c r="E308" s="8" t="s">
        <v>1538</v>
      </c>
      <c r="F308" s="6" t="s">
        <v>5</v>
      </c>
      <c r="G308" s="6" t="s">
        <v>1514</v>
      </c>
      <c r="H308" s="6" t="s">
        <v>1515</v>
      </c>
      <c r="I308" s="6" t="s">
        <v>31</v>
      </c>
      <c r="J308" s="6" t="s">
        <v>1516</v>
      </c>
      <c r="K308" s="6" t="s">
        <v>1539</v>
      </c>
      <c r="L308" s="6" t="s">
        <v>1518</v>
      </c>
      <c r="M308" s="6" t="s">
        <v>1519</v>
      </c>
      <c r="N308" s="6" t="s">
        <v>1491</v>
      </c>
      <c r="O308" s="6" t="s">
        <v>1520</v>
      </c>
      <c r="P308" s="6"/>
      <c r="Q308" s="8">
        <v>160</v>
      </c>
      <c r="R308" s="8">
        <v>160.47999999999999</v>
      </c>
      <c r="S308" s="8">
        <v>319.89999999999998</v>
      </c>
      <c r="T308" s="8">
        <v>14</v>
      </c>
      <c r="U308" s="8"/>
      <c r="V308" s="8">
        <v>0</v>
      </c>
      <c r="W308" s="12">
        <v>0</v>
      </c>
      <c r="Y308">
        <v>0</v>
      </c>
    </row>
    <row r="309" spans="1:25" ht="40" customHeight="1">
      <c r="A309" s="6" t="s">
        <v>1540</v>
      </c>
      <c r="B309" s="6" t="s">
        <v>1541</v>
      </c>
      <c r="C309" s="6">
        <v>150218</v>
      </c>
      <c r="D309" s="6" t="s">
        <v>27</v>
      </c>
      <c r="E309" s="6" t="s">
        <v>1542</v>
      </c>
      <c r="F309" s="6"/>
      <c r="G309" s="6" t="s">
        <v>1543</v>
      </c>
      <c r="H309" s="6" t="s">
        <v>1544</v>
      </c>
      <c r="I309" s="6" t="s">
        <v>31</v>
      </c>
      <c r="J309" s="6" t="s">
        <v>1545</v>
      </c>
      <c r="K309" s="6" t="s">
        <v>1546</v>
      </c>
      <c r="L309" s="6" t="s">
        <v>1547</v>
      </c>
      <c r="M309" s="6" t="s">
        <v>1548</v>
      </c>
      <c r="N309" s="6" t="s">
        <v>1491</v>
      </c>
      <c r="O309" s="6" t="s">
        <v>1549</v>
      </c>
      <c r="P309" s="6"/>
      <c r="Q309" s="8">
        <v>150</v>
      </c>
      <c r="R309" s="8">
        <v>150.44999999999999</v>
      </c>
      <c r="S309" s="8">
        <v>299.89999999999998</v>
      </c>
      <c r="T309" s="8">
        <v>14</v>
      </c>
      <c r="U309" s="8"/>
      <c r="V309" s="8">
        <v>0</v>
      </c>
      <c r="W309" s="12">
        <v>0</v>
      </c>
      <c r="Y309">
        <v>0</v>
      </c>
    </row>
    <row r="310" spans="1:25" ht="40" customHeight="1">
      <c r="A310" s="6" t="s">
        <v>1550</v>
      </c>
      <c r="B310" s="6" t="s">
        <v>1551</v>
      </c>
      <c r="C310" s="6">
        <v>150218</v>
      </c>
      <c r="D310" s="6" t="s">
        <v>64</v>
      </c>
      <c r="E310" s="6" t="s">
        <v>1552</v>
      </c>
      <c r="F310" s="6"/>
      <c r="G310" s="6" t="s">
        <v>1543</v>
      </c>
      <c r="H310" s="6" t="s">
        <v>1544</v>
      </c>
      <c r="I310" s="6" t="s">
        <v>31</v>
      </c>
      <c r="J310" s="6" t="s">
        <v>1545</v>
      </c>
      <c r="K310" s="6" t="s">
        <v>1553</v>
      </c>
      <c r="L310" s="6" t="s">
        <v>1547</v>
      </c>
      <c r="M310" s="6" t="s">
        <v>1548</v>
      </c>
      <c r="N310" s="6" t="s">
        <v>1491</v>
      </c>
      <c r="O310" s="6" t="s">
        <v>1549</v>
      </c>
      <c r="P310" s="6"/>
      <c r="Q310" s="8">
        <v>150</v>
      </c>
      <c r="R310" s="8">
        <v>150.44999999999999</v>
      </c>
      <c r="S310" s="8">
        <v>299.89999999999998</v>
      </c>
      <c r="T310" s="8">
        <v>14</v>
      </c>
      <c r="U310" s="8"/>
      <c r="V310" s="8">
        <v>0</v>
      </c>
      <c r="W310" s="12">
        <v>0</v>
      </c>
      <c r="Y310">
        <v>0</v>
      </c>
    </row>
    <row r="311" spans="1:25" ht="40" customHeight="1">
      <c r="A311" s="6" t="s">
        <v>1554</v>
      </c>
      <c r="B311" s="6" t="s">
        <v>1555</v>
      </c>
      <c r="C311" s="6">
        <v>150218</v>
      </c>
      <c r="D311" s="6" t="s">
        <v>392</v>
      </c>
      <c r="E311" s="6" t="s">
        <v>1556</v>
      </c>
      <c r="F311" s="6"/>
      <c r="G311" s="6" t="s">
        <v>1543</v>
      </c>
      <c r="H311" s="6" t="s">
        <v>1544</v>
      </c>
      <c r="I311" s="6" t="s">
        <v>31</v>
      </c>
      <c r="J311" s="6" t="s">
        <v>1545</v>
      </c>
      <c r="K311" s="6" t="s">
        <v>1557</v>
      </c>
      <c r="L311" s="6" t="s">
        <v>1547</v>
      </c>
      <c r="M311" s="6" t="s">
        <v>1548</v>
      </c>
      <c r="N311" s="6" t="s">
        <v>1491</v>
      </c>
      <c r="O311" s="6" t="s">
        <v>1549</v>
      </c>
      <c r="P311" s="6"/>
      <c r="Q311" s="8">
        <v>150</v>
      </c>
      <c r="R311" s="8">
        <v>150.44999999999999</v>
      </c>
      <c r="S311" s="8">
        <v>299.89999999999998</v>
      </c>
      <c r="T311" s="8">
        <v>14</v>
      </c>
      <c r="U311" s="8"/>
      <c r="V311" s="8">
        <v>0</v>
      </c>
      <c r="W311" s="12">
        <v>0</v>
      </c>
      <c r="Y311">
        <v>0</v>
      </c>
    </row>
    <row r="312" spans="1:25" ht="40" customHeight="1">
      <c r="A312" s="6" t="s">
        <v>1558</v>
      </c>
      <c r="B312" s="6" t="s">
        <v>1559</v>
      </c>
      <c r="C312" s="6">
        <v>150218</v>
      </c>
      <c r="D312" s="6" t="s">
        <v>1286</v>
      </c>
      <c r="E312" s="6" t="s">
        <v>1560</v>
      </c>
      <c r="F312" s="6"/>
      <c r="G312" s="6" t="s">
        <v>1543</v>
      </c>
      <c r="H312" s="6" t="s">
        <v>1544</v>
      </c>
      <c r="I312" s="6" t="s">
        <v>31</v>
      </c>
      <c r="J312" s="6" t="s">
        <v>1545</v>
      </c>
      <c r="K312" s="6" t="s">
        <v>1561</v>
      </c>
      <c r="L312" s="6" t="s">
        <v>1547</v>
      </c>
      <c r="M312" s="6" t="s">
        <v>1548</v>
      </c>
      <c r="N312" s="6" t="s">
        <v>1491</v>
      </c>
      <c r="O312" s="6" t="s">
        <v>1549</v>
      </c>
      <c r="P312" s="6"/>
      <c r="Q312" s="8">
        <v>150</v>
      </c>
      <c r="R312" s="8">
        <v>150.44999999999999</v>
      </c>
      <c r="S312" s="8">
        <v>299.89999999999998</v>
      </c>
      <c r="T312" s="8">
        <v>14</v>
      </c>
      <c r="U312" s="8"/>
      <c r="V312" s="8">
        <v>0</v>
      </c>
      <c r="W312" s="12">
        <v>0</v>
      </c>
      <c r="Y312">
        <v>0</v>
      </c>
    </row>
    <row r="313" spans="1:25" ht="40" customHeight="1">
      <c r="A313" s="6" t="s">
        <v>1562</v>
      </c>
      <c r="B313" s="6" t="s">
        <v>1563</v>
      </c>
      <c r="C313" s="6">
        <v>150219</v>
      </c>
      <c r="D313" s="6" t="s">
        <v>1564</v>
      </c>
      <c r="E313" s="6" t="s">
        <v>1565</v>
      </c>
      <c r="F313" s="6"/>
      <c r="G313" s="6" t="s">
        <v>1543</v>
      </c>
      <c r="H313" s="6" t="s">
        <v>1566</v>
      </c>
      <c r="I313" s="6" t="s">
        <v>31</v>
      </c>
      <c r="J313" s="6" t="s">
        <v>1567</v>
      </c>
      <c r="K313" s="6" t="s">
        <v>1568</v>
      </c>
      <c r="L313" s="6" t="s">
        <v>1569</v>
      </c>
      <c r="M313" s="6" t="s">
        <v>1570</v>
      </c>
      <c r="N313" s="6" t="s">
        <v>1491</v>
      </c>
      <c r="O313" s="6" t="s">
        <v>1571</v>
      </c>
      <c r="P313" s="6"/>
      <c r="Q313" s="8">
        <v>135</v>
      </c>
      <c r="R313" s="8">
        <v>135.405</v>
      </c>
      <c r="S313" s="8">
        <v>269.89999999999998</v>
      </c>
      <c r="T313" s="8">
        <v>14</v>
      </c>
      <c r="U313" s="8"/>
      <c r="V313" s="8">
        <v>0</v>
      </c>
      <c r="W313" s="12">
        <v>0</v>
      </c>
      <c r="Y313">
        <v>0</v>
      </c>
    </row>
    <row r="314" spans="1:25" ht="40" customHeight="1">
      <c r="A314" s="6" t="s">
        <v>1572</v>
      </c>
      <c r="B314" s="6" t="s">
        <v>1573</v>
      </c>
      <c r="C314" s="6">
        <v>150219</v>
      </c>
      <c r="D314" s="6" t="s">
        <v>1574</v>
      </c>
      <c r="E314" s="6" t="s">
        <v>1575</v>
      </c>
      <c r="F314" s="6"/>
      <c r="G314" s="6" t="s">
        <v>1543</v>
      </c>
      <c r="H314" s="6" t="s">
        <v>1566</v>
      </c>
      <c r="I314" s="6" t="s">
        <v>31</v>
      </c>
      <c r="J314" s="6" t="s">
        <v>1567</v>
      </c>
      <c r="K314" s="6" t="s">
        <v>1576</v>
      </c>
      <c r="L314" s="6" t="s">
        <v>1569</v>
      </c>
      <c r="M314" s="6" t="s">
        <v>1570</v>
      </c>
      <c r="N314" s="6" t="s">
        <v>1491</v>
      </c>
      <c r="O314" s="6" t="s">
        <v>1571</v>
      </c>
      <c r="P314" s="6"/>
      <c r="Q314" s="8">
        <v>135</v>
      </c>
      <c r="R314" s="8">
        <v>135.405</v>
      </c>
      <c r="S314" s="8">
        <v>269.89999999999998</v>
      </c>
      <c r="T314" s="8">
        <v>14</v>
      </c>
      <c r="U314" s="8"/>
      <c r="V314" s="8">
        <v>0</v>
      </c>
      <c r="W314" s="12">
        <v>0</v>
      </c>
      <c r="Y314">
        <v>0</v>
      </c>
    </row>
    <row r="315" spans="1:25" ht="40" customHeight="1">
      <c r="A315" s="6" t="s">
        <v>1577</v>
      </c>
      <c r="B315" s="6" t="s">
        <v>1578</v>
      </c>
      <c r="C315" s="6">
        <v>150219</v>
      </c>
      <c r="D315" s="6" t="s">
        <v>1579</v>
      </c>
      <c r="E315" s="6" t="s">
        <v>1580</v>
      </c>
      <c r="F315" s="6"/>
      <c r="G315" s="6" t="s">
        <v>1543</v>
      </c>
      <c r="H315" s="6" t="s">
        <v>1566</v>
      </c>
      <c r="I315" s="6" t="s">
        <v>31</v>
      </c>
      <c r="J315" s="6" t="s">
        <v>1567</v>
      </c>
      <c r="K315" s="6" t="s">
        <v>1581</v>
      </c>
      <c r="L315" s="6" t="s">
        <v>1569</v>
      </c>
      <c r="M315" s="6" t="s">
        <v>1570</v>
      </c>
      <c r="N315" s="6" t="s">
        <v>1491</v>
      </c>
      <c r="O315" s="6" t="s">
        <v>1571</v>
      </c>
      <c r="P315" s="6"/>
      <c r="Q315" s="8">
        <v>135</v>
      </c>
      <c r="R315" s="8">
        <v>135.405</v>
      </c>
      <c r="S315" s="8">
        <v>269.89999999999998</v>
      </c>
      <c r="T315" s="8">
        <v>14</v>
      </c>
      <c r="U315" s="8"/>
      <c r="V315" s="8">
        <v>0</v>
      </c>
      <c r="W315" s="12">
        <v>0</v>
      </c>
      <c r="Y315">
        <v>0</v>
      </c>
    </row>
    <row r="316" spans="1:25" ht="40" customHeight="1">
      <c r="A316" s="6" t="s">
        <v>1582</v>
      </c>
      <c r="B316" s="6" t="s">
        <v>1583</v>
      </c>
      <c r="C316" s="6">
        <v>150284</v>
      </c>
      <c r="D316" s="6" t="s">
        <v>1584</v>
      </c>
      <c r="E316" s="6" t="s">
        <v>1585</v>
      </c>
      <c r="F316" s="6"/>
      <c r="G316" s="6" t="s">
        <v>1486</v>
      </c>
      <c r="H316" s="6" t="s">
        <v>1586</v>
      </c>
      <c r="I316" s="6" t="s">
        <v>31</v>
      </c>
      <c r="J316" s="6" t="s">
        <v>1587</v>
      </c>
      <c r="K316" s="6" t="s">
        <v>1588</v>
      </c>
      <c r="L316" s="6" t="s">
        <v>1547</v>
      </c>
      <c r="M316" s="6" t="s">
        <v>1589</v>
      </c>
      <c r="N316" s="6" t="s">
        <v>1491</v>
      </c>
      <c r="O316" s="6" t="s">
        <v>1549</v>
      </c>
      <c r="P316" s="6"/>
      <c r="Q316" s="8">
        <v>140</v>
      </c>
      <c r="R316" s="8">
        <v>140.41999999999999</v>
      </c>
      <c r="S316" s="8">
        <v>279.89999999999998</v>
      </c>
      <c r="T316" s="8">
        <v>14</v>
      </c>
      <c r="U316" s="8"/>
      <c r="V316" s="8">
        <v>0</v>
      </c>
      <c r="W316" s="12">
        <v>0</v>
      </c>
      <c r="Y316">
        <v>0</v>
      </c>
    </row>
    <row r="317" spans="1:25" ht="40" customHeight="1">
      <c r="A317" s="6" t="s">
        <v>1590</v>
      </c>
      <c r="B317" s="6" t="s">
        <v>1591</v>
      </c>
      <c r="C317" s="6">
        <v>150284</v>
      </c>
      <c r="D317" s="6" t="s">
        <v>1592</v>
      </c>
      <c r="E317" s="6" t="s">
        <v>1593</v>
      </c>
      <c r="F317" s="6"/>
      <c r="G317" s="6" t="s">
        <v>1486</v>
      </c>
      <c r="H317" s="6" t="s">
        <v>1586</v>
      </c>
      <c r="I317" s="6" t="s">
        <v>31</v>
      </c>
      <c r="J317" s="6" t="s">
        <v>1587</v>
      </c>
      <c r="K317" s="6" t="s">
        <v>1594</v>
      </c>
      <c r="L317" s="6" t="s">
        <v>1547</v>
      </c>
      <c r="M317" s="6" t="s">
        <v>1589</v>
      </c>
      <c r="N317" s="6" t="s">
        <v>1491</v>
      </c>
      <c r="O317" s="6" t="s">
        <v>1549</v>
      </c>
      <c r="P317" s="6"/>
      <c r="Q317" s="8">
        <v>140</v>
      </c>
      <c r="R317" s="8">
        <v>140.41999999999999</v>
      </c>
      <c r="S317" s="8">
        <v>279.89999999999998</v>
      </c>
      <c r="T317" s="8">
        <v>14</v>
      </c>
      <c r="U317" s="8"/>
      <c r="V317" s="8">
        <v>0</v>
      </c>
      <c r="W317" s="12">
        <v>0</v>
      </c>
      <c r="Y317">
        <v>0</v>
      </c>
    </row>
    <row r="318" spans="1:25" ht="40" customHeight="1">
      <c r="A318" s="6" t="s">
        <v>1595</v>
      </c>
      <c r="B318" s="6" t="s">
        <v>1596</v>
      </c>
      <c r="C318" s="6">
        <v>150284</v>
      </c>
      <c r="D318" s="6" t="s">
        <v>747</v>
      </c>
      <c r="E318" s="6" t="s">
        <v>1597</v>
      </c>
      <c r="F318" s="6"/>
      <c r="G318" s="6" t="s">
        <v>1486</v>
      </c>
      <c r="H318" s="6" t="s">
        <v>1586</v>
      </c>
      <c r="I318" s="6" t="s">
        <v>31</v>
      </c>
      <c r="J318" s="6" t="s">
        <v>1587</v>
      </c>
      <c r="K318" s="6" t="s">
        <v>1598</v>
      </c>
      <c r="L318" s="6" t="s">
        <v>1547</v>
      </c>
      <c r="M318" s="6" t="s">
        <v>1589</v>
      </c>
      <c r="N318" s="6" t="s">
        <v>1491</v>
      </c>
      <c r="O318" s="6" t="s">
        <v>1549</v>
      </c>
      <c r="P318" s="6"/>
      <c r="Q318" s="8">
        <v>140</v>
      </c>
      <c r="R318" s="8">
        <v>140.41999999999999</v>
      </c>
      <c r="S318" s="8">
        <v>279.89999999999998</v>
      </c>
      <c r="T318" s="8">
        <v>14</v>
      </c>
      <c r="U318" s="8"/>
      <c r="V318" s="8">
        <v>0</v>
      </c>
      <c r="W318" s="12">
        <v>0</v>
      </c>
      <c r="Y318">
        <v>0</v>
      </c>
    </row>
    <row r="319" spans="1:25" ht="40" customHeight="1">
      <c r="A319" s="6" t="s">
        <v>1599</v>
      </c>
      <c r="B319" s="6" t="s">
        <v>1600</v>
      </c>
      <c r="C319" s="6">
        <v>150332</v>
      </c>
      <c r="D319" s="6" t="s">
        <v>944</v>
      </c>
      <c r="E319" s="6" t="s">
        <v>1601</v>
      </c>
      <c r="F319" s="6"/>
      <c r="G319" s="6" t="s">
        <v>1514</v>
      </c>
      <c r="H319" s="6" t="s">
        <v>1602</v>
      </c>
      <c r="I319" s="6" t="s">
        <v>31</v>
      </c>
      <c r="J319" s="6" t="s">
        <v>1603</v>
      </c>
      <c r="K319" s="6" t="s">
        <v>1604</v>
      </c>
      <c r="L319" s="6" t="s">
        <v>1605</v>
      </c>
      <c r="M319" s="6" t="s">
        <v>1606</v>
      </c>
      <c r="N319" s="6" t="s">
        <v>1491</v>
      </c>
      <c r="O319" s="6" t="s">
        <v>1607</v>
      </c>
      <c r="P319" s="6"/>
      <c r="Q319" s="8">
        <v>175</v>
      </c>
      <c r="R319" s="8">
        <v>175.52500000000001</v>
      </c>
      <c r="S319" s="8">
        <v>349.9</v>
      </c>
      <c r="T319" s="8">
        <v>14</v>
      </c>
      <c r="U319" s="8"/>
      <c r="V319" s="8">
        <v>0</v>
      </c>
      <c r="W319" s="12">
        <v>0</v>
      </c>
      <c r="X319">
        <f>VLOOKUP(E319,[1]Sheet2!$A:$C,3,FALSE)</f>
        <v>1</v>
      </c>
      <c r="Y319">
        <v>1</v>
      </c>
    </row>
    <row r="320" spans="1:25" ht="40" customHeight="1">
      <c r="A320" s="6" t="s">
        <v>1608</v>
      </c>
      <c r="B320" s="6" t="s">
        <v>1609</v>
      </c>
      <c r="C320" s="6">
        <v>150332</v>
      </c>
      <c r="D320" s="6" t="s">
        <v>126</v>
      </c>
      <c r="E320" s="6" t="s">
        <v>1610</v>
      </c>
      <c r="F320" s="6"/>
      <c r="G320" s="6" t="s">
        <v>1514</v>
      </c>
      <c r="H320" s="6" t="s">
        <v>1602</v>
      </c>
      <c r="I320" s="6" t="s">
        <v>31</v>
      </c>
      <c r="J320" s="6" t="s">
        <v>1603</v>
      </c>
      <c r="K320" s="6" t="s">
        <v>1611</v>
      </c>
      <c r="L320" s="6" t="s">
        <v>1605</v>
      </c>
      <c r="M320" s="6" t="s">
        <v>1606</v>
      </c>
      <c r="N320" s="6" t="s">
        <v>1491</v>
      </c>
      <c r="O320" s="6" t="s">
        <v>1607</v>
      </c>
      <c r="P320" s="6"/>
      <c r="Q320" s="8">
        <v>175</v>
      </c>
      <c r="R320" s="8">
        <v>175.52500000000001</v>
      </c>
      <c r="S320" s="8">
        <v>349.9</v>
      </c>
      <c r="T320" s="8">
        <v>14</v>
      </c>
      <c r="U320" s="8"/>
      <c r="V320" s="8">
        <v>0</v>
      </c>
      <c r="W320" s="12">
        <v>0</v>
      </c>
      <c r="Y320">
        <v>0</v>
      </c>
    </row>
    <row r="321" spans="1:25" ht="40" customHeight="1">
      <c r="A321" s="6" t="s">
        <v>1612</v>
      </c>
      <c r="B321" s="6" t="s">
        <v>1613</v>
      </c>
      <c r="C321" s="6">
        <v>150338</v>
      </c>
      <c r="D321" s="6" t="s">
        <v>1614</v>
      </c>
      <c r="E321" s="6" t="s">
        <v>1615</v>
      </c>
      <c r="F321" s="6"/>
      <c r="G321" s="6" t="s">
        <v>1514</v>
      </c>
      <c r="H321" s="6" t="s">
        <v>1616</v>
      </c>
      <c r="I321" s="6" t="s">
        <v>31</v>
      </c>
      <c r="J321" s="6" t="s">
        <v>1617</v>
      </c>
      <c r="K321" s="6" t="s">
        <v>1618</v>
      </c>
      <c r="L321" s="6" t="s">
        <v>54</v>
      </c>
      <c r="M321" s="6" t="s">
        <v>54</v>
      </c>
      <c r="N321" s="6" t="s">
        <v>1491</v>
      </c>
      <c r="O321" s="6" t="s">
        <v>1619</v>
      </c>
      <c r="P321" s="6"/>
      <c r="Q321" s="8">
        <v>185</v>
      </c>
      <c r="R321" s="8">
        <v>185.55500000000001</v>
      </c>
      <c r="S321" s="8">
        <v>369.9</v>
      </c>
      <c r="T321" s="8">
        <v>14</v>
      </c>
      <c r="U321" s="8"/>
      <c r="V321" s="8">
        <v>0</v>
      </c>
      <c r="W321" s="12">
        <v>0</v>
      </c>
      <c r="Y321">
        <v>0</v>
      </c>
    </row>
    <row r="322" spans="1:25" ht="40" customHeight="1">
      <c r="A322" s="6" t="s">
        <v>1620</v>
      </c>
      <c r="B322" s="6" t="s">
        <v>1621</v>
      </c>
      <c r="C322" s="6">
        <v>150338</v>
      </c>
      <c r="D322" s="6" t="s">
        <v>392</v>
      </c>
      <c r="E322" s="6" t="s">
        <v>1622</v>
      </c>
      <c r="F322" s="6"/>
      <c r="G322" s="6" t="s">
        <v>1514</v>
      </c>
      <c r="H322" s="6" t="s">
        <v>1616</v>
      </c>
      <c r="I322" s="6" t="s">
        <v>31</v>
      </c>
      <c r="J322" s="6" t="s">
        <v>1617</v>
      </c>
      <c r="K322" s="6" t="s">
        <v>1623</v>
      </c>
      <c r="L322" s="6" t="s">
        <v>54</v>
      </c>
      <c r="M322" s="6" t="s">
        <v>54</v>
      </c>
      <c r="N322" s="6" t="s">
        <v>1491</v>
      </c>
      <c r="O322" s="6" t="s">
        <v>1619</v>
      </c>
      <c r="P322" s="6"/>
      <c r="Q322" s="8">
        <v>185</v>
      </c>
      <c r="R322" s="8">
        <v>185.55500000000001</v>
      </c>
      <c r="S322" s="8">
        <v>369.9</v>
      </c>
      <c r="T322" s="8">
        <v>14</v>
      </c>
      <c r="U322" s="8"/>
      <c r="V322" s="8">
        <v>0</v>
      </c>
      <c r="W322" s="12">
        <v>0</v>
      </c>
      <c r="Y322">
        <v>0</v>
      </c>
    </row>
    <row r="323" spans="1:25" ht="40" customHeight="1">
      <c r="A323" s="6" t="s">
        <v>1624</v>
      </c>
      <c r="B323" s="6" t="s">
        <v>1625</v>
      </c>
      <c r="C323" s="6">
        <v>150338</v>
      </c>
      <c r="D323" s="6" t="s">
        <v>711</v>
      </c>
      <c r="E323" s="6" t="s">
        <v>1626</v>
      </c>
      <c r="F323" s="6"/>
      <c r="G323" s="6" t="s">
        <v>1514</v>
      </c>
      <c r="H323" s="6" t="s">
        <v>1616</v>
      </c>
      <c r="I323" s="6" t="s">
        <v>31</v>
      </c>
      <c r="J323" s="6" t="s">
        <v>1617</v>
      </c>
      <c r="K323" s="6" t="s">
        <v>1627</v>
      </c>
      <c r="L323" s="6" t="s">
        <v>54</v>
      </c>
      <c r="M323" s="6" t="s">
        <v>54</v>
      </c>
      <c r="N323" s="6" t="s">
        <v>1491</v>
      </c>
      <c r="O323" s="6" t="s">
        <v>1619</v>
      </c>
      <c r="P323" s="6"/>
      <c r="Q323" s="8">
        <v>185</v>
      </c>
      <c r="R323" s="8">
        <v>185.55500000000001</v>
      </c>
      <c r="S323" s="8">
        <v>369.9</v>
      </c>
      <c r="T323" s="8">
        <v>14</v>
      </c>
      <c r="U323" s="8"/>
      <c r="V323" s="8">
        <v>0</v>
      </c>
      <c r="W323" s="12">
        <v>0</v>
      </c>
      <c r="Y323">
        <v>0</v>
      </c>
    </row>
    <row r="324" spans="1:25" ht="40" customHeight="1">
      <c r="A324" s="6" t="s">
        <v>1628</v>
      </c>
      <c r="B324" s="6" t="s">
        <v>1629</v>
      </c>
      <c r="C324" s="6">
        <v>150338</v>
      </c>
      <c r="D324" s="6" t="s">
        <v>747</v>
      </c>
      <c r="E324" s="6" t="s">
        <v>1630</v>
      </c>
      <c r="F324" s="6"/>
      <c r="G324" s="6" t="s">
        <v>1514</v>
      </c>
      <c r="H324" s="6" t="s">
        <v>1616</v>
      </c>
      <c r="I324" s="6" t="s">
        <v>31</v>
      </c>
      <c r="J324" s="6" t="s">
        <v>1617</v>
      </c>
      <c r="K324" s="6" t="s">
        <v>1631</v>
      </c>
      <c r="L324" s="6" t="s">
        <v>54</v>
      </c>
      <c r="M324" s="6" t="s">
        <v>54</v>
      </c>
      <c r="N324" s="6" t="s">
        <v>1491</v>
      </c>
      <c r="O324" s="6" t="s">
        <v>1619</v>
      </c>
      <c r="P324" s="6"/>
      <c r="Q324" s="8">
        <v>185</v>
      </c>
      <c r="R324" s="8">
        <v>185.55500000000001</v>
      </c>
      <c r="S324" s="8">
        <v>369.9</v>
      </c>
      <c r="T324" s="8">
        <v>14</v>
      </c>
      <c r="U324" s="8"/>
      <c r="V324" s="8">
        <v>0</v>
      </c>
      <c r="W324" s="12">
        <v>0</v>
      </c>
      <c r="Y324">
        <v>0</v>
      </c>
    </row>
    <row r="325" spans="1:25" ht="40" customHeight="1">
      <c r="A325" s="6" t="s">
        <v>1632</v>
      </c>
      <c r="B325" s="6" t="s">
        <v>1633</v>
      </c>
      <c r="C325" s="6">
        <v>150338</v>
      </c>
      <c r="D325" s="6" t="s">
        <v>126</v>
      </c>
      <c r="E325" s="6" t="s">
        <v>1634</v>
      </c>
      <c r="F325" s="6"/>
      <c r="G325" s="6" t="s">
        <v>1514</v>
      </c>
      <c r="H325" s="6" t="s">
        <v>1616</v>
      </c>
      <c r="I325" s="6" t="s">
        <v>31</v>
      </c>
      <c r="J325" s="6" t="s">
        <v>1617</v>
      </c>
      <c r="K325" s="6" t="s">
        <v>1635</v>
      </c>
      <c r="L325" s="6" t="s">
        <v>54</v>
      </c>
      <c r="M325" s="6" t="s">
        <v>54</v>
      </c>
      <c r="N325" s="6" t="s">
        <v>1491</v>
      </c>
      <c r="O325" s="6" t="s">
        <v>1619</v>
      </c>
      <c r="P325" s="6"/>
      <c r="Q325" s="8">
        <v>185</v>
      </c>
      <c r="R325" s="8">
        <v>185.55500000000001</v>
      </c>
      <c r="S325" s="8">
        <v>369.9</v>
      </c>
      <c r="T325" s="8">
        <v>14</v>
      </c>
      <c r="U325" s="8"/>
      <c r="V325" s="8">
        <v>0</v>
      </c>
      <c r="W325" s="12">
        <v>0</v>
      </c>
      <c r="Y325">
        <v>0</v>
      </c>
    </row>
    <row r="326" spans="1:25" ht="40" customHeight="1">
      <c r="A326" s="6" t="s">
        <v>1636</v>
      </c>
      <c r="B326" s="6" t="s">
        <v>1637</v>
      </c>
      <c r="C326" s="6">
        <v>150384</v>
      </c>
      <c r="D326" s="6" t="s">
        <v>1614</v>
      </c>
      <c r="E326" s="6" t="s">
        <v>1638</v>
      </c>
      <c r="F326" s="6"/>
      <c r="G326" s="6" t="s">
        <v>1639</v>
      </c>
      <c r="H326" s="6" t="s">
        <v>1640</v>
      </c>
      <c r="I326" s="6" t="s">
        <v>31</v>
      </c>
      <c r="J326" s="6" t="s">
        <v>1641</v>
      </c>
      <c r="K326" s="6" t="s">
        <v>1618</v>
      </c>
      <c r="L326" s="6" t="s">
        <v>54</v>
      </c>
      <c r="M326" s="6" t="s">
        <v>54</v>
      </c>
      <c r="N326" s="6" t="s">
        <v>1491</v>
      </c>
      <c r="O326" s="6" t="s">
        <v>1642</v>
      </c>
      <c r="P326" s="6"/>
      <c r="Q326" s="8">
        <v>125</v>
      </c>
      <c r="R326" s="8">
        <v>125.375</v>
      </c>
      <c r="S326" s="8">
        <v>249.9</v>
      </c>
      <c r="T326" s="8">
        <v>14</v>
      </c>
      <c r="U326" s="8"/>
      <c r="V326" s="8">
        <v>0</v>
      </c>
      <c r="W326" s="12">
        <v>0</v>
      </c>
      <c r="Y326">
        <v>0</v>
      </c>
    </row>
    <row r="327" spans="1:25" ht="40" customHeight="1">
      <c r="A327" s="6" t="s">
        <v>1643</v>
      </c>
      <c r="B327" s="6" t="s">
        <v>1644</v>
      </c>
      <c r="C327" s="6">
        <v>150384</v>
      </c>
      <c r="D327" s="6" t="s">
        <v>1645</v>
      </c>
      <c r="E327" s="6" t="s">
        <v>1646</v>
      </c>
      <c r="F327" s="6"/>
      <c r="G327" s="6" t="s">
        <v>1639</v>
      </c>
      <c r="H327" s="6" t="s">
        <v>1640</v>
      </c>
      <c r="I327" s="6" t="s">
        <v>31</v>
      </c>
      <c r="J327" s="6" t="s">
        <v>1641</v>
      </c>
      <c r="K327" s="6" t="s">
        <v>1647</v>
      </c>
      <c r="L327" s="6" t="s">
        <v>54</v>
      </c>
      <c r="M327" s="6" t="s">
        <v>54</v>
      </c>
      <c r="N327" s="6" t="s">
        <v>1491</v>
      </c>
      <c r="O327" s="6" t="s">
        <v>1642</v>
      </c>
      <c r="P327" s="6"/>
      <c r="Q327" s="8">
        <v>125</v>
      </c>
      <c r="R327" s="8">
        <v>125.375</v>
      </c>
      <c r="S327" s="8">
        <v>249.9</v>
      </c>
      <c r="T327" s="8">
        <v>14</v>
      </c>
      <c r="U327" s="8"/>
      <c r="V327" s="8">
        <v>0</v>
      </c>
      <c r="W327" s="12">
        <v>0</v>
      </c>
      <c r="Y327">
        <v>0</v>
      </c>
    </row>
    <row r="328" spans="1:25" ht="40" customHeight="1">
      <c r="A328" s="6" t="s">
        <v>1648</v>
      </c>
      <c r="B328" s="6" t="s">
        <v>1649</v>
      </c>
      <c r="C328" s="6">
        <v>150384</v>
      </c>
      <c r="D328" s="6" t="s">
        <v>659</v>
      </c>
      <c r="E328" s="6" t="s">
        <v>1650</v>
      </c>
      <c r="F328" s="6"/>
      <c r="G328" s="6" t="s">
        <v>1639</v>
      </c>
      <c r="H328" s="6" t="s">
        <v>1640</v>
      </c>
      <c r="I328" s="6" t="s">
        <v>31</v>
      </c>
      <c r="J328" s="6" t="s">
        <v>1641</v>
      </c>
      <c r="K328" s="6" t="s">
        <v>1651</v>
      </c>
      <c r="L328" s="6" t="s">
        <v>54</v>
      </c>
      <c r="M328" s="6" t="s">
        <v>54</v>
      </c>
      <c r="N328" s="6" t="s">
        <v>1491</v>
      </c>
      <c r="O328" s="6" t="s">
        <v>1642</v>
      </c>
      <c r="P328" s="6"/>
      <c r="Q328" s="8">
        <v>125</v>
      </c>
      <c r="R328" s="8">
        <v>125.375</v>
      </c>
      <c r="S328" s="8">
        <v>249.9</v>
      </c>
      <c r="T328" s="8">
        <v>14</v>
      </c>
      <c r="U328" s="8"/>
      <c r="V328" s="8">
        <v>0</v>
      </c>
      <c r="W328" s="12">
        <v>0</v>
      </c>
      <c r="Y328">
        <v>0</v>
      </c>
    </row>
    <row r="329" spans="1:25" ht="40" customHeight="1">
      <c r="A329" s="6" t="s">
        <v>1652</v>
      </c>
      <c r="B329" s="6" t="s">
        <v>1653</v>
      </c>
      <c r="C329" s="7">
        <v>150404</v>
      </c>
      <c r="D329" s="6" t="s">
        <v>64</v>
      </c>
      <c r="E329" s="7" t="s">
        <v>1654</v>
      </c>
      <c r="F329" s="6"/>
      <c r="G329" s="6" t="s">
        <v>1655</v>
      </c>
      <c r="H329" s="6" t="s">
        <v>215</v>
      </c>
      <c r="I329" s="6" t="s">
        <v>31</v>
      </c>
      <c r="J329" s="6" t="s">
        <v>1656</v>
      </c>
      <c r="K329" s="6" t="s">
        <v>1657</v>
      </c>
      <c r="L329" s="6" t="s">
        <v>1658</v>
      </c>
      <c r="M329" s="6" t="s">
        <v>1659</v>
      </c>
      <c r="N329" s="6" t="s">
        <v>1491</v>
      </c>
      <c r="O329" s="6" t="s">
        <v>1660</v>
      </c>
      <c r="P329" s="6"/>
      <c r="Q329" s="8">
        <v>150</v>
      </c>
      <c r="R329" s="8">
        <v>150.44999999999999</v>
      </c>
      <c r="S329" s="8">
        <v>299.89999999999998</v>
      </c>
      <c r="T329" s="8">
        <v>14</v>
      </c>
      <c r="U329" s="8"/>
      <c r="V329" s="8">
        <v>0</v>
      </c>
      <c r="W329" s="12">
        <v>0</v>
      </c>
      <c r="Y329">
        <v>0</v>
      </c>
    </row>
    <row r="330" spans="1:25" ht="40" customHeight="1">
      <c r="A330" s="6" t="s">
        <v>1661</v>
      </c>
      <c r="B330" s="6" t="s">
        <v>1662</v>
      </c>
      <c r="C330" s="6">
        <v>150404</v>
      </c>
      <c r="D330" s="6" t="s">
        <v>147</v>
      </c>
      <c r="E330" s="6" t="s">
        <v>1663</v>
      </c>
      <c r="F330" s="6"/>
      <c r="G330" s="6" t="s">
        <v>1655</v>
      </c>
      <c r="H330" s="6" t="s">
        <v>215</v>
      </c>
      <c r="I330" s="6" t="s">
        <v>31</v>
      </c>
      <c r="J330" s="6" t="s">
        <v>1656</v>
      </c>
      <c r="K330" s="6" t="s">
        <v>1664</v>
      </c>
      <c r="L330" s="6" t="s">
        <v>1658</v>
      </c>
      <c r="M330" s="6" t="s">
        <v>1659</v>
      </c>
      <c r="N330" s="6" t="s">
        <v>1491</v>
      </c>
      <c r="O330" s="6" t="s">
        <v>1660</v>
      </c>
      <c r="P330" s="6"/>
      <c r="Q330" s="8">
        <v>150</v>
      </c>
      <c r="R330" s="8">
        <v>150.44999999999999</v>
      </c>
      <c r="S330" s="8">
        <v>299.89999999999998</v>
      </c>
      <c r="T330" s="8">
        <v>14</v>
      </c>
      <c r="U330" s="8"/>
      <c r="V330" s="8">
        <v>0</v>
      </c>
      <c r="W330" s="12">
        <v>0</v>
      </c>
      <c r="Y330">
        <v>0</v>
      </c>
    </row>
    <row r="331" spans="1:25" ht="40" customHeight="1">
      <c r="A331" s="6" t="s">
        <v>1665</v>
      </c>
      <c r="B331" s="6" t="s">
        <v>1666</v>
      </c>
      <c r="C331" s="6">
        <v>150404</v>
      </c>
      <c r="D331" s="6" t="s">
        <v>1667</v>
      </c>
      <c r="E331" s="6" t="s">
        <v>1668</v>
      </c>
      <c r="F331" s="6"/>
      <c r="G331" s="6" t="s">
        <v>1655</v>
      </c>
      <c r="H331" s="6" t="s">
        <v>215</v>
      </c>
      <c r="I331" s="6" t="s">
        <v>31</v>
      </c>
      <c r="J331" s="6" t="s">
        <v>1656</v>
      </c>
      <c r="K331" s="6" t="s">
        <v>1669</v>
      </c>
      <c r="L331" s="6" t="s">
        <v>1658</v>
      </c>
      <c r="M331" s="6" t="s">
        <v>1659</v>
      </c>
      <c r="N331" s="6" t="s">
        <v>1491</v>
      </c>
      <c r="O331" s="6" t="s">
        <v>1660</v>
      </c>
      <c r="P331" s="6"/>
      <c r="Q331" s="8">
        <v>150</v>
      </c>
      <c r="R331" s="8">
        <v>150.44999999999999</v>
      </c>
      <c r="S331" s="8">
        <v>299.89999999999998</v>
      </c>
      <c r="T331" s="8">
        <v>14</v>
      </c>
      <c r="U331" s="8"/>
      <c r="V331" s="8">
        <v>0</v>
      </c>
      <c r="W331" s="12">
        <v>0</v>
      </c>
      <c r="Y331">
        <v>0</v>
      </c>
    </row>
    <row r="332" spans="1:25" ht="40" customHeight="1">
      <c r="A332" s="6" t="s">
        <v>1670</v>
      </c>
      <c r="B332" s="8" t="s">
        <v>1671</v>
      </c>
      <c r="C332" s="8" t="s">
        <v>1672</v>
      </c>
      <c r="D332" s="6" t="s">
        <v>27</v>
      </c>
      <c r="E332" s="8" t="s">
        <v>1673</v>
      </c>
      <c r="F332" s="6" t="s">
        <v>5</v>
      </c>
      <c r="G332" s="6" t="s">
        <v>1655</v>
      </c>
      <c r="H332" s="6" t="s">
        <v>215</v>
      </c>
      <c r="I332" s="6" t="s">
        <v>31</v>
      </c>
      <c r="J332" s="6" t="s">
        <v>1656</v>
      </c>
      <c r="K332" s="6" t="s">
        <v>1674</v>
      </c>
      <c r="L332" s="6" t="s">
        <v>1658</v>
      </c>
      <c r="M332" s="6" t="s">
        <v>1659</v>
      </c>
      <c r="N332" s="6" t="s">
        <v>1491</v>
      </c>
      <c r="O332" s="6" t="s">
        <v>1660</v>
      </c>
      <c r="P332" s="6"/>
      <c r="Q332" s="8">
        <v>150</v>
      </c>
      <c r="R332" s="8">
        <v>150.44999999999999</v>
      </c>
      <c r="S332" s="8">
        <v>299.89999999999998</v>
      </c>
      <c r="T332" s="8">
        <v>14</v>
      </c>
      <c r="U332" s="8"/>
      <c r="V332" s="8">
        <v>0</v>
      </c>
      <c r="W332" s="12">
        <v>0</v>
      </c>
      <c r="Y332">
        <v>0</v>
      </c>
    </row>
    <row r="333" spans="1:25" ht="40" customHeight="1">
      <c r="A333" s="6" t="s">
        <v>1675</v>
      </c>
      <c r="B333" s="6" t="s">
        <v>1676</v>
      </c>
      <c r="C333" s="6">
        <v>150404</v>
      </c>
      <c r="D333" s="6" t="s">
        <v>94</v>
      </c>
      <c r="E333" s="6" t="s">
        <v>1677</v>
      </c>
      <c r="F333" s="6"/>
      <c r="G333" s="6" t="s">
        <v>1655</v>
      </c>
      <c r="H333" s="6" t="s">
        <v>215</v>
      </c>
      <c r="I333" s="6" t="s">
        <v>31</v>
      </c>
      <c r="J333" s="6" t="s">
        <v>1656</v>
      </c>
      <c r="K333" s="6" t="s">
        <v>1678</v>
      </c>
      <c r="L333" s="6" t="s">
        <v>1658</v>
      </c>
      <c r="M333" s="6" t="s">
        <v>1659</v>
      </c>
      <c r="N333" s="6" t="s">
        <v>1491</v>
      </c>
      <c r="O333" s="6" t="s">
        <v>1660</v>
      </c>
      <c r="P333" s="6"/>
      <c r="Q333" s="8">
        <v>150</v>
      </c>
      <c r="R333" s="8">
        <v>150.44999999999999</v>
      </c>
      <c r="S333" s="8">
        <v>299.89999999999998</v>
      </c>
      <c r="T333" s="8">
        <v>14</v>
      </c>
      <c r="U333" s="8"/>
      <c r="V333" s="8">
        <v>0</v>
      </c>
      <c r="W333" s="12">
        <v>0</v>
      </c>
      <c r="Y333">
        <v>0</v>
      </c>
    </row>
    <row r="334" spans="1:25" ht="40" customHeight="1">
      <c r="A334" s="6" t="s">
        <v>1679</v>
      </c>
      <c r="B334" s="6" t="s">
        <v>1680</v>
      </c>
      <c r="C334" s="6">
        <v>150404</v>
      </c>
      <c r="D334" s="6" t="s">
        <v>1681</v>
      </c>
      <c r="E334" s="6" t="s">
        <v>1682</v>
      </c>
      <c r="F334" s="6"/>
      <c r="G334" s="6" t="s">
        <v>1655</v>
      </c>
      <c r="H334" s="6" t="s">
        <v>215</v>
      </c>
      <c r="I334" s="6" t="s">
        <v>31</v>
      </c>
      <c r="J334" s="6" t="s">
        <v>1656</v>
      </c>
      <c r="K334" s="6" t="s">
        <v>1683</v>
      </c>
      <c r="L334" s="6" t="s">
        <v>1658</v>
      </c>
      <c r="M334" s="6" t="s">
        <v>1659</v>
      </c>
      <c r="N334" s="6" t="s">
        <v>1491</v>
      </c>
      <c r="O334" s="6" t="s">
        <v>1660</v>
      </c>
      <c r="P334" s="6"/>
      <c r="Q334" s="8">
        <v>150</v>
      </c>
      <c r="R334" s="8">
        <v>150.44999999999999</v>
      </c>
      <c r="S334" s="8">
        <v>299.89999999999998</v>
      </c>
      <c r="T334" s="8">
        <v>14</v>
      </c>
      <c r="U334" s="8"/>
      <c r="V334" s="8">
        <v>0</v>
      </c>
      <c r="W334" s="12">
        <v>0</v>
      </c>
      <c r="Y334">
        <v>0</v>
      </c>
    </row>
    <row r="335" spans="1:25" ht="40" customHeight="1">
      <c r="A335" s="6" t="s">
        <v>1684</v>
      </c>
      <c r="B335" s="6" t="s">
        <v>1685</v>
      </c>
      <c r="C335" s="6">
        <v>150404</v>
      </c>
      <c r="D335" s="6" t="s">
        <v>126</v>
      </c>
      <c r="E335" s="6" t="s">
        <v>1686</v>
      </c>
      <c r="F335" s="6"/>
      <c r="G335" s="6" t="s">
        <v>1655</v>
      </c>
      <c r="H335" s="6" t="s">
        <v>215</v>
      </c>
      <c r="I335" s="6" t="s">
        <v>31</v>
      </c>
      <c r="J335" s="6" t="s">
        <v>1656</v>
      </c>
      <c r="K335" s="6" t="s">
        <v>1687</v>
      </c>
      <c r="L335" s="6" t="s">
        <v>1658</v>
      </c>
      <c r="M335" s="6" t="s">
        <v>1659</v>
      </c>
      <c r="N335" s="6" t="s">
        <v>1491</v>
      </c>
      <c r="O335" s="6" t="s">
        <v>1660</v>
      </c>
      <c r="P335" s="6"/>
      <c r="Q335" s="8">
        <v>150</v>
      </c>
      <c r="R335" s="8">
        <v>150.44999999999999</v>
      </c>
      <c r="S335" s="8">
        <v>299.89999999999998</v>
      </c>
      <c r="T335" s="8">
        <v>14</v>
      </c>
      <c r="U335" s="8"/>
      <c r="V335" s="8">
        <v>0</v>
      </c>
      <c r="W335" s="12">
        <v>0</v>
      </c>
      <c r="Y335">
        <v>0</v>
      </c>
    </row>
    <row r="336" spans="1:25" ht="40" customHeight="1">
      <c r="A336" s="6" t="s">
        <v>1688</v>
      </c>
      <c r="B336" s="6" t="s">
        <v>1689</v>
      </c>
      <c r="C336" s="6">
        <v>150404</v>
      </c>
      <c r="D336" s="6" t="s">
        <v>1690</v>
      </c>
      <c r="E336" s="6" t="s">
        <v>1691</v>
      </c>
      <c r="F336" s="6"/>
      <c r="G336" s="6" t="s">
        <v>1655</v>
      </c>
      <c r="H336" s="6" t="s">
        <v>215</v>
      </c>
      <c r="I336" s="6" t="s">
        <v>31</v>
      </c>
      <c r="J336" s="6" t="s">
        <v>1656</v>
      </c>
      <c r="K336" s="6" t="s">
        <v>1692</v>
      </c>
      <c r="L336" s="6" t="s">
        <v>1658</v>
      </c>
      <c r="M336" s="6" t="s">
        <v>1659</v>
      </c>
      <c r="N336" s="6" t="s">
        <v>1491</v>
      </c>
      <c r="O336" s="6" t="s">
        <v>1660</v>
      </c>
      <c r="P336" s="6"/>
      <c r="Q336" s="8">
        <v>150</v>
      </c>
      <c r="R336" s="8">
        <v>150.44999999999999</v>
      </c>
      <c r="S336" s="8">
        <v>299.89999999999998</v>
      </c>
      <c r="T336" s="8">
        <v>14</v>
      </c>
      <c r="U336" s="8"/>
      <c r="V336" s="8">
        <v>0</v>
      </c>
      <c r="W336" s="12">
        <v>0</v>
      </c>
      <c r="Y336">
        <v>0</v>
      </c>
    </row>
    <row r="337" spans="1:25" ht="40" customHeight="1">
      <c r="A337" s="6" t="s">
        <v>1693</v>
      </c>
      <c r="B337" s="6" t="s">
        <v>1694</v>
      </c>
      <c r="C337" s="6">
        <v>150404</v>
      </c>
      <c r="D337" s="6" t="s">
        <v>410</v>
      </c>
      <c r="E337" s="6" t="s">
        <v>1695</v>
      </c>
      <c r="F337" s="6"/>
      <c r="G337" s="6" t="s">
        <v>1655</v>
      </c>
      <c r="H337" s="6" t="s">
        <v>215</v>
      </c>
      <c r="I337" s="6" t="s">
        <v>31</v>
      </c>
      <c r="J337" s="6" t="s">
        <v>1656</v>
      </c>
      <c r="K337" s="6" t="s">
        <v>1696</v>
      </c>
      <c r="L337" s="6" t="s">
        <v>1658</v>
      </c>
      <c r="M337" s="6" t="s">
        <v>1659</v>
      </c>
      <c r="N337" s="6" t="s">
        <v>1491</v>
      </c>
      <c r="O337" s="6" t="s">
        <v>1660</v>
      </c>
      <c r="P337" s="6"/>
      <c r="Q337" s="8">
        <v>150</v>
      </c>
      <c r="R337" s="8">
        <v>150.44999999999999</v>
      </c>
      <c r="S337" s="8">
        <v>299.89999999999998</v>
      </c>
      <c r="T337" s="8">
        <v>14</v>
      </c>
      <c r="U337" s="8"/>
      <c r="V337" s="8">
        <v>0</v>
      </c>
      <c r="W337" s="12">
        <v>0</v>
      </c>
      <c r="Y337">
        <v>0</v>
      </c>
    </row>
    <row r="338" spans="1:25" ht="40" customHeight="1">
      <c r="A338" s="6" t="s">
        <v>1697</v>
      </c>
      <c r="B338" s="8" t="s">
        <v>1698</v>
      </c>
      <c r="C338" s="1" t="s">
        <v>1672</v>
      </c>
      <c r="D338" s="6" t="s">
        <v>1699</v>
      </c>
      <c r="E338" s="1" t="s">
        <v>1700</v>
      </c>
      <c r="F338" s="6" t="s">
        <v>5</v>
      </c>
      <c r="G338" s="6" t="s">
        <v>1655</v>
      </c>
      <c r="H338" s="6" t="s">
        <v>215</v>
      </c>
      <c r="I338" s="6" t="s">
        <v>31</v>
      </c>
      <c r="J338" s="6" t="s">
        <v>1656</v>
      </c>
      <c r="K338" s="6" t="s">
        <v>1701</v>
      </c>
      <c r="L338" s="6" t="s">
        <v>1658</v>
      </c>
      <c r="M338" s="6" t="s">
        <v>1659</v>
      </c>
      <c r="N338" s="6" t="s">
        <v>1491</v>
      </c>
      <c r="O338" s="6" t="s">
        <v>1660</v>
      </c>
      <c r="P338" s="6"/>
      <c r="Q338" s="8">
        <v>150</v>
      </c>
      <c r="R338" s="8">
        <v>150.44999999999999</v>
      </c>
      <c r="S338" s="8">
        <v>299.89999999999998</v>
      </c>
      <c r="T338" s="8">
        <v>14</v>
      </c>
      <c r="U338" s="8"/>
      <c r="V338" s="8">
        <v>0</v>
      </c>
      <c r="W338" s="12">
        <v>0</v>
      </c>
      <c r="Y338">
        <v>0</v>
      </c>
    </row>
    <row r="339" spans="1:25" ht="40" customHeight="1">
      <c r="A339" s="6" t="s">
        <v>1702</v>
      </c>
      <c r="B339" s="6" t="s">
        <v>1703</v>
      </c>
      <c r="C339" s="6">
        <v>150409</v>
      </c>
      <c r="D339" s="6" t="s">
        <v>27</v>
      </c>
      <c r="E339" s="6" t="s">
        <v>1704</v>
      </c>
      <c r="F339" s="6"/>
      <c r="G339" s="6" t="s">
        <v>1655</v>
      </c>
      <c r="H339" s="6" t="s">
        <v>1705</v>
      </c>
      <c r="I339" s="6" t="s">
        <v>31</v>
      </c>
      <c r="J339" s="6" t="s">
        <v>1706</v>
      </c>
      <c r="K339" s="6" t="s">
        <v>1707</v>
      </c>
      <c r="L339" s="6" t="s">
        <v>1708</v>
      </c>
      <c r="M339" s="6" t="s">
        <v>1709</v>
      </c>
      <c r="N339" s="6" t="s">
        <v>1491</v>
      </c>
      <c r="O339" s="6" t="s">
        <v>1710</v>
      </c>
      <c r="P339" s="6"/>
      <c r="Q339" s="8">
        <v>130</v>
      </c>
      <c r="R339" s="8">
        <v>130.38999999999999</v>
      </c>
      <c r="S339" s="8">
        <v>259.89999999999998</v>
      </c>
      <c r="T339" s="8">
        <v>14</v>
      </c>
      <c r="U339" s="8"/>
      <c r="V339" s="8">
        <v>0</v>
      </c>
      <c r="W339" s="12">
        <v>0</v>
      </c>
      <c r="Y339">
        <v>0</v>
      </c>
    </row>
    <row r="340" spans="1:25" ht="40" customHeight="1">
      <c r="A340" s="6" t="s">
        <v>1711</v>
      </c>
      <c r="B340" s="6" t="s">
        <v>1712</v>
      </c>
      <c r="C340" s="6">
        <v>150409</v>
      </c>
      <c r="D340" s="6" t="s">
        <v>279</v>
      </c>
      <c r="E340" s="6" t="s">
        <v>1713</v>
      </c>
      <c r="F340" s="6"/>
      <c r="G340" s="6" t="s">
        <v>1655</v>
      </c>
      <c r="H340" s="6" t="s">
        <v>1705</v>
      </c>
      <c r="I340" s="6" t="s">
        <v>31</v>
      </c>
      <c r="J340" s="6" t="s">
        <v>1706</v>
      </c>
      <c r="K340" s="6" t="s">
        <v>1714</v>
      </c>
      <c r="L340" s="6" t="s">
        <v>1708</v>
      </c>
      <c r="M340" s="6" t="s">
        <v>1709</v>
      </c>
      <c r="N340" s="6" t="s">
        <v>1491</v>
      </c>
      <c r="O340" s="6" t="s">
        <v>1710</v>
      </c>
      <c r="P340" s="6"/>
      <c r="Q340" s="8">
        <v>130</v>
      </c>
      <c r="R340" s="8">
        <v>130.38999999999999</v>
      </c>
      <c r="S340" s="8">
        <v>259.89999999999998</v>
      </c>
      <c r="T340" s="8">
        <v>14</v>
      </c>
      <c r="U340" s="8"/>
      <c r="V340" s="8">
        <v>0</v>
      </c>
      <c r="W340" s="12">
        <v>0</v>
      </c>
      <c r="Y340">
        <v>0</v>
      </c>
    </row>
    <row r="341" spans="1:25" ht="40" customHeight="1">
      <c r="A341" s="6" t="s">
        <v>1715</v>
      </c>
      <c r="B341" s="6" t="s">
        <v>1716</v>
      </c>
      <c r="C341" s="6">
        <v>150409</v>
      </c>
      <c r="D341" s="6" t="s">
        <v>1690</v>
      </c>
      <c r="E341" s="6" t="s">
        <v>1717</v>
      </c>
      <c r="F341" s="6"/>
      <c r="G341" s="6" t="s">
        <v>1655</v>
      </c>
      <c r="H341" s="6" t="s">
        <v>1705</v>
      </c>
      <c r="I341" s="6" t="s">
        <v>31</v>
      </c>
      <c r="J341" s="6" t="s">
        <v>1706</v>
      </c>
      <c r="K341" s="6" t="s">
        <v>1718</v>
      </c>
      <c r="L341" s="6" t="s">
        <v>1708</v>
      </c>
      <c r="M341" s="6" t="s">
        <v>1709</v>
      </c>
      <c r="N341" s="6" t="s">
        <v>1491</v>
      </c>
      <c r="O341" s="6" t="s">
        <v>1710</v>
      </c>
      <c r="P341" s="6"/>
      <c r="Q341" s="8">
        <v>130</v>
      </c>
      <c r="R341" s="8">
        <v>130.38999999999999</v>
      </c>
      <c r="S341" s="8">
        <v>259.89999999999998</v>
      </c>
      <c r="T341" s="8">
        <v>14</v>
      </c>
      <c r="U341" s="8"/>
      <c r="V341" s="8">
        <v>0</v>
      </c>
      <c r="W341" s="12">
        <v>0</v>
      </c>
      <c r="Y341">
        <v>0</v>
      </c>
    </row>
    <row r="342" spans="1:25" ht="40" customHeight="1">
      <c r="A342" s="6" t="s">
        <v>1719</v>
      </c>
      <c r="B342" s="6" t="s">
        <v>1720</v>
      </c>
      <c r="C342" s="6">
        <v>150409</v>
      </c>
      <c r="D342" s="6" t="s">
        <v>1699</v>
      </c>
      <c r="E342" s="6" t="s">
        <v>1721</v>
      </c>
      <c r="F342" s="6"/>
      <c r="G342" s="6" t="s">
        <v>1655</v>
      </c>
      <c r="H342" s="6" t="s">
        <v>1705</v>
      </c>
      <c r="I342" s="6" t="s">
        <v>31</v>
      </c>
      <c r="J342" s="6" t="s">
        <v>1706</v>
      </c>
      <c r="K342" s="6" t="s">
        <v>1722</v>
      </c>
      <c r="L342" s="6" t="s">
        <v>1708</v>
      </c>
      <c r="M342" s="6" t="s">
        <v>1709</v>
      </c>
      <c r="N342" s="6" t="s">
        <v>1491</v>
      </c>
      <c r="O342" s="6" t="s">
        <v>1710</v>
      </c>
      <c r="P342" s="6"/>
      <c r="Q342" s="8">
        <v>130</v>
      </c>
      <c r="R342" s="8">
        <v>130.38999999999999</v>
      </c>
      <c r="S342" s="8">
        <v>259.89999999999998</v>
      </c>
      <c r="T342" s="8">
        <v>14</v>
      </c>
      <c r="U342" s="8"/>
      <c r="V342" s="8">
        <v>0</v>
      </c>
      <c r="W342" s="12">
        <v>0</v>
      </c>
      <c r="Y342">
        <v>0</v>
      </c>
    </row>
    <row r="343" spans="1:25" ht="40" customHeight="1">
      <c r="A343" s="6" t="s">
        <v>1723</v>
      </c>
      <c r="B343" s="6" t="s">
        <v>1724</v>
      </c>
      <c r="C343" s="6">
        <v>150413</v>
      </c>
      <c r="D343" s="6" t="s">
        <v>1614</v>
      </c>
      <c r="E343" s="6" t="s">
        <v>1725</v>
      </c>
      <c r="F343" s="6"/>
      <c r="G343" s="6" t="s">
        <v>1655</v>
      </c>
      <c r="H343" s="6" t="s">
        <v>1726</v>
      </c>
      <c r="I343" s="6" t="s">
        <v>31</v>
      </c>
      <c r="J343" s="6" t="s">
        <v>1727</v>
      </c>
      <c r="K343" s="6" t="s">
        <v>1728</v>
      </c>
      <c r="L343" s="6" t="s">
        <v>1729</v>
      </c>
      <c r="M343" s="6" t="s">
        <v>1730</v>
      </c>
      <c r="N343" s="6" t="s">
        <v>1491</v>
      </c>
      <c r="O343" s="6" t="s">
        <v>1660</v>
      </c>
      <c r="P343" s="6"/>
      <c r="Q343" s="8">
        <v>150</v>
      </c>
      <c r="R343" s="8">
        <v>150.44999999999999</v>
      </c>
      <c r="S343" s="8">
        <v>299.89999999999998</v>
      </c>
      <c r="T343" s="8">
        <v>14</v>
      </c>
      <c r="U343" s="8"/>
      <c r="V343" s="8">
        <v>0</v>
      </c>
      <c r="W343" s="12">
        <v>0</v>
      </c>
      <c r="Y343">
        <v>0</v>
      </c>
    </row>
    <row r="344" spans="1:25" ht="40" customHeight="1">
      <c r="A344" s="6" t="s">
        <v>1731</v>
      </c>
      <c r="B344" s="6" t="s">
        <v>1732</v>
      </c>
      <c r="C344" s="6">
        <v>150413</v>
      </c>
      <c r="D344" s="6" t="s">
        <v>1733</v>
      </c>
      <c r="E344" s="6" t="s">
        <v>1734</v>
      </c>
      <c r="F344" s="6"/>
      <c r="G344" s="6" t="s">
        <v>1655</v>
      </c>
      <c r="H344" s="6" t="s">
        <v>1726</v>
      </c>
      <c r="I344" s="6" t="s">
        <v>31</v>
      </c>
      <c r="J344" s="6" t="s">
        <v>1727</v>
      </c>
      <c r="K344" s="6" t="s">
        <v>1735</v>
      </c>
      <c r="L344" s="6" t="s">
        <v>1729</v>
      </c>
      <c r="M344" s="6" t="s">
        <v>1730</v>
      </c>
      <c r="N344" s="6" t="s">
        <v>1491</v>
      </c>
      <c r="O344" s="6" t="s">
        <v>1660</v>
      </c>
      <c r="P344" s="6"/>
      <c r="Q344" s="8">
        <v>150</v>
      </c>
      <c r="R344" s="8">
        <v>150.44999999999999</v>
      </c>
      <c r="S344" s="8">
        <v>299.89999999999998</v>
      </c>
      <c r="T344" s="8">
        <v>14</v>
      </c>
      <c r="U344" s="8"/>
      <c r="V344" s="8">
        <v>0</v>
      </c>
      <c r="W344" s="12">
        <v>0</v>
      </c>
      <c r="Y344">
        <v>0</v>
      </c>
    </row>
    <row r="345" spans="1:25" ht="40" customHeight="1">
      <c r="A345" s="6" t="s">
        <v>1736</v>
      </c>
      <c r="B345" s="6" t="s">
        <v>1737</v>
      </c>
      <c r="C345" s="6">
        <v>150420</v>
      </c>
      <c r="D345" s="6" t="s">
        <v>27</v>
      </c>
      <c r="E345" s="6" t="s">
        <v>1738</v>
      </c>
      <c r="F345" s="6"/>
      <c r="G345" s="6" t="s">
        <v>1739</v>
      </c>
      <c r="H345" s="6" t="s">
        <v>215</v>
      </c>
      <c r="I345" s="6" t="s">
        <v>31</v>
      </c>
      <c r="J345" s="6" t="s">
        <v>1740</v>
      </c>
      <c r="K345" s="6" t="s">
        <v>1741</v>
      </c>
      <c r="L345" s="6" t="s">
        <v>1742</v>
      </c>
      <c r="M345" s="6" t="s">
        <v>1743</v>
      </c>
      <c r="N345" s="6" t="s">
        <v>1491</v>
      </c>
      <c r="O345" s="6" t="s">
        <v>1744</v>
      </c>
      <c r="P345" s="6"/>
      <c r="Q345" s="8">
        <v>200</v>
      </c>
      <c r="R345" s="8">
        <v>200.6</v>
      </c>
      <c r="S345" s="8">
        <v>399.9</v>
      </c>
      <c r="T345" s="8">
        <v>14</v>
      </c>
      <c r="U345" s="8"/>
      <c r="V345" s="8">
        <v>0</v>
      </c>
      <c r="W345" s="12">
        <v>0</v>
      </c>
      <c r="Y345">
        <v>0</v>
      </c>
    </row>
    <row r="346" spans="1:25" ht="40" customHeight="1">
      <c r="A346" s="6" t="s">
        <v>1745</v>
      </c>
      <c r="B346" s="6" t="s">
        <v>1746</v>
      </c>
      <c r="C346" s="6">
        <v>150420</v>
      </c>
      <c r="D346" s="6" t="s">
        <v>239</v>
      </c>
      <c r="E346" s="6" t="s">
        <v>1747</v>
      </c>
      <c r="F346" s="6"/>
      <c r="G346" s="6" t="s">
        <v>1739</v>
      </c>
      <c r="H346" s="6" t="s">
        <v>215</v>
      </c>
      <c r="I346" s="6" t="s">
        <v>31</v>
      </c>
      <c r="J346" s="6" t="s">
        <v>1740</v>
      </c>
      <c r="K346" s="6" t="s">
        <v>1748</v>
      </c>
      <c r="L346" s="6" t="s">
        <v>1742</v>
      </c>
      <c r="M346" s="6" t="s">
        <v>1743</v>
      </c>
      <c r="N346" s="6" t="s">
        <v>1491</v>
      </c>
      <c r="O346" s="6" t="s">
        <v>1744</v>
      </c>
      <c r="P346" s="6"/>
      <c r="Q346" s="8">
        <v>200</v>
      </c>
      <c r="R346" s="8">
        <v>200.6</v>
      </c>
      <c r="S346" s="8">
        <v>399.9</v>
      </c>
      <c r="T346" s="8">
        <v>14</v>
      </c>
      <c r="U346" s="8"/>
      <c r="V346" s="8">
        <v>0</v>
      </c>
      <c r="W346" s="12">
        <v>0</v>
      </c>
      <c r="Y346">
        <v>0</v>
      </c>
    </row>
    <row r="347" spans="1:25" ht="40" customHeight="1">
      <c r="A347" s="6" t="s">
        <v>1749</v>
      </c>
      <c r="B347" s="6" t="s">
        <v>1750</v>
      </c>
      <c r="C347" s="6">
        <v>150420</v>
      </c>
      <c r="D347" s="6" t="s">
        <v>279</v>
      </c>
      <c r="E347" s="6" t="s">
        <v>1751</v>
      </c>
      <c r="F347" s="6"/>
      <c r="G347" s="6" t="s">
        <v>1739</v>
      </c>
      <c r="H347" s="6" t="s">
        <v>215</v>
      </c>
      <c r="I347" s="6" t="s">
        <v>31</v>
      </c>
      <c r="J347" s="6" t="s">
        <v>1740</v>
      </c>
      <c r="K347" s="6" t="s">
        <v>1752</v>
      </c>
      <c r="L347" s="6" t="s">
        <v>1742</v>
      </c>
      <c r="M347" s="6" t="s">
        <v>1743</v>
      </c>
      <c r="N347" s="6" t="s">
        <v>1491</v>
      </c>
      <c r="O347" s="6" t="s">
        <v>1744</v>
      </c>
      <c r="P347" s="6"/>
      <c r="Q347" s="8">
        <v>200</v>
      </c>
      <c r="R347" s="8">
        <v>200.6</v>
      </c>
      <c r="S347" s="8">
        <v>399.9</v>
      </c>
      <c r="T347" s="8">
        <v>14</v>
      </c>
      <c r="U347" s="8"/>
      <c r="V347" s="8">
        <v>0</v>
      </c>
      <c r="W347" s="12">
        <v>0</v>
      </c>
      <c r="Y347">
        <v>0</v>
      </c>
    </row>
    <row r="348" spans="1:25" ht="40" customHeight="1">
      <c r="A348" s="6" t="s">
        <v>1753</v>
      </c>
      <c r="B348" s="6" t="s">
        <v>1754</v>
      </c>
      <c r="C348" s="6">
        <v>150420</v>
      </c>
      <c r="D348" s="6" t="s">
        <v>1153</v>
      </c>
      <c r="E348" s="6" t="s">
        <v>1755</v>
      </c>
      <c r="F348" s="6"/>
      <c r="G348" s="6" t="s">
        <v>1739</v>
      </c>
      <c r="H348" s="6" t="s">
        <v>215</v>
      </c>
      <c r="I348" s="6" t="s">
        <v>31</v>
      </c>
      <c r="J348" s="6" t="s">
        <v>1740</v>
      </c>
      <c r="K348" s="6" t="s">
        <v>1756</v>
      </c>
      <c r="L348" s="6" t="s">
        <v>1742</v>
      </c>
      <c r="M348" s="6" t="s">
        <v>1743</v>
      </c>
      <c r="N348" s="6" t="s">
        <v>1491</v>
      </c>
      <c r="O348" s="6" t="s">
        <v>1744</v>
      </c>
      <c r="P348" s="6"/>
      <c r="Q348" s="8">
        <v>200</v>
      </c>
      <c r="R348" s="8">
        <v>200.6</v>
      </c>
      <c r="S348" s="8">
        <v>399.9</v>
      </c>
      <c r="T348" s="8">
        <v>14</v>
      </c>
      <c r="U348" s="8"/>
      <c r="V348" s="8">
        <v>0</v>
      </c>
      <c r="W348" s="12">
        <v>0</v>
      </c>
      <c r="Y348">
        <v>0</v>
      </c>
    </row>
    <row r="349" spans="1:25" ht="40" customHeight="1">
      <c r="A349" s="6" t="s">
        <v>1757</v>
      </c>
      <c r="B349" s="6" t="s">
        <v>1758</v>
      </c>
      <c r="C349" s="6">
        <v>150420</v>
      </c>
      <c r="D349" s="6" t="s">
        <v>1759</v>
      </c>
      <c r="E349" s="6" t="s">
        <v>1760</v>
      </c>
      <c r="F349" s="6"/>
      <c r="G349" s="6" t="s">
        <v>1739</v>
      </c>
      <c r="H349" s="6" t="s">
        <v>215</v>
      </c>
      <c r="I349" s="6" t="s">
        <v>31</v>
      </c>
      <c r="J349" s="6" t="s">
        <v>1740</v>
      </c>
      <c r="K349" s="6" t="s">
        <v>1761</v>
      </c>
      <c r="L349" s="6" t="s">
        <v>1742</v>
      </c>
      <c r="M349" s="6" t="s">
        <v>1743</v>
      </c>
      <c r="N349" s="6" t="s">
        <v>1491</v>
      </c>
      <c r="O349" s="6" t="s">
        <v>1744</v>
      </c>
      <c r="P349" s="6"/>
      <c r="Q349" s="8">
        <v>200</v>
      </c>
      <c r="R349" s="8">
        <v>200.6</v>
      </c>
      <c r="S349" s="8">
        <v>399.9</v>
      </c>
      <c r="T349" s="8">
        <v>14</v>
      </c>
      <c r="U349" s="8"/>
      <c r="V349" s="8">
        <v>0</v>
      </c>
      <c r="W349" s="12">
        <v>0</v>
      </c>
      <c r="Y349">
        <v>0</v>
      </c>
    </row>
    <row r="350" spans="1:25" ht="40" customHeight="1">
      <c r="A350" s="6" t="s">
        <v>1762</v>
      </c>
      <c r="B350" s="6" t="s">
        <v>1763</v>
      </c>
      <c r="C350" s="6">
        <v>150420</v>
      </c>
      <c r="D350" s="6" t="s">
        <v>456</v>
      </c>
      <c r="E350" s="6" t="s">
        <v>1764</v>
      </c>
      <c r="F350" s="6"/>
      <c r="G350" s="6" t="s">
        <v>1739</v>
      </c>
      <c r="H350" s="6" t="s">
        <v>215</v>
      </c>
      <c r="I350" s="6" t="s">
        <v>31</v>
      </c>
      <c r="J350" s="6" t="s">
        <v>1740</v>
      </c>
      <c r="K350" s="6" t="s">
        <v>1765</v>
      </c>
      <c r="L350" s="6" t="s">
        <v>1742</v>
      </c>
      <c r="M350" s="6" t="s">
        <v>1743</v>
      </c>
      <c r="N350" s="6" t="s">
        <v>1491</v>
      </c>
      <c r="O350" s="6" t="s">
        <v>1744</v>
      </c>
      <c r="P350" s="6"/>
      <c r="Q350" s="8">
        <v>200</v>
      </c>
      <c r="R350" s="8">
        <v>200.6</v>
      </c>
      <c r="S350" s="8">
        <v>399.9</v>
      </c>
      <c r="T350" s="8">
        <v>14</v>
      </c>
      <c r="U350" s="8"/>
      <c r="V350" s="8">
        <v>0</v>
      </c>
      <c r="W350" s="12">
        <v>0</v>
      </c>
      <c r="Y350">
        <v>0</v>
      </c>
    </row>
    <row r="351" spans="1:25" ht="40" customHeight="1">
      <c r="A351" s="6" t="s">
        <v>1766</v>
      </c>
      <c r="B351" s="6" t="s">
        <v>1767</v>
      </c>
      <c r="C351" s="6" t="s">
        <v>1768</v>
      </c>
      <c r="D351" s="6" t="s">
        <v>27</v>
      </c>
      <c r="E351" s="6" t="s">
        <v>1769</v>
      </c>
      <c r="F351" s="2" t="s">
        <v>5</v>
      </c>
      <c r="G351" s="6" t="s">
        <v>1739</v>
      </c>
      <c r="H351" s="6" t="s">
        <v>215</v>
      </c>
      <c r="I351" s="6" t="s">
        <v>31</v>
      </c>
      <c r="J351" s="6" t="s">
        <v>1740</v>
      </c>
      <c r="K351" s="6" t="s">
        <v>1741</v>
      </c>
      <c r="L351" s="6" t="s">
        <v>1742</v>
      </c>
      <c r="M351" s="6" t="s">
        <v>1743</v>
      </c>
      <c r="N351" s="6" t="s">
        <v>1491</v>
      </c>
      <c r="O351" s="6" t="s">
        <v>1770</v>
      </c>
      <c r="P351" s="6"/>
      <c r="Q351" s="8">
        <v>200</v>
      </c>
      <c r="R351" s="8">
        <v>200.6</v>
      </c>
      <c r="S351" s="8">
        <v>399.9</v>
      </c>
      <c r="T351" s="8">
        <v>14</v>
      </c>
      <c r="U351" s="8"/>
      <c r="V351" s="8">
        <v>0</v>
      </c>
      <c r="W351" s="12">
        <v>0</v>
      </c>
      <c r="Y351">
        <v>0</v>
      </c>
    </row>
    <row r="352" spans="1:25" ht="40" customHeight="1">
      <c r="A352" s="6" t="s">
        <v>1771</v>
      </c>
      <c r="B352" s="6" t="s">
        <v>1772</v>
      </c>
      <c r="C352" s="6">
        <v>150420</v>
      </c>
      <c r="D352" s="6" t="s">
        <v>126</v>
      </c>
      <c r="E352" s="6" t="s">
        <v>1773</v>
      </c>
      <c r="F352" s="6"/>
      <c r="G352" s="6" t="s">
        <v>1739</v>
      </c>
      <c r="H352" s="6" t="s">
        <v>215</v>
      </c>
      <c r="I352" s="6" t="s">
        <v>31</v>
      </c>
      <c r="J352" s="6" t="s">
        <v>1740</v>
      </c>
      <c r="K352" s="6" t="s">
        <v>1651</v>
      </c>
      <c r="L352" s="6" t="s">
        <v>1742</v>
      </c>
      <c r="M352" s="6" t="s">
        <v>1743</v>
      </c>
      <c r="N352" s="6" t="s">
        <v>1491</v>
      </c>
      <c r="O352" s="6" t="s">
        <v>1744</v>
      </c>
      <c r="P352" s="6"/>
      <c r="Q352" s="8">
        <v>200</v>
      </c>
      <c r="R352" s="8">
        <v>200.6</v>
      </c>
      <c r="S352" s="8">
        <v>399.9</v>
      </c>
      <c r="T352" s="8">
        <v>14</v>
      </c>
      <c r="U352" s="8"/>
      <c r="V352" s="8">
        <v>0</v>
      </c>
      <c r="W352" s="12">
        <v>0</v>
      </c>
      <c r="Y352">
        <v>0</v>
      </c>
    </row>
    <row r="353" spans="1:25" ht="40" customHeight="1">
      <c r="A353" s="6" t="s">
        <v>1774</v>
      </c>
      <c r="B353" s="6" t="s">
        <v>1775</v>
      </c>
      <c r="C353" s="6" t="s">
        <v>1768</v>
      </c>
      <c r="D353" s="6" t="s">
        <v>126</v>
      </c>
      <c r="E353" s="6" t="s">
        <v>1776</v>
      </c>
      <c r="F353" s="2" t="s">
        <v>5</v>
      </c>
      <c r="G353" s="6" t="s">
        <v>1739</v>
      </c>
      <c r="H353" s="6" t="s">
        <v>215</v>
      </c>
      <c r="I353" s="6" t="s">
        <v>31</v>
      </c>
      <c r="J353" s="6" t="s">
        <v>1740</v>
      </c>
      <c r="K353" s="6" t="s">
        <v>1651</v>
      </c>
      <c r="L353" s="6" t="s">
        <v>1742</v>
      </c>
      <c r="M353" s="6" t="s">
        <v>1743</v>
      </c>
      <c r="N353" s="6" t="s">
        <v>1491</v>
      </c>
      <c r="O353" s="6" t="s">
        <v>1770</v>
      </c>
      <c r="P353" s="6"/>
      <c r="Q353" s="8">
        <v>200</v>
      </c>
      <c r="R353" s="8">
        <v>200.6</v>
      </c>
      <c r="S353" s="8">
        <v>399.9</v>
      </c>
      <c r="T353" s="8">
        <v>14</v>
      </c>
      <c r="U353" s="8"/>
      <c r="V353" s="8">
        <v>0</v>
      </c>
      <c r="W353" s="12">
        <v>0</v>
      </c>
      <c r="Y353">
        <v>0</v>
      </c>
    </row>
    <row r="354" spans="1:25" ht="40" customHeight="1">
      <c r="A354" s="6" t="s">
        <v>1777</v>
      </c>
      <c r="B354" s="6" t="s">
        <v>1778</v>
      </c>
      <c r="C354" s="6">
        <v>150428</v>
      </c>
      <c r="D354" s="6" t="s">
        <v>147</v>
      </c>
      <c r="E354" s="6" t="s">
        <v>1779</v>
      </c>
      <c r="F354" s="6"/>
      <c r="G354" s="6" t="s">
        <v>1739</v>
      </c>
      <c r="H354" s="6" t="s">
        <v>1780</v>
      </c>
      <c r="I354" s="6" t="s">
        <v>31</v>
      </c>
      <c r="J354" s="6" t="s">
        <v>1781</v>
      </c>
      <c r="K354" s="6" t="s">
        <v>1782</v>
      </c>
      <c r="L354" s="6" t="s">
        <v>1783</v>
      </c>
      <c r="M354" s="6" t="s">
        <v>1784</v>
      </c>
      <c r="N354" s="6" t="s">
        <v>1491</v>
      </c>
      <c r="O354" s="6" t="s">
        <v>1785</v>
      </c>
      <c r="P354" s="6"/>
      <c r="Q354" s="8">
        <v>200</v>
      </c>
      <c r="R354" s="8">
        <v>200.6</v>
      </c>
      <c r="S354" s="8">
        <v>399.9</v>
      </c>
      <c r="T354" s="8">
        <v>14</v>
      </c>
      <c r="U354" s="8"/>
      <c r="V354" s="8">
        <v>0</v>
      </c>
      <c r="W354" s="12">
        <v>0</v>
      </c>
      <c r="Y354">
        <v>0</v>
      </c>
    </row>
    <row r="355" spans="1:25" ht="40" customHeight="1">
      <c r="A355" s="6" t="s">
        <v>1786</v>
      </c>
      <c r="B355" s="6" t="s">
        <v>1787</v>
      </c>
      <c r="C355" s="6">
        <v>150428</v>
      </c>
      <c r="D355" s="6" t="s">
        <v>1788</v>
      </c>
      <c r="E355" s="6" t="s">
        <v>1789</v>
      </c>
      <c r="F355" s="6"/>
      <c r="G355" s="6" t="s">
        <v>1739</v>
      </c>
      <c r="H355" s="6" t="s">
        <v>1780</v>
      </c>
      <c r="I355" s="6" t="s">
        <v>31</v>
      </c>
      <c r="J355" s="6" t="s">
        <v>1781</v>
      </c>
      <c r="K355" s="8"/>
      <c r="L355" s="8"/>
      <c r="M355" s="8"/>
      <c r="N355" s="8"/>
      <c r="O355" s="8"/>
      <c r="P355" s="8"/>
      <c r="Q355" s="8">
        <v>200</v>
      </c>
      <c r="R355" s="8">
        <v>200.6</v>
      </c>
      <c r="S355" s="8">
        <v>399.9</v>
      </c>
      <c r="T355" s="8">
        <v>14</v>
      </c>
      <c r="U355" s="8"/>
      <c r="V355" s="8">
        <v>0</v>
      </c>
      <c r="W355" s="12">
        <v>0</v>
      </c>
      <c r="Y355">
        <v>0</v>
      </c>
    </row>
    <row r="356" spans="1:25" ht="40" customHeight="1">
      <c r="A356" s="6" t="s">
        <v>1790</v>
      </c>
      <c r="B356" s="6" t="s">
        <v>1791</v>
      </c>
      <c r="C356" s="6">
        <v>150428</v>
      </c>
      <c r="D356" s="6" t="s">
        <v>1792</v>
      </c>
      <c r="E356" s="6" t="s">
        <v>1793</v>
      </c>
      <c r="F356" s="6"/>
      <c r="G356" s="6" t="s">
        <v>1739</v>
      </c>
      <c r="H356" s="6" t="s">
        <v>1780</v>
      </c>
      <c r="I356" s="6" t="s">
        <v>31</v>
      </c>
      <c r="J356" s="6" t="s">
        <v>1781</v>
      </c>
      <c r="K356" s="6" t="s">
        <v>1794</v>
      </c>
      <c r="L356" s="6" t="s">
        <v>1783</v>
      </c>
      <c r="M356" s="6" t="s">
        <v>1784</v>
      </c>
      <c r="N356" s="6" t="s">
        <v>1491</v>
      </c>
      <c r="O356" s="6" t="s">
        <v>1785</v>
      </c>
      <c r="P356" s="6"/>
      <c r="Q356" s="8">
        <v>200</v>
      </c>
      <c r="R356" s="8">
        <v>200.6</v>
      </c>
      <c r="S356" s="8">
        <v>399.9</v>
      </c>
      <c r="T356" s="8">
        <v>14</v>
      </c>
      <c r="U356" s="8"/>
      <c r="V356" s="8">
        <v>0</v>
      </c>
      <c r="W356" s="12">
        <v>0</v>
      </c>
      <c r="Y356">
        <v>0</v>
      </c>
    </row>
    <row r="357" spans="1:25" ht="40" customHeight="1">
      <c r="A357" s="6" t="s">
        <v>1795</v>
      </c>
      <c r="B357" s="6" t="s">
        <v>1796</v>
      </c>
      <c r="C357" s="6">
        <v>150428</v>
      </c>
      <c r="D357" s="6" t="s">
        <v>1231</v>
      </c>
      <c r="E357" s="6" t="s">
        <v>1797</v>
      </c>
      <c r="F357" s="6"/>
      <c r="G357" s="6" t="s">
        <v>1739</v>
      </c>
      <c r="H357" s="6" t="s">
        <v>1780</v>
      </c>
      <c r="I357" s="6" t="s">
        <v>31</v>
      </c>
      <c r="J357" s="6" t="s">
        <v>1781</v>
      </c>
      <c r="K357" s="6" t="s">
        <v>1798</v>
      </c>
      <c r="L357" s="6" t="s">
        <v>1783</v>
      </c>
      <c r="M357" s="6" t="s">
        <v>1784</v>
      </c>
      <c r="N357" s="6" t="s">
        <v>1491</v>
      </c>
      <c r="O357" s="6" t="s">
        <v>1785</v>
      </c>
      <c r="P357" s="6"/>
      <c r="Q357" s="8">
        <v>200</v>
      </c>
      <c r="R357" s="8">
        <v>200.6</v>
      </c>
      <c r="S357" s="8">
        <v>399.9</v>
      </c>
      <c r="T357" s="8">
        <v>14</v>
      </c>
      <c r="U357" s="8"/>
      <c r="V357" s="8">
        <v>0</v>
      </c>
      <c r="W357" s="12">
        <v>0</v>
      </c>
      <c r="Y357">
        <v>0</v>
      </c>
    </row>
    <row r="358" spans="1:25" ht="40" customHeight="1">
      <c r="A358" s="6" t="s">
        <v>1799</v>
      </c>
      <c r="B358" s="6" t="s">
        <v>1800</v>
      </c>
      <c r="C358" s="6">
        <v>150437</v>
      </c>
      <c r="D358" s="6" t="s">
        <v>64</v>
      </c>
      <c r="E358" s="6" t="s">
        <v>1801</v>
      </c>
      <c r="F358" s="6"/>
      <c r="G358" s="6" t="s">
        <v>1739</v>
      </c>
      <c r="H358" s="6" t="s">
        <v>1802</v>
      </c>
      <c r="I358" s="6" t="s">
        <v>31</v>
      </c>
      <c r="J358" s="6" t="s">
        <v>1803</v>
      </c>
      <c r="K358" s="6" t="s">
        <v>1517</v>
      </c>
      <c r="L358" s="6" t="s">
        <v>1804</v>
      </c>
      <c r="M358" s="6" t="s">
        <v>1805</v>
      </c>
      <c r="N358" s="6" t="s">
        <v>1491</v>
      </c>
      <c r="O358" s="6" t="s">
        <v>1806</v>
      </c>
      <c r="P358" s="6"/>
      <c r="Q358" s="8">
        <v>175</v>
      </c>
      <c r="R358" s="8">
        <v>175.52500000000001</v>
      </c>
      <c r="S358" s="8">
        <v>349.9</v>
      </c>
      <c r="T358" s="8">
        <v>14</v>
      </c>
      <c r="U358" s="8"/>
      <c r="V358" s="8">
        <v>0</v>
      </c>
      <c r="W358" s="12">
        <v>0</v>
      </c>
      <c r="Y358">
        <v>0</v>
      </c>
    </row>
    <row r="359" spans="1:25" ht="40" customHeight="1">
      <c r="A359" s="6" t="s">
        <v>1807</v>
      </c>
      <c r="B359" s="6" t="s">
        <v>1808</v>
      </c>
      <c r="C359" s="6">
        <v>150437</v>
      </c>
      <c r="D359" s="6" t="s">
        <v>1809</v>
      </c>
      <c r="E359" s="6" t="s">
        <v>1810</v>
      </c>
      <c r="F359" s="6"/>
      <c r="G359" s="6" t="s">
        <v>1739</v>
      </c>
      <c r="H359" s="6" t="s">
        <v>1802</v>
      </c>
      <c r="I359" s="6" t="s">
        <v>31</v>
      </c>
      <c r="J359" s="6" t="s">
        <v>1803</v>
      </c>
      <c r="K359" s="6" t="s">
        <v>1811</v>
      </c>
      <c r="L359" s="6" t="s">
        <v>1804</v>
      </c>
      <c r="M359" s="6" t="s">
        <v>1805</v>
      </c>
      <c r="N359" s="6" t="s">
        <v>1491</v>
      </c>
      <c r="O359" s="6" t="s">
        <v>1806</v>
      </c>
      <c r="P359" s="6"/>
      <c r="Q359" s="8">
        <v>175</v>
      </c>
      <c r="R359" s="8">
        <v>175.52500000000001</v>
      </c>
      <c r="S359" s="8">
        <v>349.9</v>
      </c>
      <c r="T359" s="8">
        <v>14</v>
      </c>
      <c r="U359" s="8"/>
      <c r="V359" s="8">
        <v>0</v>
      </c>
      <c r="W359" s="12">
        <v>0</v>
      </c>
      <c r="Y359">
        <v>0</v>
      </c>
    </row>
    <row r="360" spans="1:25" ht="40" customHeight="1">
      <c r="A360" s="6" t="s">
        <v>1812</v>
      </c>
      <c r="B360" s="6" t="s">
        <v>1813</v>
      </c>
      <c r="C360" s="6">
        <v>150437</v>
      </c>
      <c r="D360" s="6" t="s">
        <v>45</v>
      </c>
      <c r="E360" s="6" t="s">
        <v>1814</v>
      </c>
      <c r="F360" s="6"/>
      <c r="G360" s="6" t="s">
        <v>1739</v>
      </c>
      <c r="H360" s="6" t="s">
        <v>1802</v>
      </c>
      <c r="I360" s="6" t="s">
        <v>31</v>
      </c>
      <c r="J360" s="6" t="s">
        <v>1803</v>
      </c>
      <c r="K360" s="6" t="s">
        <v>1815</v>
      </c>
      <c r="L360" s="6" t="s">
        <v>1804</v>
      </c>
      <c r="M360" s="6" t="s">
        <v>1805</v>
      </c>
      <c r="N360" s="6" t="s">
        <v>1491</v>
      </c>
      <c r="O360" s="6" t="s">
        <v>1806</v>
      </c>
      <c r="P360" s="6"/>
      <c r="Q360" s="8">
        <v>175</v>
      </c>
      <c r="R360" s="8">
        <v>175.52500000000001</v>
      </c>
      <c r="S360" s="8">
        <v>349.9</v>
      </c>
      <c r="T360" s="8">
        <v>14</v>
      </c>
      <c r="U360" s="8"/>
      <c r="V360" s="8">
        <v>0</v>
      </c>
      <c r="W360" s="12">
        <v>0</v>
      </c>
      <c r="Y360">
        <v>0</v>
      </c>
    </row>
    <row r="361" spans="1:25" ht="40" customHeight="1">
      <c r="A361" s="6" t="s">
        <v>1816</v>
      </c>
      <c r="B361" s="6" t="s">
        <v>1817</v>
      </c>
      <c r="C361" s="6">
        <v>150437</v>
      </c>
      <c r="D361" s="6" t="s">
        <v>94</v>
      </c>
      <c r="E361" s="6" t="s">
        <v>1818</v>
      </c>
      <c r="F361" s="6"/>
      <c r="G361" s="6" t="s">
        <v>1739</v>
      </c>
      <c r="H361" s="6" t="s">
        <v>1802</v>
      </c>
      <c r="I361" s="6" t="s">
        <v>31</v>
      </c>
      <c r="J361" s="6" t="s">
        <v>1803</v>
      </c>
      <c r="K361" s="6" t="s">
        <v>1819</v>
      </c>
      <c r="L361" s="6" t="s">
        <v>1804</v>
      </c>
      <c r="M361" s="6" t="s">
        <v>1805</v>
      </c>
      <c r="N361" s="6" t="s">
        <v>1491</v>
      </c>
      <c r="O361" s="6" t="s">
        <v>1806</v>
      </c>
      <c r="P361" s="6"/>
      <c r="Q361" s="8">
        <v>175</v>
      </c>
      <c r="R361" s="8">
        <v>175.52500000000001</v>
      </c>
      <c r="S361" s="8">
        <v>349.9</v>
      </c>
      <c r="T361" s="8">
        <v>14</v>
      </c>
      <c r="U361" s="8"/>
      <c r="V361" s="8">
        <v>0</v>
      </c>
      <c r="W361" s="12">
        <v>0</v>
      </c>
      <c r="Y361">
        <v>0</v>
      </c>
    </row>
    <row r="362" spans="1:25" ht="40" customHeight="1">
      <c r="A362" s="6" t="s">
        <v>1820</v>
      </c>
      <c r="B362" s="6" t="s">
        <v>1821</v>
      </c>
      <c r="C362" s="6">
        <v>150510</v>
      </c>
      <c r="D362" s="6" t="s">
        <v>27</v>
      </c>
      <c r="E362" s="6" t="s">
        <v>1822</v>
      </c>
      <c r="F362" s="6"/>
      <c r="G362" s="6" t="s">
        <v>1823</v>
      </c>
      <c r="H362" s="6" t="s">
        <v>215</v>
      </c>
      <c r="I362" s="6" t="s">
        <v>31</v>
      </c>
      <c r="J362" s="6" t="s">
        <v>1824</v>
      </c>
      <c r="K362" s="6" t="s">
        <v>1825</v>
      </c>
      <c r="L362" s="6" t="s">
        <v>1742</v>
      </c>
      <c r="M362" s="6" t="s">
        <v>1826</v>
      </c>
      <c r="N362" s="6" t="s">
        <v>1491</v>
      </c>
      <c r="O362" s="6" t="s">
        <v>1827</v>
      </c>
      <c r="P362" s="6"/>
      <c r="Q362" s="8">
        <v>225</v>
      </c>
      <c r="R362" s="8">
        <v>225.67500000000001</v>
      </c>
      <c r="S362" s="8">
        <v>449.9</v>
      </c>
      <c r="T362" s="8">
        <v>14</v>
      </c>
      <c r="U362" s="8"/>
      <c r="V362" s="8">
        <v>0</v>
      </c>
      <c r="W362" s="12">
        <v>0</v>
      </c>
      <c r="Y362">
        <v>0</v>
      </c>
    </row>
    <row r="363" spans="1:25" ht="40" customHeight="1">
      <c r="A363" s="6" t="s">
        <v>1828</v>
      </c>
      <c r="B363" s="6" t="s">
        <v>1829</v>
      </c>
      <c r="C363" s="6">
        <v>150510</v>
      </c>
      <c r="D363" s="6" t="s">
        <v>142</v>
      </c>
      <c r="E363" s="6" t="s">
        <v>1830</v>
      </c>
      <c r="F363" s="6"/>
      <c r="G363" s="6" t="s">
        <v>1823</v>
      </c>
      <c r="H363" s="6" t="s">
        <v>215</v>
      </c>
      <c r="I363" s="6" t="s">
        <v>31</v>
      </c>
      <c r="J363" s="6" t="s">
        <v>1824</v>
      </c>
      <c r="K363" s="6" t="s">
        <v>1831</v>
      </c>
      <c r="L363" s="6" t="s">
        <v>1742</v>
      </c>
      <c r="M363" s="6" t="s">
        <v>1826</v>
      </c>
      <c r="N363" s="6" t="s">
        <v>1491</v>
      </c>
      <c r="O363" s="6" t="s">
        <v>1827</v>
      </c>
      <c r="P363" s="6"/>
      <c r="Q363" s="8">
        <v>225</v>
      </c>
      <c r="R363" s="8">
        <v>225.67500000000001</v>
      </c>
      <c r="S363" s="8">
        <v>449.9</v>
      </c>
      <c r="T363" s="8">
        <v>14</v>
      </c>
      <c r="U363" s="8"/>
      <c r="V363" s="8">
        <v>0</v>
      </c>
      <c r="W363" s="12">
        <v>0</v>
      </c>
      <c r="Y363">
        <v>0</v>
      </c>
    </row>
    <row r="364" spans="1:25" ht="40" customHeight="1">
      <c r="A364" s="6" t="s">
        <v>1832</v>
      </c>
      <c r="B364" s="6" t="s">
        <v>1833</v>
      </c>
      <c r="C364" s="6">
        <v>150510</v>
      </c>
      <c r="D364" s="6" t="s">
        <v>1092</v>
      </c>
      <c r="E364" s="6" t="s">
        <v>1834</v>
      </c>
      <c r="F364" s="6"/>
      <c r="G364" s="6" t="s">
        <v>1823</v>
      </c>
      <c r="H364" s="6" t="s">
        <v>215</v>
      </c>
      <c r="I364" s="6" t="s">
        <v>31</v>
      </c>
      <c r="J364" s="6" t="s">
        <v>1824</v>
      </c>
      <c r="K364" s="6" t="s">
        <v>1835</v>
      </c>
      <c r="L364" s="6" t="s">
        <v>1742</v>
      </c>
      <c r="M364" s="6" t="s">
        <v>1826</v>
      </c>
      <c r="N364" s="6" t="s">
        <v>1491</v>
      </c>
      <c r="O364" s="6" t="s">
        <v>1827</v>
      </c>
      <c r="P364" s="6"/>
      <c r="Q364" s="8">
        <v>225</v>
      </c>
      <c r="R364" s="8">
        <v>225.67500000000001</v>
      </c>
      <c r="S364" s="8">
        <v>449.9</v>
      </c>
      <c r="T364" s="8">
        <v>14</v>
      </c>
      <c r="U364" s="8"/>
      <c r="V364" s="8">
        <v>0</v>
      </c>
      <c r="W364" s="12">
        <v>0</v>
      </c>
      <c r="Y364">
        <v>0</v>
      </c>
    </row>
    <row r="365" spans="1:25" ht="40" customHeight="1">
      <c r="A365" s="6" t="s">
        <v>1836</v>
      </c>
      <c r="B365" s="6" t="s">
        <v>1837</v>
      </c>
      <c r="C365" s="6">
        <v>150510</v>
      </c>
      <c r="D365" s="6" t="s">
        <v>333</v>
      </c>
      <c r="E365" s="6" t="s">
        <v>1838</v>
      </c>
      <c r="F365" s="6"/>
      <c r="G365" s="6" t="s">
        <v>1823</v>
      </c>
      <c r="H365" s="6" t="s">
        <v>215</v>
      </c>
      <c r="I365" s="6" t="s">
        <v>31</v>
      </c>
      <c r="J365" s="6" t="s">
        <v>1824</v>
      </c>
      <c r="K365" s="6" t="s">
        <v>1839</v>
      </c>
      <c r="L365" s="6" t="s">
        <v>1742</v>
      </c>
      <c r="M365" s="6" t="s">
        <v>1826</v>
      </c>
      <c r="N365" s="6" t="s">
        <v>1491</v>
      </c>
      <c r="O365" s="6" t="s">
        <v>1827</v>
      </c>
      <c r="P365" s="6"/>
      <c r="Q365" s="8">
        <v>225</v>
      </c>
      <c r="R365" s="8">
        <v>225.67500000000001</v>
      </c>
      <c r="S365" s="8">
        <v>449.9</v>
      </c>
      <c r="T365" s="8">
        <v>14</v>
      </c>
      <c r="U365" s="8"/>
      <c r="V365" s="8">
        <v>0</v>
      </c>
      <c r="W365" s="12">
        <v>0</v>
      </c>
      <c r="Y365">
        <v>0</v>
      </c>
    </row>
    <row r="366" spans="1:25" ht="40" customHeight="1">
      <c r="A366" s="6" t="s">
        <v>1840</v>
      </c>
      <c r="B366" s="6" t="s">
        <v>1841</v>
      </c>
      <c r="C366" s="6">
        <v>150510</v>
      </c>
      <c r="D366" s="6" t="s">
        <v>1842</v>
      </c>
      <c r="E366" s="6" t="s">
        <v>1843</v>
      </c>
      <c r="F366" s="6"/>
      <c r="G366" s="6" t="s">
        <v>1823</v>
      </c>
      <c r="H366" s="6" t="s">
        <v>215</v>
      </c>
      <c r="I366" s="6" t="s">
        <v>31</v>
      </c>
      <c r="J366" s="6" t="s">
        <v>1824</v>
      </c>
      <c r="K366" s="6" t="s">
        <v>1844</v>
      </c>
      <c r="L366" s="6" t="s">
        <v>1742</v>
      </c>
      <c r="M366" s="6" t="s">
        <v>1826</v>
      </c>
      <c r="N366" s="6" t="s">
        <v>1491</v>
      </c>
      <c r="O366" s="6" t="s">
        <v>1827</v>
      </c>
      <c r="P366" s="6"/>
      <c r="Q366" s="8">
        <v>225</v>
      </c>
      <c r="R366" s="8">
        <v>225.67500000000001</v>
      </c>
      <c r="S366" s="8">
        <v>449.9</v>
      </c>
      <c r="T366" s="8">
        <v>14</v>
      </c>
      <c r="U366" s="8"/>
      <c r="V366" s="8">
        <v>0</v>
      </c>
      <c r="W366" s="12">
        <v>0</v>
      </c>
      <c r="Y366">
        <v>0</v>
      </c>
    </row>
    <row r="367" spans="1:25" ht="40" customHeight="1">
      <c r="A367" s="6" t="s">
        <v>1845</v>
      </c>
      <c r="B367" s="6" t="s">
        <v>1846</v>
      </c>
      <c r="C367" s="6">
        <v>150510</v>
      </c>
      <c r="D367" s="6" t="s">
        <v>126</v>
      </c>
      <c r="E367" s="6" t="s">
        <v>1847</v>
      </c>
      <c r="F367" s="6"/>
      <c r="G367" s="6" t="s">
        <v>1823</v>
      </c>
      <c r="H367" s="6" t="s">
        <v>215</v>
      </c>
      <c r="I367" s="6" t="s">
        <v>31</v>
      </c>
      <c r="J367" s="6" t="s">
        <v>1824</v>
      </c>
      <c r="K367" s="6" t="s">
        <v>1848</v>
      </c>
      <c r="L367" s="6" t="s">
        <v>1742</v>
      </c>
      <c r="M367" s="6" t="s">
        <v>1826</v>
      </c>
      <c r="N367" s="6" t="s">
        <v>1491</v>
      </c>
      <c r="O367" s="6" t="s">
        <v>1827</v>
      </c>
      <c r="P367" s="6"/>
      <c r="Q367" s="8">
        <v>225</v>
      </c>
      <c r="R367" s="8">
        <v>225.67500000000001</v>
      </c>
      <c r="S367" s="8">
        <v>449.9</v>
      </c>
      <c r="T367" s="8">
        <v>14</v>
      </c>
      <c r="U367" s="8"/>
      <c r="V367" s="8">
        <v>0</v>
      </c>
      <c r="W367" s="12">
        <v>0</v>
      </c>
      <c r="Y367">
        <v>0</v>
      </c>
    </row>
    <row r="368" spans="1:25" ht="40" customHeight="1">
      <c r="A368" s="6" t="s">
        <v>1849</v>
      </c>
      <c r="B368" s="6" t="s">
        <v>1850</v>
      </c>
      <c r="C368" s="6">
        <v>150572</v>
      </c>
      <c r="D368" s="6" t="s">
        <v>27</v>
      </c>
      <c r="E368" s="6" t="s">
        <v>1851</v>
      </c>
      <c r="F368" s="6"/>
      <c r="G368" s="6" t="s">
        <v>1852</v>
      </c>
      <c r="H368" s="6" t="s">
        <v>215</v>
      </c>
      <c r="I368" s="6" t="s">
        <v>31</v>
      </c>
      <c r="J368" s="6" t="s">
        <v>1853</v>
      </c>
      <c r="K368" s="6" t="s">
        <v>1854</v>
      </c>
      <c r="L368" s="6" t="s">
        <v>1855</v>
      </c>
      <c r="M368" s="6" t="s">
        <v>1856</v>
      </c>
      <c r="N368" s="6" t="s">
        <v>1491</v>
      </c>
      <c r="O368" s="6" t="s">
        <v>1857</v>
      </c>
      <c r="P368" s="6"/>
      <c r="Q368" s="8">
        <v>140</v>
      </c>
      <c r="R368" s="8">
        <v>140.41999999999999</v>
      </c>
      <c r="S368" s="8">
        <v>279.89999999999998</v>
      </c>
      <c r="T368" s="8">
        <v>14</v>
      </c>
      <c r="U368" s="8"/>
      <c r="V368" s="8">
        <v>0</v>
      </c>
      <c r="W368" s="12">
        <v>0</v>
      </c>
      <c r="Y368">
        <v>0</v>
      </c>
    </row>
    <row r="369" spans="1:25" ht="40" customHeight="1">
      <c r="A369" s="6" t="s">
        <v>1858</v>
      </c>
      <c r="B369" s="6" t="s">
        <v>1859</v>
      </c>
      <c r="C369" s="6">
        <v>150572</v>
      </c>
      <c r="D369" s="6" t="s">
        <v>64</v>
      </c>
      <c r="E369" s="6" t="s">
        <v>1860</v>
      </c>
      <c r="F369" s="6"/>
      <c r="G369" s="6" t="s">
        <v>1852</v>
      </c>
      <c r="H369" s="6" t="s">
        <v>215</v>
      </c>
      <c r="I369" s="6" t="s">
        <v>31</v>
      </c>
      <c r="J369" s="6" t="s">
        <v>1853</v>
      </c>
      <c r="K369" s="6" t="s">
        <v>1517</v>
      </c>
      <c r="L369" s="6" t="s">
        <v>1855</v>
      </c>
      <c r="M369" s="6" t="s">
        <v>1856</v>
      </c>
      <c r="N369" s="6" t="s">
        <v>1491</v>
      </c>
      <c r="O369" s="6" t="s">
        <v>1857</v>
      </c>
      <c r="P369" s="6"/>
      <c r="Q369" s="8">
        <v>140</v>
      </c>
      <c r="R369" s="8">
        <v>140.41999999999999</v>
      </c>
      <c r="S369" s="8">
        <v>279.89999999999998</v>
      </c>
      <c r="T369" s="8">
        <v>14</v>
      </c>
      <c r="U369" s="8"/>
      <c r="V369" s="8">
        <v>0</v>
      </c>
      <c r="W369" s="12">
        <v>0</v>
      </c>
      <c r="Y369">
        <v>0</v>
      </c>
    </row>
    <row r="370" spans="1:25" ht="40" customHeight="1">
      <c r="A370" s="6" t="s">
        <v>1861</v>
      </c>
      <c r="B370" s="6" t="s">
        <v>1862</v>
      </c>
      <c r="C370" s="6">
        <v>150572</v>
      </c>
      <c r="D370" s="6" t="s">
        <v>357</v>
      </c>
      <c r="E370" s="6" t="s">
        <v>1863</v>
      </c>
      <c r="F370" s="6"/>
      <c r="G370" s="6" t="s">
        <v>1852</v>
      </c>
      <c r="H370" s="6" t="s">
        <v>215</v>
      </c>
      <c r="I370" s="6" t="s">
        <v>31</v>
      </c>
      <c r="J370" s="6" t="s">
        <v>1853</v>
      </c>
      <c r="K370" s="6" t="s">
        <v>1864</v>
      </c>
      <c r="L370" s="6" t="s">
        <v>1855</v>
      </c>
      <c r="M370" s="6" t="s">
        <v>1856</v>
      </c>
      <c r="N370" s="6" t="s">
        <v>1491</v>
      </c>
      <c r="O370" s="6" t="s">
        <v>1857</v>
      </c>
      <c r="P370" s="6"/>
      <c r="Q370" s="8">
        <v>140</v>
      </c>
      <c r="R370" s="8">
        <v>140.41999999999999</v>
      </c>
      <c r="S370" s="8">
        <v>279.89999999999998</v>
      </c>
      <c r="T370" s="8">
        <v>14</v>
      </c>
      <c r="U370" s="8"/>
      <c r="V370" s="8">
        <v>0</v>
      </c>
      <c r="W370" s="12">
        <v>0</v>
      </c>
      <c r="Y370">
        <v>0</v>
      </c>
    </row>
    <row r="371" spans="1:25" ht="40" customHeight="1">
      <c r="A371" s="6" t="s">
        <v>1865</v>
      </c>
      <c r="B371" s="6" t="s">
        <v>1866</v>
      </c>
      <c r="C371" s="6">
        <v>150572</v>
      </c>
      <c r="D371" s="6" t="s">
        <v>659</v>
      </c>
      <c r="E371" s="6" t="s">
        <v>1867</v>
      </c>
      <c r="F371" s="6"/>
      <c r="G371" s="6" t="s">
        <v>1852</v>
      </c>
      <c r="H371" s="6" t="s">
        <v>215</v>
      </c>
      <c r="I371" s="6" t="s">
        <v>31</v>
      </c>
      <c r="J371" s="6" t="s">
        <v>1853</v>
      </c>
      <c r="K371" s="6" t="s">
        <v>1651</v>
      </c>
      <c r="L371" s="6" t="s">
        <v>1855</v>
      </c>
      <c r="M371" s="6" t="s">
        <v>1856</v>
      </c>
      <c r="N371" s="6" t="s">
        <v>1491</v>
      </c>
      <c r="O371" s="6" t="s">
        <v>1857</v>
      </c>
      <c r="P371" s="6"/>
      <c r="Q371" s="8">
        <v>140</v>
      </c>
      <c r="R371" s="8">
        <v>140.41999999999999</v>
      </c>
      <c r="S371" s="8">
        <v>279.89999999999998</v>
      </c>
      <c r="T371" s="8">
        <v>14</v>
      </c>
      <c r="U371" s="8"/>
      <c r="V371" s="8">
        <v>0</v>
      </c>
      <c r="W371" s="12">
        <v>0</v>
      </c>
      <c r="Y371">
        <v>0</v>
      </c>
    </row>
    <row r="372" spans="1:25" ht="40" customHeight="1">
      <c r="A372" s="6" t="s">
        <v>1868</v>
      </c>
      <c r="B372" s="6" t="s">
        <v>1869</v>
      </c>
      <c r="C372" s="6">
        <v>150627</v>
      </c>
      <c r="D372" s="6" t="s">
        <v>27</v>
      </c>
      <c r="E372" s="6" t="s">
        <v>1870</v>
      </c>
      <c r="F372" s="6"/>
      <c r="G372" s="6" t="s">
        <v>1871</v>
      </c>
      <c r="H372" s="6" t="s">
        <v>1872</v>
      </c>
      <c r="I372" s="6" t="s">
        <v>31</v>
      </c>
      <c r="J372" s="6" t="s">
        <v>1873</v>
      </c>
      <c r="K372" s="6" t="s">
        <v>1854</v>
      </c>
      <c r="L372" s="6" t="s">
        <v>54</v>
      </c>
      <c r="M372" s="6" t="s">
        <v>54</v>
      </c>
      <c r="N372" s="6" t="s">
        <v>1491</v>
      </c>
      <c r="O372" s="6" t="s">
        <v>1874</v>
      </c>
      <c r="P372" s="6"/>
      <c r="Q372" s="8">
        <v>130</v>
      </c>
      <c r="R372" s="8">
        <v>130.38999999999999</v>
      </c>
      <c r="S372" s="8">
        <v>259.89999999999998</v>
      </c>
      <c r="T372" s="8">
        <v>14</v>
      </c>
      <c r="U372" s="8"/>
      <c r="V372" s="8">
        <v>0</v>
      </c>
      <c r="W372" s="12">
        <v>0</v>
      </c>
      <c r="Y372">
        <v>0</v>
      </c>
    </row>
    <row r="373" spans="1:25" ht="40" customHeight="1">
      <c r="A373" s="6" t="s">
        <v>1875</v>
      </c>
      <c r="B373" s="6" t="s">
        <v>1876</v>
      </c>
      <c r="C373" s="6">
        <v>150627</v>
      </c>
      <c r="D373" s="6" t="s">
        <v>64</v>
      </c>
      <c r="E373" s="6" t="s">
        <v>1877</v>
      </c>
      <c r="F373" s="6"/>
      <c r="G373" s="6" t="s">
        <v>1871</v>
      </c>
      <c r="H373" s="6" t="s">
        <v>1872</v>
      </c>
      <c r="I373" s="6" t="s">
        <v>31</v>
      </c>
      <c r="J373" s="6" t="s">
        <v>1873</v>
      </c>
      <c r="K373" s="6" t="s">
        <v>1517</v>
      </c>
      <c r="L373" s="6" t="s">
        <v>54</v>
      </c>
      <c r="M373" s="6" t="s">
        <v>54</v>
      </c>
      <c r="N373" s="6" t="s">
        <v>1491</v>
      </c>
      <c r="O373" s="6" t="s">
        <v>1874</v>
      </c>
      <c r="P373" s="6"/>
      <c r="Q373" s="8">
        <v>130</v>
      </c>
      <c r="R373" s="8">
        <v>130.38999999999999</v>
      </c>
      <c r="S373" s="8">
        <v>259.89999999999998</v>
      </c>
      <c r="T373" s="8">
        <v>14</v>
      </c>
      <c r="U373" s="8"/>
      <c r="V373" s="8">
        <v>0</v>
      </c>
      <c r="W373" s="12">
        <v>0</v>
      </c>
      <c r="Y373">
        <v>0</v>
      </c>
    </row>
    <row r="374" spans="1:25" ht="40" customHeight="1">
      <c r="A374" s="6" t="s">
        <v>1878</v>
      </c>
      <c r="B374" s="6" t="s">
        <v>1879</v>
      </c>
      <c r="C374" s="6">
        <v>150627</v>
      </c>
      <c r="D374" s="6" t="s">
        <v>279</v>
      </c>
      <c r="E374" s="6" t="s">
        <v>1880</v>
      </c>
      <c r="F374" s="6"/>
      <c r="G374" s="6" t="s">
        <v>1871</v>
      </c>
      <c r="H374" s="6" t="s">
        <v>1872</v>
      </c>
      <c r="I374" s="6" t="s">
        <v>31</v>
      </c>
      <c r="J374" s="6" t="s">
        <v>1873</v>
      </c>
      <c r="K374" s="6" t="s">
        <v>1881</v>
      </c>
      <c r="L374" s="6" t="s">
        <v>54</v>
      </c>
      <c r="M374" s="6" t="s">
        <v>54</v>
      </c>
      <c r="N374" s="6" t="s">
        <v>1491</v>
      </c>
      <c r="O374" s="6" t="s">
        <v>1874</v>
      </c>
      <c r="P374" s="6"/>
      <c r="Q374" s="8">
        <v>130</v>
      </c>
      <c r="R374" s="8">
        <v>130.38999999999999</v>
      </c>
      <c r="S374" s="8">
        <v>259.89999999999998</v>
      </c>
      <c r="T374" s="8">
        <v>14</v>
      </c>
      <c r="U374" s="8"/>
      <c r="V374" s="8">
        <v>0</v>
      </c>
      <c r="W374" s="12">
        <v>0</v>
      </c>
      <c r="Y374">
        <v>0</v>
      </c>
    </row>
    <row r="375" spans="1:25" ht="40" customHeight="1">
      <c r="A375" s="6" t="s">
        <v>1882</v>
      </c>
      <c r="B375" s="6" t="s">
        <v>1883</v>
      </c>
      <c r="C375" s="6">
        <v>150627</v>
      </c>
      <c r="D375" s="6" t="s">
        <v>999</v>
      </c>
      <c r="E375" s="6" t="s">
        <v>1884</v>
      </c>
      <c r="F375" s="6"/>
      <c r="G375" s="6" t="s">
        <v>1871</v>
      </c>
      <c r="H375" s="6" t="s">
        <v>1872</v>
      </c>
      <c r="I375" s="6" t="s">
        <v>31</v>
      </c>
      <c r="J375" s="6" t="s">
        <v>1873</v>
      </c>
      <c r="K375" s="6" t="s">
        <v>1885</v>
      </c>
      <c r="L375" s="6" t="s">
        <v>54</v>
      </c>
      <c r="M375" s="6" t="s">
        <v>54</v>
      </c>
      <c r="N375" s="6" t="s">
        <v>1491</v>
      </c>
      <c r="O375" s="6" t="s">
        <v>1874</v>
      </c>
      <c r="P375" s="6"/>
      <c r="Q375" s="8">
        <v>130</v>
      </c>
      <c r="R375" s="8">
        <v>130.38999999999999</v>
      </c>
      <c r="S375" s="8">
        <v>259.89999999999998</v>
      </c>
      <c r="T375" s="8">
        <v>14</v>
      </c>
      <c r="U375" s="8"/>
      <c r="V375" s="8">
        <v>0</v>
      </c>
      <c r="W375" s="12">
        <v>0</v>
      </c>
      <c r="Y375">
        <v>0</v>
      </c>
    </row>
    <row r="376" spans="1:25" ht="40" customHeight="1">
      <c r="A376" s="6" t="s">
        <v>1886</v>
      </c>
      <c r="B376" s="6" t="s">
        <v>1887</v>
      </c>
      <c r="C376" s="6">
        <v>150627</v>
      </c>
      <c r="D376" s="6" t="s">
        <v>74</v>
      </c>
      <c r="E376" s="6" t="s">
        <v>1888</v>
      </c>
      <c r="F376" s="6"/>
      <c r="G376" s="6" t="s">
        <v>1871</v>
      </c>
      <c r="H376" s="6" t="s">
        <v>1872</v>
      </c>
      <c r="I376" s="6" t="s">
        <v>31</v>
      </c>
      <c r="J376" s="6" t="s">
        <v>1873</v>
      </c>
      <c r="K376" s="6" t="s">
        <v>1889</v>
      </c>
      <c r="L376" s="6" t="s">
        <v>54</v>
      </c>
      <c r="M376" s="6" t="s">
        <v>54</v>
      </c>
      <c r="N376" s="6" t="s">
        <v>1491</v>
      </c>
      <c r="O376" s="6" t="s">
        <v>1874</v>
      </c>
      <c r="P376" s="6"/>
      <c r="Q376" s="8">
        <v>130</v>
      </c>
      <c r="R376" s="8">
        <v>130.38999999999999</v>
      </c>
      <c r="S376" s="8">
        <v>259.89999999999998</v>
      </c>
      <c r="T376" s="8">
        <v>14</v>
      </c>
      <c r="U376" s="8"/>
      <c r="V376" s="8">
        <v>0</v>
      </c>
      <c r="W376" s="12">
        <v>0</v>
      </c>
      <c r="Y376">
        <v>0</v>
      </c>
    </row>
    <row r="377" spans="1:25" ht="40" customHeight="1">
      <c r="A377" s="6" t="s">
        <v>1890</v>
      </c>
      <c r="B377" s="6" t="s">
        <v>1891</v>
      </c>
      <c r="C377" s="6">
        <v>150627</v>
      </c>
      <c r="D377" s="6" t="s">
        <v>126</v>
      </c>
      <c r="E377" s="6" t="s">
        <v>1892</v>
      </c>
      <c r="F377" s="6"/>
      <c r="G377" s="6" t="s">
        <v>1871</v>
      </c>
      <c r="H377" s="6" t="s">
        <v>1872</v>
      </c>
      <c r="I377" s="6" t="s">
        <v>31</v>
      </c>
      <c r="J377" s="6" t="s">
        <v>1873</v>
      </c>
      <c r="K377" s="6" t="s">
        <v>1893</v>
      </c>
      <c r="L377" s="6" t="s">
        <v>54</v>
      </c>
      <c r="M377" s="6" t="s">
        <v>54</v>
      </c>
      <c r="N377" s="6" t="s">
        <v>1491</v>
      </c>
      <c r="O377" s="6" t="s">
        <v>1874</v>
      </c>
      <c r="P377" s="6"/>
      <c r="Q377" s="8">
        <v>130</v>
      </c>
      <c r="R377" s="8">
        <v>130.38999999999999</v>
      </c>
      <c r="S377" s="8">
        <v>259.89999999999998</v>
      </c>
      <c r="T377" s="8">
        <v>14</v>
      </c>
      <c r="U377" s="8"/>
      <c r="V377" s="8">
        <v>0</v>
      </c>
      <c r="W377" s="12">
        <v>0</v>
      </c>
      <c r="Y377">
        <v>0</v>
      </c>
    </row>
    <row r="378" spans="1:25" ht="40" customHeight="1">
      <c r="A378" s="6" t="s">
        <v>1894</v>
      </c>
      <c r="B378" s="6" t="s">
        <v>1895</v>
      </c>
      <c r="C378" s="6">
        <v>150629</v>
      </c>
      <c r="D378" s="6" t="s">
        <v>1614</v>
      </c>
      <c r="E378" s="6" t="s">
        <v>1896</v>
      </c>
      <c r="F378" s="6"/>
      <c r="G378" s="6" t="s">
        <v>1871</v>
      </c>
      <c r="H378" s="6" t="s">
        <v>1897</v>
      </c>
      <c r="I378" s="6" t="s">
        <v>31</v>
      </c>
      <c r="J378" s="6" t="s">
        <v>1853</v>
      </c>
      <c r="K378" s="6" t="s">
        <v>1618</v>
      </c>
      <c r="L378" s="6" t="s">
        <v>54</v>
      </c>
      <c r="M378" s="6" t="s">
        <v>54</v>
      </c>
      <c r="N378" s="6" t="s">
        <v>1491</v>
      </c>
      <c r="O378" s="6" t="s">
        <v>1898</v>
      </c>
      <c r="P378" s="6"/>
      <c r="Q378" s="8">
        <v>130</v>
      </c>
      <c r="R378" s="8">
        <v>130.38999999999999</v>
      </c>
      <c r="S378" s="8">
        <v>259.89999999999998</v>
      </c>
      <c r="T378" s="8">
        <v>14</v>
      </c>
      <c r="U378" s="8"/>
      <c r="V378" s="8">
        <v>0</v>
      </c>
      <c r="W378" s="12">
        <v>0</v>
      </c>
      <c r="X378">
        <f>VLOOKUP(E378,[1]Sheet2!$A:$C,3,FALSE)</f>
        <v>1</v>
      </c>
      <c r="Y378">
        <v>1</v>
      </c>
    </row>
    <row r="379" spans="1:25" ht="40" customHeight="1">
      <c r="A379" s="6" t="s">
        <v>1899</v>
      </c>
      <c r="B379" s="6" t="s">
        <v>1900</v>
      </c>
      <c r="C379" s="6">
        <v>150629</v>
      </c>
      <c r="D379" s="6" t="s">
        <v>1901</v>
      </c>
      <c r="E379" s="6" t="s">
        <v>1902</v>
      </c>
      <c r="F379" s="6"/>
      <c r="G379" s="6" t="s">
        <v>1871</v>
      </c>
      <c r="H379" s="6" t="s">
        <v>1897</v>
      </c>
      <c r="I379" s="6" t="s">
        <v>31</v>
      </c>
      <c r="J379" s="6" t="s">
        <v>1853</v>
      </c>
      <c r="K379" s="6" t="s">
        <v>1903</v>
      </c>
      <c r="L379" s="6" t="s">
        <v>54</v>
      </c>
      <c r="M379" s="6" t="s">
        <v>54</v>
      </c>
      <c r="N379" s="6" t="s">
        <v>1491</v>
      </c>
      <c r="O379" s="6" t="s">
        <v>1898</v>
      </c>
      <c r="P379" s="6"/>
      <c r="Q379" s="8">
        <v>130</v>
      </c>
      <c r="R379" s="8">
        <v>130.38999999999999</v>
      </c>
      <c r="S379" s="8">
        <v>259.89999999999998</v>
      </c>
      <c r="T379" s="8">
        <v>14</v>
      </c>
      <c r="U379" s="8"/>
      <c r="V379" s="8">
        <v>0</v>
      </c>
      <c r="W379" s="12">
        <v>0</v>
      </c>
      <c r="X379">
        <f>VLOOKUP(E379,[1]Sheet2!$A:$C,3,FALSE)</f>
        <v>1</v>
      </c>
      <c r="Y379">
        <v>1</v>
      </c>
    </row>
    <row r="380" spans="1:25" ht="40" customHeight="1">
      <c r="A380" s="6" t="s">
        <v>1904</v>
      </c>
      <c r="B380" s="6" t="s">
        <v>1905</v>
      </c>
      <c r="C380" s="6">
        <v>150629</v>
      </c>
      <c r="D380" s="6" t="s">
        <v>659</v>
      </c>
      <c r="E380" s="6" t="s">
        <v>1906</v>
      </c>
      <c r="F380" s="6"/>
      <c r="G380" s="6" t="s">
        <v>1871</v>
      </c>
      <c r="H380" s="6" t="s">
        <v>1897</v>
      </c>
      <c r="I380" s="6" t="s">
        <v>31</v>
      </c>
      <c r="J380" s="6" t="s">
        <v>1853</v>
      </c>
      <c r="K380" s="6" t="s">
        <v>1651</v>
      </c>
      <c r="L380" s="6" t="s">
        <v>54</v>
      </c>
      <c r="M380" s="6" t="s">
        <v>54</v>
      </c>
      <c r="N380" s="6" t="s">
        <v>1491</v>
      </c>
      <c r="O380" s="6" t="s">
        <v>1898</v>
      </c>
      <c r="P380" s="6"/>
      <c r="Q380" s="8">
        <v>130</v>
      </c>
      <c r="R380" s="8">
        <v>130.38999999999999</v>
      </c>
      <c r="S380" s="8">
        <v>259.89999999999998</v>
      </c>
      <c r="T380" s="8">
        <v>14</v>
      </c>
      <c r="U380" s="8"/>
      <c r="V380" s="8">
        <v>0</v>
      </c>
      <c r="W380" s="12">
        <v>0</v>
      </c>
      <c r="Y380">
        <v>0</v>
      </c>
    </row>
    <row r="381" spans="1:25" ht="40" customHeight="1">
      <c r="A381" s="6" t="s">
        <v>1907</v>
      </c>
      <c r="B381" s="6" t="s">
        <v>1908</v>
      </c>
      <c r="C381" s="6">
        <v>150662</v>
      </c>
      <c r="D381" s="6" t="s">
        <v>27</v>
      </c>
      <c r="E381" s="6" t="s">
        <v>1909</v>
      </c>
      <c r="F381" s="6"/>
      <c r="G381" s="6" t="s">
        <v>1910</v>
      </c>
      <c r="H381" s="6" t="s">
        <v>1911</v>
      </c>
      <c r="I381" s="6" t="s">
        <v>31</v>
      </c>
      <c r="J381" s="6" t="s">
        <v>1912</v>
      </c>
      <c r="K381" s="6" t="s">
        <v>1854</v>
      </c>
      <c r="L381" s="6" t="s">
        <v>54</v>
      </c>
      <c r="M381" s="6" t="s">
        <v>54</v>
      </c>
      <c r="N381" s="6" t="s">
        <v>1491</v>
      </c>
      <c r="O381" s="6" t="s">
        <v>1913</v>
      </c>
      <c r="P381" s="6"/>
      <c r="Q381" s="8">
        <v>160</v>
      </c>
      <c r="R381" s="8">
        <v>160.47999999999999</v>
      </c>
      <c r="S381" s="8">
        <v>319.89999999999998</v>
      </c>
      <c r="T381" s="8">
        <v>14</v>
      </c>
      <c r="U381" s="8"/>
      <c r="V381" s="8">
        <v>0</v>
      </c>
      <c r="W381" s="12">
        <v>0</v>
      </c>
      <c r="Y381">
        <v>0</v>
      </c>
    </row>
    <row r="382" spans="1:25" ht="40" customHeight="1">
      <c r="A382" s="6" t="s">
        <v>1914</v>
      </c>
      <c r="B382" s="6" t="s">
        <v>1915</v>
      </c>
      <c r="C382" s="6">
        <v>150662</v>
      </c>
      <c r="D382" s="6" t="s">
        <v>64</v>
      </c>
      <c r="E382" s="6" t="s">
        <v>1916</v>
      </c>
      <c r="F382" s="6"/>
      <c r="G382" s="6" t="s">
        <v>1910</v>
      </c>
      <c r="H382" s="6" t="s">
        <v>1911</v>
      </c>
      <c r="I382" s="6" t="s">
        <v>31</v>
      </c>
      <c r="J382" s="6" t="s">
        <v>1912</v>
      </c>
      <c r="K382" s="6" t="s">
        <v>1517</v>
      </c>
      <c r="L382" s="6" t="s">
        <v>54</v>
      </c>
      <c r="M382" s="6" t="s">
        <v>54</v>
      </c>
      <c r="N382" s="6" t="s">
        <v>1491</v>
      </c>
      <c r="O382" s="6" t="s">
        <v>1913</v>
      </c>
      <c r="P382" s="6"/>
      <c r="Q382" s="8">
        <v>160</v>
      </c>
      <c r="R382" s="8">
        <v>160.47999999999999</v>
      </c>
      <c r="S382" s="8">
        <v>319.89999999999998</v>
      </c>
      <c r="T382" s="8">
        <v>14</v>
      </c>
      <c r="U382" s="8"/>
      <c r="V382" s="8">
        <v>0</v>
      </c>
      <c r="W382" s="12">
        <v>0</v>
      </c>
      <c r="Y382">
        <v>0</v>
      </c>
    </row>
    <row r="383" spans="1:25" ht="40" customHeight="1">
      <c r="A383" s="6" t="s">
        <v>1917</v>
      </c>
      <c r="B383" s="6" t="s">
        <v>1918</v>
      </c>
      <c r="C383" s="6">
        <v>150662</v>
      </c>
      <c r="D383" s="6" t="s">
        <v>126</v>
      </c>
      <c r="E383" s="6" t="s">
        <v>1919</v>
      </c>
      <c r="F383" s="6"/>
      <c r="G383" s="6" t="s">
        <v>1910</v>
      </c>
      <c r="H383" s="6" t="s">
        <v>1911</v>
      </c>
      <c r="I383" s="6" t="s">
        <v>31</v>
      </c>
      <c r="J383" s="6" t="s">
        <v>1912</v>
      </c>
      <c r="K383" s="6" t="s">
        <v>1539</v>
      </c>
      <c r="L383" s="6" t="s">
        <v>54</v>
      </c>
      <c r="M383" s="6" t="s">
        <v>54</v>
      </c>
      <c r="N383" s="6" t="s">
        <v>1491</v>
      </c>
      <c r="O383" s="6" t="s">
        <v>1913</v>
      </c>
      <c r="P383" s="6"/>
      <c r="Q383" s="8">
        <v>160</v>
      </c>
      <c r="R383" s="8">
        <v>160.47999999999999</v>
      </c>
      <c r="S383" s="8">
        <v>319.89999999999998</v>
      </c>
      <c r="T383" s="8">
        <v>14</v>
      </c>
      <c r="U383" s="8"/>
      <c r="V383" s="8">
        <v>0</v>
      </c>
      <c r="W383" s="12">
        <v>0</v>
      </c>
      <c r="Y383">
        <v>0</v>
      </c>
    </row>
    <row r="384" spans="1:25" ht="40" customHeight="1">
      <c r="A384" s="6" t="s">
        <v>1920</v>
      </c>
      <c r="B384" s="6" t="s">
        <v>1921</v>
      </c>
      <c r="C384" s="6">
        <v>150668</v>
      </c>
      <c r="D384" s="6" t="s">
        <v>27</v>
      </c>
      <c r="E384" s="6" t="s">
        <v>1922</v>
      </c>
      <c r="F384" s="6"/>
      <c r="G384" s="6" t="s">
        <v>1910</v>
      </c>
      <c r="H384" s="6" t="s">
        <v>1923</v>
      </c>
      <c r="I384" s="6" t="s">
        <v>31</v>
      </c>
      <c r="J384" s="6" t="s">
        <v>1924</v>
      </c>
      <c r="K384" s="6" t="s">
        <v>1854</v>
      </c>
      <c r="L384" s="6" t="s">
        <v>54</v>
      </c>
      <c r="M384" s="6" t="s">
        <v>54</v>
      </c>
      <c r="N384" s="6" t="s">
        <v>1491</v>
      </c>
      <c r="O384" s="6" t="s">
        <v>1925</v>
      </c>
      <c r="P384" s="6"/>
      <c r="Q384" s="8">
        <v>125</v>
      </c>
      <c r="R384" s="8">
        <v>125.375</v>
      </c>
      <c r="S384" s="8">
        <v>249.9</v>
      </c>
      <c r="T384" s="8">
        <v>14</v>
      </c>
      <c r="U384" s="8"/>
      <c r="V384" s="8">
        <v>0</v>
      </c>
      <c r="W384" s="12">
        <v>0</v>
      </c>
      <c r="Y384">
        <v>0</v>
      </c>
    </row>
    <row r="385" spans="1:25" ht="40" customHeight="1">
      <c r="A385" s="6" t="s">
        <v>1926</v>
      </c>
      <c r="B385" s="6" t="s">
        <v>1927</v>
      </c>
      <c r="C385" s="6">
        <v>150668</v>
      </c>
      <c r="D385" s="6" t="s">
        <v>392</v>
      </c>
      <c r="E385" s="6" t="s">
        <v>1928</v>
      </c>
      <c r="F385" s="6"/>
      <c r="G385" s="6" t="s">
        <v>1910</v>
      </c>
      <c r="H385" s="6" t="s">
        <v>1923</v>
      </c>
      <c r="I385" s="6" t="s">
        <v>31</v>
      </c>
      <c r="J385" s="6" t="s">
        <v>1924</v>
      </c>
      <c r="K385" s="6" t="s">
        <v>1929</v>
      </c>
      <c r="L385" s="6" t="s">
        <v>54</v>
      </c>
      <c r="M385" s="6" t="s">
        <v>54</v>
      </c>
      <c r="N385" s="6" t="s">
        <v>1491</v>
      </c>
      <c r="O385" s="6" t="s">
        <v>1925</v>
      </c>
      <c r="P385" s="6"/>
      <c r="Q385" s="8">
        <v>125</v>
      </c>
      <c r="R385" s="8">
        <v>125.375</v>
      </c>
      <c r="S385" s="8">
        <v>249.9</v>
      </c>
      <c r="T385" s="8">
        <v>14</v>
      </c>
      <c r="U385" s="8"/>
      <c r="V385" s="8">
        <v>0</v>
      </c>
      <c r="W385" s="12">
        <v>0</v>
      </c>
      <c r="Y385">
        <v>0</v>
      </c>
    </row>
    <row r="386" spans="1:25" ht="40" customHeight="1">
      <c r="A386" s="6" t="s">
        <v>1930</v>
      </c>
      <c r="B386" s="6" t="s">
        <v>1931</v>
      </c>
      <c r="C386" s="6">
        <v>150668</v>
      </c>
      <c r="D386" s="6" t="s">
        <v>89</v>
      </c>
      <c r="E386" s="6" t="s">
        <v>1932</v>
      </c>
      <c r="F386" s="6"/>
      <c r="G386" s="6" t="s">
        <v>1910</v>
      </c>
      <c r="H386" s="6" t="s">
        <v>1923</v>
      </c>
      <c r="I386" s="6" t="s">
        <v>31</v>
      </c>
      <c r="J386" s="6" t="s">
        <v>1924</v>
      </c>
      <c r="K386" s="6" t="s">
        <v>1933</v>
      </c>
      <c r="L386" s="6" t="s">
        <v>54</v>
      </c>
      <c r="M386" s="6" t="s">
        <v>54</v>
      </c>
      <c r="N386" s="6" t="s">
        <v>1491</v>
      </c>
      <c r="O386" s="6" t="s">
        <v>1925</v>
      </c>
      <c r="P386" s="6"/>
      <c r="Q386" s="8">
        <v>125</v>
      </c>
      <c r="R386" s="8">
        <v>125.375</v>
      </c>
      <c r="S386" s="8">
        <v>249.9</v>
      </c>
      <c r="T386" s="8">
        <v>14</v>
      </c>
      <c r="U386" s="8"/>
      <c r="V386" s="8">
        <v>0</v>
      </c>
      <c r="W386" s="12">
        <v>0</v>
      </c>
      <c r="Y386">
        <v>0</v>
      </c>
    </row>
    <row r="387" spans="1:25" ht="40" customHeight="1">
      <c r="A387" s="6" t="s">
        <v>1934</v>
      </c>
      <c r="B387" s="6" t="s">
        <v>1935</v>
      </c>
      <c r="C387" s="6">
        <v>150669</v>
      </c>
      <c r="D387" s="6" t="s">
        <v>1614</v>
      </c>
      <c r="E387" s="6" t="s">
        <v>1936</v>
      </c>
      <c r="F387" s="6"/>
      <c r="G387" s="6" t="s">
        <v>1910</v>
      </c>
      <c r="H387" s="6" t="s">
        <v>1937</v>
      </c>
      <c r="I387" s="6" t="s">
        <v>31</v>
      </c>
      <c r="J387" s="6" t="s">
        <v>1938</v>
      </c>
      <c r="K387" s="6" t="s">
        <v>1618</v>
      </c>
      <c r="L387" s="6" t="s">
        <v>54</v>
      </c>
      <c r="M387" s="6" t="s">
        <v>54</v>
      </c>
      <c r="N387" s="6" t="s">
        <v>1491</v>
      </c>
      <c r="O387" s="6" t="s">
        <v>1925</v>
      </c>
      <c r="P387" s="6"/>
      <c r="Q387" s="8">
        <v>125</v>
      </c>
      <c r="R387" s="8">
        <v>125.375</v>
      </c>
      <c r="S387" s="8">
        <v>249.9</v>
      </c>
      <c r="T387" s="8">
        <v>14</v>
      </c>
      <c r="U387" s="8"/>
      <c r="V387" s="8">
        <v>0</v>
      </c>
      <c r="W387" s="12">
        <v>0</v>
      </c>
      <c r="Y387">
        <v>0</v>
      </c>
    </row>
    <row r="388" spans="1:25" ht="40" customHeight="1">
      <c r="A388" s="6" t="s">
        <v>1939</v>
      </c>
      <c r="B388" s="6" t="s">
        <v>1940</v>
      </c>
      <c r="C388" s="6">
        <v>150669</v>
      </c>
      <c r="D388" s="6" t="s">
        <v>659</v>
      </c>
      <c r="E388" s="6" t="s">
        <v>1941</v>
      </c>
      <c r="F388" s="6"/>
      <c r="G388" s="6" t="s">
        <v>1910</v>
      </c>
      <c r="H388" s="6" t="s">
        <v>1937</v>
      </c>
      <c r="I388" s="6" t="s">
        <v>31</v>
      </c>
      <c r="J388" s="6" t="s">
        <v>1938</v>
      </c>
      <c r="K388" s="6" t="s">
        <v>1651</v>
      </c>
      <c r="L388" s="6" t="s">
        <v>54</v>
      </c>
      <c r="M388" s="6" t="s">
        <v>54</v>
      </c>
      <c r="N388" s="6" t="s">
        <v>1491</v>
      </c>
      <c r="O388" s="6" t="s">
        <v>1925</v>
      </c>
      <c r="P388" s="6"/>
      <c r="Q388" s="8">
        <v>125</v>
      </c>
      <c r="R388" s="8">
        <v>125.375</v>
      </c>
      <c r="S388" s="8">
        <v>249.9</v>
      </c>
      <c r="T388" s="8">
        <v>14</v>
      </c>
      <c r="U388" s="8"/>
      <c r="V388" s="8">
        <v>0</v>
      </c>
      <c r="W388" s="12">
        <v>0</v>
      </c>
      <c r="Y388">
        <v>0</v>
      </c>
    </row>
    <row r="389" spans="1:25" ht="40" customHeight="1">
      <c r="A389" s="6" t="s">
        <v>1942</v>
      </c>
      <c r="B389" s="6" t="s">
        <v>1943</v>
      </c>
      <c r="C389" s="6">
        <v>150703</v>
      </c>
      <c r="D389" s="6" t="s">
        <v>1944</v>
      </c>
      <c r="E389" s="6" t="s">
        <v>1945</v>
      </c>
      <c r="F389" s="6"/>
      <c r="G389" s="6" t="s">
        <v>1946</v>
      </c>
      <c r="H389" s="6" t="s">
        <v>215</v>
      </c>
      <c r="I389" s="6" t="s">
        <v>31</v>
      </c>
      <c r="J389" s="6" t="s">
        <v>1947</v>
      </c>
      <c r="K389" s="6" t="s">
        <v>1948</v>
      </c>
      <c r="L389" s="6" t="s">
        <v>54</v>
      </c>
      <c r="M389" s="6" t="s">
        <v>54</v>
      </c>
      <c r="N389" s="6" t="s">
        <v>1491</v>
      </c>
      <c r="O389" s="6" t="s">
        <v>1949</v>
      </c>
      <c r="P389" s="6"/>
      <c r="Q389" s="8">
        <v>200</v>
      </c>
      <c r="R389" s="8">
        <v>200.6</v>
      </c>
      <c r="S389" s="8">
        <v>399.9</v>
      </c>
      <c r="T389" s="8">
        <v>14</v>
      </c>
      <c r="U389" s="8"/>
      <c r="V389" s="8">
        <v>0</v>
      </c>
      <c r="W389" s="12">
        <v>0</v>
      </c>
      <c r="Y389">
        <v>0</v>
      </c>
    </row>
    <row r="390" spans="1:25" ht="40" customHeight="1">
      <c r="A390" s="6" t="s">
        <v>1950</v>
      </c>
      <c r="B390" s="6" t="s">
        <v>1951</v>
      </c>
      <c r="C390" s="6">
        <v>150724</v>
      </c>
      <c r="D390" s="6" t="s">
        <v>1952</v>
      </c>
      <c r="E390" s="6" t="s">
        <v>1953</v>
      </c>
      <c r="F390" s="6"/>
      <c r="G390" s="6" t="s">
        <v>1954</v>
      </c>
      <c r="H390" s="6" t="s">
        <v>1955</v>
      </c>
      <c r="I390" s="6" t="s">
        <v>31</v>
      </c>
      <c r="J390" s="6" t="s">
        <v>1956</v>
      </c>
      <c r="K390" s="6" t="s">
        <v>1957</v>
      </c>
      <c r="L390" s="6" t="s">
        <v>54</v>
      </c>
      <c r="M390" s="6" t="s">
        <v>54</v>
      </c>
      <c r="N390" s="6" t="s">
        <v>1491</v>
      </c>
      <c r="O390" s="6" t="s">
        <v>1571</v>
      </c>
      <c r="P390" s="6"/>
      <c r="Q390" s="8">
        <v>160</v>
      </c>
      <c r="R390" s="8">
        <v>160.47999999999999</v>
      </c>
      <c r="S390" s="8">
        <v>319.89999999999998</v>
      </c>
      <c r="T390" s="8">
        <v>14</v>
      </c>
      <c r="U390" s="8"/>
      <c r="V390" s="8">
        <v>0</v>
      </c>
      <c r="W390" s="12">
        <v>0</v>
      </c>
      <c r="Y390">
        <v>0</v>
      </c>
    </row>
    <row r="391" spans="1:25" ht="40" customHeight="1">
      <c r="A391" s="6" t="s">
        <v>1958</v>
      </c>
      <c r="B391" s="6" t="s">
        <v>1959</v>
      </c>
      <c r="C391" s="6">
        <v>150724</v>
      </c>
      <c r="D391" s="6" t="s">
        <v>659</v>
      </c>
      <c r="E391" s="6" t="s">
        <v>1960</v>
      </c>
      <c r="F391" s="6"/>
      <c r="G391" s="6" t="s">
        <v>1954</v>
      </c>
      <c r="H391" s="6" t="s">
        <v>1955</v>
      </c>
      <c r="I391" s="6" t="s">
        <v>31</v>
      </c>
      <c r="J391" s="6" t="s">
        <v>1956</v>
      </c>
      <c r="K391" s="6" t="s">
        <v>1961</v>
      </c>
      <c r="L391" s="6" t="s">
        <v>54</v>
      </c>
      <c r="M391" s="6" t="s">
        <v>54</v>
      </c>
      <c r="N391" s="6" t="s">
        <v>1491</v>
      </c>
      <c r="O391" s="6" t="s">
        <v>1571</v>
      </c>
      <c r="P391" s="6"/>
      <c r="Q391" s="8">
        <v>160</v>
      </c>
      <c r="R391" s="8">
        <v>160.47999999999999</v>
      </c>
      <c r="S391" s="8">
        <v>319.89999999999998</v>
      </c>
      <c r="T391" s="8">
        <v>14</v>
      </c>
      <c r="U391" s="8"/>
      <c r="V391" s="8">
        <v>0</v>
      </c>
      <c r="W391" s="12">
        <v>0</v>
      </c>
      <c r="Y391">
        <v>0</v>
      </c>
    </row>
    <row r="392" spans="1:25" ht="40" customHeight="1">
      <c r="A392" s="6" t="s">
        <v>1962</v>
      </c>
      <c r="B392" s="6" t="s">
        <v>1963</v>
      </c>
      <c r="C392" s="6">
        <v>150730</v>
      </c>
      <c r="D392" s="6" t="s">
        <v>1964</v>
      </c>
      <c r="E392" s="6" t="s">
        <v>1965</v>
      </c>
      <c r="F392" s="6"/>
      <c r="G392" s="6" t="s">
        <v>1966</v>
      </c>
      <c r="H392" s="6" t="s">
        <v>215</v>
      </c>
      <c r="I392" s="6" t="s">
        <v>31</v>
      </c>
      <c r="J392" s="6" t="s">
        <v>1967</v>
      </c>
      <c r="K392" s="6" t="s">
        <v>1968</v>
      </c>
      <c r="L392" s="6" t="s">
        <v>1969</v>
      </c>
      <c r="M392" s="6" t="s">
        <v>1970</v>
      </c>
      <c r="N392" s="6" t="s">
        <v>1491</v>
      </c>
      <c r="O392" s="6" t="s">
        <v>1971</v>
      </c>
      <c r="P392" s="6"/>
      <c r="Q392" s="8">
        <v>200</v>
      </c>
      <c r="R392" s="8">
        <v>200.6</v>
      </c>
      <c r="S392" s="8">
        <v>399.9</v>
      </c>
      <c r="T392" s="8">
        <v>14</v>
      </c>
      <c r="U392" s="8"/>
      <c r="V392" s="8">
        <v>0</v>
      </c>
      <c r="W392" s="12">
        <v>0</v>
      </c>
      <c r="Y392">
        <v>0</v>
      </c>
    </row>
    <row r="393" spans="1:25" ht="40" customHeight="1">
      <c r="A393" s="6" t="s">
        <v>1972</v>
      </c>
      <c r="B393" s="6" t="s">
        <v>1973</v>
      </c>
      <c r="C393" s="6">
        <v>150730</v>
      </c>
      <c r="D393" s="6" t="s">
        <v>1523</v>
      </c>
      <c r="E393" s="6" t="s">
        <v>1974</v>
      </c>
      <c r="F393" s="6"/>
      <c r="G393" s="6" t="s">
        <v>1966</v>
      </c>
      <c r="H393" s="6" t="s">
        <v>215</v>
      </c>
      <c r="I393" s="6" t="s">
        <v>31</v>
      </c>
      <c r="J393" s="6" t="s">
        <v>1967</v>
      </c>
      <c r="K393" s="6" t="s">
        <v>1975</v>
      </c>
      <c r="L393" s="6" t="s">
        <v>1969</v>
      </c>
      <c r="M393" s="6" t="s">
        <v>1970</v>
      </c>
      <c r="N393" s="6" t="s">
        <v>1491</v>
      </c>
      <c r="O393" s="6" t="s">
        <v>1971</v>
      </c>
      <c r="P393" s="6"/>
      <c r="Q393" s="8">
        <v>200</v>
      </c>
      <c r="R393" s="8">
        <v>200.6</v>
      </c>
      <c r="S393" s="8">
        <v>399.9</v>
      </c>
      <c r="T393" s="8">
        <v>14</v>
      </c>
      <c r="U393" s="8"/>
      <c r="V393" s="8">
        <v>0</v>
      </c>
      <c r="W393" s="12">
        <v>0</v>
      </c>
      <c r="Y393">
        <v>0</v>
      </c>
    </row>
    <row r="394" spans="1:25" ht="40" customHeight="1">
      <c r="A394" s="6" t="s">
        <v>1976</v>
      </c>
      <c r="B394" s="6" t="s">
        <v>1977</v>
      </c>
      <c r="C394" s="6">
        <v>150730</v>
      </c>
      <c r="D394" s="6" t="s">
        <v>74</v>
      </c>
      <c r="E394" s="6" t="s">
        <v>1978</v>
      </c>
      <c r="F394" s="6"/>
      <c r="G394" s="6" t="s">
        <v>1966</v>
      </c>
      <c r="H394" s="6" t="s">
        <v>215</v>
      </c>
      <c r="I394" s="6" t="s">
        <v>31</v>
      </c>
      <c r="J394" s="6" t="s">
        <v>1967</v>
      </c>
      <c r="K394" s="6" t="s">
        <v>1889</v>
      </c>
      <c r="L394" s="6" t="s">
        <v>1969</v>
      </c>
      <c r="M394" s="6" t="s">
        <v>1970</v>
      </c>
      <c r="N394" s="6" t="s">
        <v>1491</v>
      </c>
      <c r="O394" s="6" t="s">
        <v>1971</v>
      </c>
      <c r="P394" s="6"/>
      <c r="Q394" s="8">
        <v>200</v>
      </c>
      <c r="R394" s="8">
        <v>200.6</v>
      </c>
      <c r="S394" s="8">
        <v>399.9</v>
      </c>
      <c r="T394" s="8">
        <v>14</v>
      </c>
      <c r="U394" s="8"/>
      <c r="V394" s="8">
        <v>0</v>
      </c>
      <c r="W394" s="12">
        <v>0</v>
      </c>
      <c r="Y394">
        <v>0</v>
      </c>
    </row>
    <row r="395" spans="1:25" ht="40" customHeight="1">
      <c r="A395" s="6" t="s">
        <v>1979</v>
      </c>
      <c r="B395" s="6" t="s">
        <v>1980</v>
      </c>
      <c r="C395" s="6">
        <v>150730</v>
      </c>
      <c r="D395" s="6" t="s">
        <v>1153</v>
      </c>
      <c r="E395" s="6" t="s">
        <v>1981</v>
      </c>
      <c r="F395" s="6"/>
      <c r="G395" s="6" t="s">
        <v>1966</v>
      </c>
      <c r="H395" s="6" t="s">
        <v>215</v>
      </c>
      <c r="I395" s="6" t="s">
        <v>31</v>
      </c>
      <c r="J395" s="6" t="s">
        <v>1967</v>
      </c>
      <c r="K395" s="6" t="s">
        <v>1982</v>
      </c>
      <c r="L395" s="6" t="s">
        <v>1969</v>
      </c>
      <c r="M395" s="6" t="s">
        <v>1970</v>
      </c>
      <c r="N395" s="6" t="s">
        <v>1491</v>
      </c>
      <c r="O395" s="6" t="s">
        <v>1971</v>
      </c>
      <c r="P395" s="6"/>
      <c r="Q395" s="8">
        <v>200</v>
      </c>
      <c r="R395" s="8">
        <v>200.6</v>
      </c>
      <c r="S395" s="8">
        <v>399.9</v>
      </c>
      <c r="T395" s="8">
        <v>14</v>
      </c>
      <c r="U395" s="8"/>
      <c r="V395" s="8">
        <v>0</v>
      </c>
      <c r="W395" s="12">
        <v>0</v>
      </c>
      <c r="Y395">
        <v>0</v>
      </c>
    </row>
    <row r="396" spans="1:25" ht="40" customHeight="1">
      <c r="A396" s="6" t="s">
        <v>1983</v>
      </c>
      <c r="B396" s="6" t="s">
        <v>1984</v>
      </c>
      <c r="C396" s="6">
        <v>150730</v>
      </c>
      <c r="D396" s="6" t="s">
        <v>747</v>
      </c>
      <c r="E396" s="6" t="s">
        <v>1985</v>
      </c>
      <c r="F396" s="6"/>
      <c r="G396" s="6" t="s">
        <v>1966</v>
      </c>
      <c r="H396" s="6" t="s">
        <v>215</v>
      </c>
      <c r="I396" s="6" t="s">
        <v>31</v>
      </c>
      <c r="J396" s="6" t="s">
        <v>1967</v>
      </c>
      <c r="K396" s="6" t="s">
        <v>1986</v>
      </c>
      <c r="L396" s="6" t="s">
        <v>1969</v>
      </c>
      <c r="M396" s="6" t="s">
        <v>1970</v>
      </c>
      <c r="N396" s="6" t="s">
        <v>1491</v>
      </c>
      <c r="O396" s="6" t="s">
        <v>1971</v>
      </c>
      <c r="P396" s="6"/>
      <c r="Q396" s="8">
        <v>200</v>
      </c>
      <c r="R396" s="8">
        <v>200.6</v>
      </c>
      <c r="S396" s="8">
        <v>399.9</v>
      </c>
      <c r="T396" s="8">
        <v>14</v>
      </c>
      <c r="U396" s="8"/>
      <c r="V396" s="8">
        <v>0</v>
      </c>
      <c r="W396" s="12">
        <v>0</v>
      </c>
      <c r="Y396">
        <v>0</v>
      </c>
    </row>
    <row r="397" spans="1:25" ht="40" customHeight="1">
      <c r="A397" s="6" t="s">
        <v>1987</v>
      </c>
      <c r="B397" s="8" t="s">
        <v>1988</v>
      </c>
      <c r="C397" s="1" t="s">
        <v>1989</v>
      </c>
      <c r="D397" s="6" t="s">
        <v>27</v>
      </c>
      <c r="E397" s="1" t="s">
        <v>1990</v>
      </c>
      <c r="F397" s="6" t="s">
        <v>5</v>
      </c>
      <c r="G397" s="6" t="s">
        <v>1991</v>
      </c>
      <c r="H397" s="6" t="s">
        <v>1992</v>
      </c>
      <c r="I397" s="6" t="s">
        <v>31</v>
      </c>
      <c r="J397" s="6" t="s">
        <v>1993</v>
      </c>
      <c r="K397" s="6" t="s">
        <v>1994</v>
      </c>
      <c r="L397" s="6" t="s">
        <v>54</v>
      </c>
      <c r="M397" s="6" t="s">
        <v>54</v>
      </c>
      <c r="N397" s="6" t="s">
        <v>1491</v>
      </c>
      <c r="O397" s="6" t="s">
        <v>1995</v>
      </c>
      <c r="P397" s="6"/>
      <c r="Q397" s="8">
        <v>140</v>
      </c>
      <c r="R397" s="8">
        <v>140.41999999999999</v>
      </c>
      <c r="S397" s="8">
        <v>279.89999999999998</v>
      </c>
      <c r="T397" s="8">
        <v>14</v>
      </c>
      <c r="U397" s="8"/>
      <c r="V397" s="8">
        <v>0</v>
      </c>
      <c r="W397" s="12">
        <v>0</v>
      </c>
      <c r="Y397">
        <v>0</v>
      </c>
    </row>
    <row r="398" spans="1:25" ht="40" customHeight="1">
      <c r="A398" s="6" t="s">
        <v>1996</v>
      </c>
      <c r="B398" s="8" t="s">
        <v>1997</v>
      </c>
      <c r="C398" s="1" t="s">
        <v>1989</v>
      </c>
      <c r="D398" s="6" t="s">
        <v>1998</v>
      </c>
      <c r="E398" s="1" t="s">
        <v>1999</v>
      </c>
      <c r="F398" s="6" t="s">
        <v>5</v>
      </c>
      <c r="G398" s="6" t="s">
        <v>1991</v>
      </c>
      <c r="H398" s="6" t="s">
        <v>1992</v>
      </c>
      <c r="I398" s="6" t="s">
        <v>31</v>
      </c>
      <c r="J398" s="6" t="s">
        <v>1993</v>
      </c>
      <c r="K398" s="6" t="s">
        <v>2000</v>
      </c>
      <c r="L398" s="6" t="s">
        <v>54</v>
      </c>
      <c r="M398" s="6" t="s">
        <v>54</v>
      </c>
      <c r="N398" s="6" t="s">
        <v>1491</v>
      </c>
      <c r="O398" s="6" t="s">
        <v>1995</v>
      </c>
      <c r="P398" s="6"/>
      <c r="Q398" s="8">
        <v>140</v>
      </c>
      <c r="R398" s="8">
        <v>140.41999999999999</v>
      </c>
      <c r="S398" s="8">
        <v>279.89999999999998</v>
      </c>
      <c r="T398" s="8">
        <v>14</v>
      </c>
      <c r="U398" s="8"/>
      <c r="V398" s="8">
        <v>0</v>
      </c>
      <c r="W398" s="12">
        <v>0</v>
      </c>
      <c r="Y398">
        <v>0</v>
      </c>
    </row>
    <row r="399" spans="1:25" ht="40" customHeight="1">
      <c r="A399" s="6" t="s">
        <v>2001</v>
      </c>
      <c r="B399" s="8" t="s">
        <v>2002</v>
      </c>
      <c r="C399" s="1" t="s">
        <v>1989</v>
      </c>
      <c r="D399" s="6" t="s">
        <v>1667</v>
      </c>
      <c r="E399" s="1" t="s">
        <v>2003</v>
      </c>
      <c r="F399" s="6" t="s">
        <v>5</v>
      </c>
      <c r="G399" s="6" t="s">
        <v>1991</v>
      </c>
      <c r="H399" s="6" t="s">
        <v>1992</v>
      </c>
      <c r="I399" s="6" t="s">
        <v>31</v>
      </c>
      <c r="J399" s="6" t="s">
        <v>1993</v>
      </c>
      <c r="K399" s="6" t="s">
        <v>2004</v>
      </c>
      <c r="L399" s="6" t="s">
        <v>54</v>
      </c>
      <c r="M399" s="6" t="s">
        <v>54</v>
      </c>
      <c r="N399" s="6" t="s">
        <v>1491</v>
      </c>
      <c r="O399" s="6" t="s">
        <v>1995</v>
      </c>
      <c r="P399" s="6"/>
      <c r="Q399" s="8">
        <v>140</v>
      </c>
      <c r="R399" s="8">
        <v>140.41999999999999</v>
      </c>
      <c r="S399" s="8">
        <v>279.89999999999998</v>
      </c>
      <c r="T399" s="8">
        <v>14</v>
      </c>
      <c r="U399" s="8"/>
      <c r="V399" s="8">
        <v>0</v>
      </c>
      <c r="W399" s="12">
        <v>0</v>
      </c>
      <c r="Y399">
        <v>0</v>
      </c>
    </row>
    <row r="400" spans="1:25" ht="40" customHeight="1">
      <c r="A400" s="6" t="s">
        <v>2005</v>
      </c>
      <c r="B400" s="8" t="s">
        <v>2006</v>
      </c>
      <c r="C400" s="1" t="s">
        <v>1989</v>
      </c>
      <c r="D400" s="6" t="s">
        <v>2007</v>
      </c>
      <c r="E400" s="1" t="s">
        <v>2008</v>
      </c>
      <c r="F400" s="6" t="s">
        <v>5</v>
      </c>
      <c r="G400" s="6" t="s">
        <v>1991</v>
      </c>
      <c r="H400" s="6" t="s">
        <v>1992</v>
      </c>
      <c r="I400" s="6" t="s">
        <v>31</v>
      </c>
      <c r="J400" s="6" t="s">
        <v>1993</v>
      </c>
      <c r="K400" s="6" t="s">
        <v>2009</v>
      </c>
      <c r="L400" s="6" t="s">
        <v>54</v>
      </c>
      <c r="M400" s="6" t="s">
        <v>54</v>
      </c>
      <c r="N400" s="6" t="s">
        <v>1491</v>
      </c>
      <c r="O400" s="6" t="s">
        <v>1995</v>
      </c>
      <c r="P400" s="6"/>
      <c r="Q400" s="8">
        <v>140</v>
      </c>
      <c r="R400" s="8">
        <v>140.41999999999999</v>
      </c>
      <c r="S400" s="8">
        <v>279.89999999999998</v>
      </c>
      <c r="T400" s="8">
        <v>14</v>
      </c>
      <c r="U400" s="8"/>
      <c r="V400" s="8">
        <v>0</v>
      </c>
      <c r="W400" s="12">
        <v>0</v>
      </c>
      <c r="Y400">
        <v>0</v>
      </c>
    </row>
    <row r="401" spans="1:25" ht="40" customHeight="1">
      <c r="A401" s="6" t="s">
        <v>2010</v>
      </c>
      <c r="B401" s="8" t="s">
        <v>2011</v>
      </c>
      <c r="C401" s="1" t="s">
        <v>1989</v>
      </c>
      <c r="D401" s="6" t="s">
        <v>410</v>
      </c>
      <c r="E401" s="1" t="s">
        <v>2012</v>
      </c>
      <c r="F401" s="6" t="s">
        <v>5</v>
      </c>
      <c r="G401" s="6" t="s">
        <v>1991</v>
      </c>
      <c r="H401" s="6" t="s">
        <v>1992</v>
      </c>
      <c r="I401" s="6" t="s">
        <v>31</v>
      </c>
      <c r="J401" s="6" t="s">
        <v>1993</v>
      </c>
      <c r="K401" s="6" t="s">
        <v>2013</v>
      </c>
      <c r="L401" s="6" t="s">
        <v>54</v>
      </c>
      <c r="M401" s="6" t="s">
        <v>54</v>
      </c>
      <c r="N401" s="6" t="s">
        <v>1491</v>
      </c>
      <c r="O401" s="6" t="s">
        <v>1995</v>
      </c>
      <c r="P401" s="6"/>
      <c r="Q401" s="8">
        <v>140</v>
      </c>
      <c r="R401" s="8">
        <v>140.41999999999999</v>
      </c>
      <c r="S401" s="8">
        <v>279.89999999999998</v>
      </c>
      <c r="T401" s="8">
        <v>14</v>
      </c>
      <c r="U401" s="8"/>
      <c r="V401" s="8">
        <v>0</v>
      </c>
      <c r="W401" s="12">
        <v>0</v>
      </c>
      <c r="Y401">
        <v>0</v>
      </c>
    </row>
    <row r="402" spans="1:25" ht="40" customHeight="1">
      <c r="A402" s="6" t="s">
        <v>2014</v>
      </c>
      <c r="B402" s="6" t="s">
        <v>2015</v>
      </c>
      <c r="C402" s="6">
        <v>150755</v>
      </c>
      <c r="D402" s="6" t="s">
        <v>27</v>
      </c>
      <c r="E402" s="6" t="s">
        <v>2016</v>
      </c>
      <c r="F402" s="6"/>
      <c r="G402" s="6" t="s">
        <v>1991</v>
      </c>
      <c r="H402" s="6" t="s">
        <v>2017</v>
      </c>
      <c r="I402" s="6" t="s">
        <v>31</v>
      </c>
      <c r="J402" s="6" t="s">
        <v>2018</v>
      </c>
      <c r="K402" s="6" t="s">
        <v>1994</v>
      </c>
      <c r="L402" s="6" t="s">
        <v>54</v>
      </c>
      <c r="M402" s="6" t="s">
        <v>54</v>
      </c>
      <c r="N402" s="6" t="s">
        <v>1491</v>
      </c>
      <c r="O402" s="6" t="s">
        <v>2019</v>
      </c>
      <c r="P402" s="6"/>
      <c r="Q402" s="8">
        <v>150</v>
      </c>
      <c r="R402" s="8">
        <v>150.44999999999999</v>
      </c>
      <c r="S402" s="8">
        <v>299.89999999999998</v>
      </c>
      <c r="T402" s="8">
        <v>14</v>
      </c>
      <c r="U402" s="8"/>
      <c r="V402" s="8">
        <v>0</v>
      </c>
      <c r="W402" s="12">
        <v>0</v>
      </c>
      <c r="X402">
        <f>VLOOKUP(E402,[1]Sheet2!$A:$C,3,FALSE)</f>
        <v>1</v>
      </c>
      <c r="Y402">
        <v>1</v>
      </c>
    </row>
    <row r="403" spans="1:25" ht="40" customHeight="1">
      <c r="A403" s="6" t="s">
        <v>2020</v>
      </c>
      <c r="B403" s="6" t="s">
        <v>2021</v>
      </c>
      <c r="C403" s="6">
        <v>150755</v>
      </c>
      <c r="D403" s="6" t="s">
        <v>147</v>
      </c>
      <c r="E403" s="6" t="s">
        <v>2022</v>
      </c>
      <c r="F403" s="6"/>
      <c r="G403" s="6" t="s">
        <v>1991</v>
      </c>
      <c r="H403" s="6" t="s">
        <v>2017</v>
      </c>
      <c r="I403" s="6" t="s">
        <v>31</v>
      </c>
      <c r="J403" s="6" t="s">
        <v>2018</v>
      </c>
      <c r="K403" s="6" t="s">
        <v>2023</v>
      </c>
      <c r="L403" s="6" t="s">
        <v>54</v>
      </c>
      <c r="M403" s="6" t="s">
        <v>54</v>
      </c>
      <c r="N403" s="6" t="s">
        <v>1491</v>
      </c>
      <c r="O403" s="6" t="s">
        <v>2019</v>
      </c>
      <c r="P403" s="6"/>
      <c r="Q403" s="8">
        <v>150</v>
      </c>
      <c r="R403" s="8">
        <v>150.44999999999999</v>
      </c>
      <c r="S403" s="8">
        <v>299.89999999999998</v>
      </c>
      <c r="T403" s="8">
        <v>14</v>
      </c>
      <c r="U403" s="8"/>
      <c r="V403" s="8">
        <v>0</v>
      </c>
      <c r="W403" s="12">
        <v>0</v>
      </c>
      <c r="Y403">
        <v>0</v>
      </c>
    </row>
    <row r="404" spans="1:25" ht="40" customHeight="1">
      <c r="A404" s="6" t="s">
        <v>2024</v>
      </c>
      <c r="B404" s="6" t="s">
        <v>2025</v>
      </c>
      <c r="C404" s="6">
        <v>150755</v>
      </c>
      <c r="D404" s="6" t="s">
        <v>1092</v>
      </c>
      <c r="E404" s="6" t="s">
        <v>2026</v>
      </c>
      <c r="F404" s="6"/>
      <c r="G404" s="6" t="s">
        <v>1991</v>
      </c>
      <c r="H404" s="6" t="s">
        <v>2017</v>
      </c>
      <c r="I404" s="6" t="s">
        <v>31</v>
      </c>
      <c r="J404" s="6" t="s">
        <v>2018</v>
      </c>
      <c r="K404" s="6" t="s">
        <v>2027</v>
      </c>
      <c r="L404" s="6" t="s">
        <v>54</v>
      </c>
      <c r="M404" s="6" t="s">
        <v>54</v>
      </c>
      <c r="N404" s="6" t="s">
        <v>1491</v>
      </c>
      <c r="O404" s="6" t="s">
        <v>2019</v>
      </c>
      <c r="P404" s="6"/>
      <c r="Q404" s="8">
        <v>150</v>
      </c>
      <c r="R404" s="8">
        <v>150.44999999999999</v>
      </c>
      <c r="S404" s="8">
        <v>299.89999999999998</v>
      </c>
      <c r="T404" s="8">
        <v>14</v>
      </c>
      <c r="U404" s="8"/>
      <c r="V404" s="8">
        <v>0</v>
      </c>
      <c r="W404" s="12">
        <v>0</v>
      </c>
      <c r="Y404">
        <v>0</v>
      </c>
    </row>
    <row r="405" spans="1:25" ht="40" customHeight="1">
      <c r="A405" s="6" t="s">
        <v>2028</v>
      </c>
      <c r="B405" s="6" t="s">
        <v>2029</v>
      </c>
      <c r="C405" s="6">
        <v>150755</v>
      </c>
      <c r="D405" s="6" t="s">
        <v>89</v>
      </c>
      <c r="E405" s="6" t="s">
        <v>2030</v>
      </c>
      <c r="F405" s="6"/>
      <c r="G405" s="6" t="s">
        <v>1991</v>
      </c>
      <c r="H405" s="6" t="s">
        <v>2017</v>
      </c>
      <c r="I405" s="6" t="s">
        <v>31</v>
      </c>
      <c r="J405" s="6" t="s">
        <v>2018</v>
      </c>
      <c r="K405" s="6" t="s">
        <v>2031</v>
      </c>
      <c r="L405" s="6" t="s">
        <v>54</v>
      </c>
      <c r="M405" s="6" t="s">
        <v>54</v>
      </c>
      <c r="N405" s="6" t="s">
        <v>1491</v>
      </c>
      <c r="O405" s="6" t="s">
        <v>2019</v>
      </c>
      <c r="P405" s="6"/>
      <c r="Q405" s="8">
        <v>150</v>
      </c>
      <c r="R405" s="8">
        <v>150.44999999999999</v>
      </c>
      <c r="S405" s="8">
        <v>299.89999999999998</v>
      </c>
      <c r="T405" s="8">
        <v>14</v>
      </c>
      <c r="U405" s="8"/>
      <c r="V405" s="8">
        <v>0</v>
      </c>
      <c r="W405" s="12">
        <v>0</v>
      </c>
      <c r="Y405">
        <v>0</v>
      </c>
    </row>
    <row r="406" spans="1:25" ht="40" customHeight="1">
      <c r="A406" s="6" t="s">
        <v>2032</v>
      </c>
      <c r="B406" s="6" t="s">
        <v>2033</v>
      </c>
      <c r="C406" s="6">
        <v>150755</v>
      </c>
      <c r="D406" s="6" t="s">
        <v>126</v>
      </c>
      <c r="E406" s="6" t="s">
        <v>2034</v>
      </c>
      <c r="F406" s="6"/>
      <c r="G406" s="6" t="s">
        <v>1991</v>
      </c>
      <c r="H406" s="6" t="s">
        <v>2017</v>
      </c>
      <c r="I406" s="6" t="s">
        <v>31</v>
      </c>
      <c r="J406" s="6" t="s">
        <v>2018</v>
      </c>
      <c r="K406" s="6" t="s">
        <v>2013</v>
      </c>
      <c r="L406" s="6" t="s">
        <v>54</v>
      </c>
      <c r="M406" s="6" t="s">
        <v>54</v>
      </c>
      <c r="N406" s="6" t="s">
        <v>1491</v>
      </c>
      <c r="O406" s="6" t="s">
        <v>2019</v>
      </c>
      <c r="P406" s="6"/>
      <c r="Q406" s="8">
        <v>150</v>
      </c>
      <c r="R406" s="8">
        <v>150.44999999999999</v>
      </c>
      <c r="S406" s="8">
        <v>299.89999999999998</v>
      </c>
      <c r="T406" s="8">
        <v>14</v>
      </c>
      <c r="U406" s="8"/>
      <c r="V406" s="8">
        <v>0</v>
      </c>
      <c r="W406" s="12">
        <v>0</v>
      </c>
      <c r="Y406">
        <v>0</v>
      </c>
    </row>
    <row r="407" spans="1:25" ht="40" customHeight="1">
      <c r="A407" s="6" t="s">
        <v>2035</v>
      </c>
      <c r="B407" s="6" t="s">
        <v>2036</v>
      </c>
      <c r="C407" s="6">
        <v>150773</v>
      </c>
      <c r="D407" s="6" t="s">
        <v>27</v>
      </c>
      <c r="E407" s="6" t="s">
        <v>2037</v>
      </c>
      <c r="F407" s="6"/>
      <c r="G407" s="6" t="s">
        <v>2038</v>
      </c>
      <c r="H407" s="6" t="s">
        <v>2039</v>
      </c>
      <c r="I407" s="6" t="s">
        <v>31</v>
      </c>
      <c r="J407" s="6" t="s">
        <v>2040</v>
      </c>
      <c r="K407" s="6" t="s">
        <v>1854</v>
      </c>
      <c r="L407" s="6" t="s">
        <v>54</v>
      </c>
      <c r="M407" s="6" t="s">
        <v>54</v>
      </c>
      <c r="N407" s="6" t="s">
        <v>1491</v>
      </c>
      <c r="O407" s="6" t="s">
        <v>2041</v>
      </c>
      <c r="P407" s="6"/>
      <c r="Q407" s="8">
        <v>175</v>
      </c>
      <c r="R407" s="8">
        <v>175.52500000000001</v>
      </c>
      <c r="S407" s="8">
        <v>349.9</v>
      </c>
      <c r="T407" s="8">
        <v>14</v>
      </c>
      <c r="U407" s="8"/>
      <c r="V407" s="8">
        <v>0</v>
      </c>
      <c r="W407" s="12">
        <v>0</v>
      </c>
      <c r="Y407">
        <v>0</v>
      </c>
    </row>
    <row r="408" spans="1:25" ht="40" customHeight="1">
      <c r="A408" s="6" t="s">
        <v>2042</v>
      </c>
      <c r="B408" s="6" t="s">
        <v>2043</v>
      </c>
      <c r="C408" s="6">
        <v>150773</v>
      </c>
      <c r="D408" s="6" t="s">
        <v>126</v>
      </c>
      <c r="E408" s="6" t="s">
        <v>2044</v>
      </c>
      <c r="F408" s="6"/>
      <c r="G408" s="6" t="s">
        <v>2038</v>
      </c>
      <c r="H408" s="6" t="s">
        <v>2039</v>
      </c>
      <c r="I408" s="6" t="s">
        <v>31</v>
      </c>
      <c r="J408" s="6" t="s">
        <v>2040</v>
      </c>
      <c r="K408" s="6" t="s">
        <v>1539</v>
      </c>
      <c r="L408" s="6" t="s">
        <v>54</v>
      </c>
      <c r="M408" s="6" t="s">
        <v>54</v>
      </c>
      <c r="N408" s="6" t="s">
        <v>1491</v>
      </c>
      <c r="O408" s="6" t="s">
        <v>2041</v>
      </c>
      <c r="P408" s="6"/>
      <c r="Q408" s="8">
        <v>175</v>
      </c>
      <c r="R408" s="8">
        <v>175.52500000000001</v>
      </c>
      <c r="S408" s="8">
        <v>349.9</v>
      </c>
      <c r="T408" s="8">
        <v>14</v>
      </c>
      <c r="U408" s="8"/>
      <c r="V408" s="8">
        <v>0</v>
      </c>
      <c r="W408" s="12">
        <v>0</v>
      </c>
      <c r="Y408">
        <v>0</v>
      </c>
    </row>
    <row r="409" spans="1:25" ht="40" customHeight="1">
      <c r="A409" s="6" t="s">
        <v>2045</v>
      </c>
      <c r="B409" s="6" t="s">
        <v>2046</v>
      </c>
      <c r="C409" s="6">
        <v>150791</v>
      </c>
      <c r="D409" s="6" t="s">
        <v>1564</v>
      </c>
      <c r="E409" s="6" t="s">
        <v>2047</v>
      </c>
      <c r="F409" s="6"/>
      <c r="G409" s="6" t="s">
        <v>2048</v>
      </c>
      <c r="H409" s="6" t="s">
        <v>2049</v>
      </c>
      <c r="I409" s="6" t="s">
        <v>31</v>
      </c>
      <c r="J409" s="6" t="s">
        <v>2050</v>
      </c>
      <c r="K409" s="6" t="s">
        <v>2051</v>
      </c>
      <c r="L409" s="6" t="s">
        <v>54</v>
      </c>
      <c r="M409" s="6" t="s">
        <v>54</v>
      </c>
      <c r="N409" s="6" t="s">
        <v>1491</v>
      </c>
      <c r="O409" s="6" t="s">
        <v>2052</v>
      </c>
      <c r="P409" s="6"/>
      <c r="Q409" s="8">
        <v>190</v>
      </c>
      <c r="R409" s="8">
        <v>190.57</v>
      </c>
      <c r="S409" s="8">
        <v>379.9</v>
      </c>
      <c r="T409" s="8">
        <v>14</v>
      </c>
      <c r="U409" s="8"/>
      <c r="V409" s="8">
        <v>0</v>
      </c>
      <c r="W409" s="12">
        <v>0</v>
      </c>
      <c r="Y409">
        <v>0</v>
      </c>
    </row>
    <row r="410" spans="1:25" ht="40" customHeight="1">
      <c r="A410" s="6" t="s">
        <v>2053</v>
      </c>
      <c r="B410" s="6" t="s">
        <v>2054</v>
      </c>
      <c r="C410" s="6">
        <v>150791</v>
      </c>
      <c r="D410" s="6" t="s">
        <v>747</v>
      </c>
      <c r="E410" s="6" t="s">
        <v>2055</v>
      </c>
      <c r="F410" s="6"/>
      <c r="G410" s="6" t="s">
        <v>2048</v>
      </c>
      <c r="H410" s="6" t="s">
        <v>2049</v>
      </c>
      <c r="I410" s="6" t="s">
        <v>31</v>
      </c>
      <c r="J410" s="6" t="s">
        <v>2050</v>
      </c>
      <c r="K410" s="6" t="s">
        <v>2056</v>
      </c>
      <c r="L410" s="6" t="s">
        <v>54</v>
      </c>
      <c r="M410" s="6" t="s">
        <v>54</v>
      </c>
      <c r="N410" s="6" t="s">
        <v>1491</v>
      </c>
      <c r="O410" s="6" t="s">
        <v>2052</v>
      </c>
      <c r="P410" s="6"/>
      <c r="Q410" s="8">
        <v>190</v>
      </c>
      <c r="R410" s="8">
        <v>190.57</v>
      </c>
      <c r="S410" s="8">
        <v>379.9</v>
      </c>
      <c r="T410" s="8">
        <v>14</v>
      </c>
      <c r="U410" s="8"/>
      <c r="V410" s="8">
        <v>0</v>
      </c>
      <c r="W410" s="12">
        <v>0</v>
      </c>
      <c r="Y410">
        <v>0</v>
      </c>
    </row>
    <row r="411" spans="1:25" ht="40" customHeight="1">
      <c r="A411" s="6" t="s">
        <v>2057</v>
      </c>
      <c r="B411" s="6" t="s">
        <v>2058</v>
      </c>
      <c r="C411" s="6">
        <v>150791</v>
      </c>
      <c r="D411" s="6" t="s">
        <v>2059</v>
      </c>
      <c r="E411" s="6" t="s">
        <v>2060</v>
      </c>
      <c r="F411" s="6"/>
      <c r="G411" s="6" t="s">
        <v>2048</v>
      </c>
      <c r="H411" s="6" t="s">
        <v>2049</v>
      </c>
      <c r="I411" s="6" t="s">
        <v>31</v>
      </c>
      <c r="J411" s="6" t="s">
        <v>2050</v>
      </c>
      <c r="K411" s="6" t="s">
        <v>2061</v>
      </c>
      <c r="L411" s="6" t="s">
        <v>54</v>
      </c>
      <c r="M411" s="6" t="s">
        <v>54</v>
      </c>
      <c r="N411" s="6" t="s">
        <v>1491</v>
      </c>
      <c r="O411" s="6" t="s">
        <v>2052</v>
      </c>
      <c r="P411" s="6"/>
      <c r="Q411" s="8">
        <v>190</v>
      </c>
      <c r="R411" s="8">
        <v>190.57</v>
      </c>
      <c r="S411" s="8">
        <v>379.9</v>
      </c>
      <c r="T411" s="8">
        <v>14</v>
      </c>
      <c r="U411" s="8"/>
      <c r="V411" s="8">
        <v>0</v>
      </c>
      <c r="W411" s="12">
        <v>0</v>
      </c>
      <c r="Y411">
        <v>0</v>
      </c>
    </row>
    <row r="412" spans="1:25" ht="40" customHeight="1">
      <c r="A412" s="6" t="s">
        <v>2062</v>
      </c>
      <c r="B412" s="6" t="s">
        <v>2063</v>
      </c>
      <c r="C412" s="6">
        <v>150802</v>
      </c>
      <c r="D412" s="6" t="s">
        <v>27</v>
      </c>
      <c r="E412" s="6" t="s">
        <v>2064</v>
      </c>
      <c r="F412" s="6"/>
      <c r="G412" s="6" t="s">
        <v>2065</v>
      </c>
      <c r="H412" s="6" t="s">
        <v>2066</v>
      </c>
      <c r="I412" s="6" t="s">
        <v>31</v>
      </c>
      <c r="J412" s="6" t="s">
        <v>2067</v>
      </c>
      <c r="K412" s="6" t="s">
        <v>2068</v>
      </c>
      <c r="L412" s="6" t="s">
        <v>2069</v>
      </c>
      <c r="M412" s="6" t="s">
        <v>2070</v>
      </c>
      <c r="N412" s="6" t="s">
        <v>1491</v>
      </c>
      <c r="O412" s="6" t="s">
        <v>2071</v>
      </c>
      <c r="P412" s="6"/>
      <c r="Q412" s="8">
        <v>175</v>
      </c>
      <c r="R412" s="8">
        <v>175.52500000000001</v>
      </c>
      <c r="S412" s="8">
        <v>349.9</v>
      </c>
      <c r="T412" s="8">
        <v>14</v>
      </c>
      <c r="U412" s="8"/>
      <c r="V412" s="8">
        <v>0</v>
      </c>
      <c r="W412" s="12">
        <v>0</v>
      </c>
      <c r="X412">
        <f>VLOOKUP(E412,[1]Sheet2!$A:$C,3,FALSE)</f>
        <v>1</v>
      </c>
      <c r="Y412">
        <v>1</v>
      </c>
    </row>
    <row r="413" spans="1:25" ht="40" customHeight="1">
      <c r="A413" s="6" t="s">
        <v>2072</v>
      </c>
      <c r="B413" s="6" t="s">
        <v>2073</v>
      </c>
      <c r="C413" s="6">
        <v>150802</v>
      </c>
      <c r="D413" s="6" t="s">
        <v>147</v>
      </c>
      <c r="E413" s="6" t="s">
        <v>2074</v>
      </c>
      <c r="F413" s="6"/>
      <c r="G413" s="6" t="s">
        <v>2065</v>
      </c>
      <c r="H413" s="6" t="s">
        <v>2066</v>
      </c>
      <c r="I413" s="6" t="s">
        <v>31</v>
      </c>
      <c r="J413" s="6" t="s">
        <v>2067</v>
      </c>
      <c r="K413" s="6" t="s">
        <v>2075</v>
      </c>
      <c r="L413" s="6" t="s">
        <v>2069</v>
      </c>
      <c r="M413" s="6" t="s">
        <v>2070</v>
      </c>
      <c r="N413" s="6" t="s">
        <v>1491</v>
      </c>
      <c r="O413" s="6" t="s">
        <v>2071</v>
      </c>
      <c r="P413" s="6"/>
      <c r="Q413" s="8">
        <v>175</v>
      </c>
      <c r="R413" s="8">
        <v>175.52500000000001</v>
      </c>
      <c r="S413" s="8">
        <v>349.9</v>
      </c>
      <c r="T413" s="8">
        <v>14</v>
      </c>
      <c r="U413" s="8"/>
      <c r="V413" s="8">
        <v>0</v>
      </c>
      <c r="W413" s="12">
        <v>0</v>
      </c>
      <c r="Y413">
        <v>0</v>
      </c>
    </row>
    <row r="414" spans="1:25" ht="40" customHeight="1">
      <c r="A414" s="6" t="s">
        <v>2076</v>
      </c>
      <c r="B414" s="6" t="s">
        <v>2077</v>
      </c>
      <c r="C414" s="6">
        <v>150802</v>
      </c>
      <c r="D414" s="6" t="s">
        <v>74</v>
      </c>
      <c r="E414" s="6" t="s">
        <v>2078</v>
      </c>
      <c r="F414" s="6"/>
      <c r="G414" s="6" t="s">
        <v>2065</v>
      </c>
      <c r="H414" s="6" t="s">
        <v>2066</v>
      </c>
      <c r="I414" s="6" t="s">
        <v>31</v>
      </c>
      <c r="J414" s="6" t="s">
        <v>2067</v>
      </c>
      <c r="K414" s="6" t="s">
        <v>2079</v>
      </c>
      <c r="L414" s="6" t="s">
        <v>2069</v>
      </c>
      <c r="M414" s="6" t="s">
        <v>2070</v>
      </c>
      <c r="N414" s="6" t="s">
        <v>1491</v>
      </c>
      <c r="O414" s="6" t="s">
        <v>2071</v>
      </c>
      <c r="P414" s="6"/>
      <c r="Q414" s="8">
        <v>175</v>
      </c>
      <c r="R414" s="8">
        <v>175.52500000000001</v>
      </c>
      <c r="S414" s="8">
        <v>349.9</v>
      </c>
      <c r="T414" s="8">
        <v>14</v>
      </c>
      <c r="U414" s="8"/>
      <c r="V414" s="8">
        <v>0</v>
      </c>
      <c r="W414" s="12">
        <v>0</v>
      </c>
      <c r="Y414">
        <v>0</v>
      </c>
    </row>
    <row r="415" spans="1:25" ht="40" customHeight="1">
      <c r="A415" s="6" t="s">
        <v>2080</v>
      </c>
      <c r="B415" s="6" t="s">
        <v>2081</v>
      </c>
      <c r="C415" s="6">
        <v>150802</v>
      </c>
      <c r="D415" s="6" t="s">
        <v>89</v>
      </c>
      <c r="E415" s="6" t="s">
        <v>2082</v>
      </c>
      <c r="F415" s="6"/>
      <c r="G415" s="6" t="s">
        <v>2065</v>
      </c>
      <c r="H415" s="6" t="s">
        <v>2066</v>
      </c>
      <c r="I415" s="6" t="s">
        <v>31</v>
      </c>
      <c r="J415" s="6" t="s">
        <v>2067</v>
      </c>
      <c r="K415" s="6" t="s">
        <v>2083</v>
      </c>
      <c r="L415" s="6" t="s">
        <v>2069</v>
      </c>
      <c r="M415" s="6" t="s">
        <v>2070</v>
      </c>
      <c r="N415" s="6" t="s">
        <v>1491</v>
      </c>
      <c r="O415" s="6" t="s">
        <v>2071</v>
      </c>
      <c r="P415" s="6"/>
      <c r="Q415" s="8">
        <v>175</v>
      </c>
      <c r="R415" s="8">
        <v>175.52500000000001</v>
      </c>
      <c r="S415" s="8">
        <v>349.9</v>
      </c>
      <c r="T415" s="8">
        <v>14</v>
      </c>
      <c r="U415" s="8"/>
      <c r="V415" s="8">
        <v>0</v>
      </c>
      <c r="W415" s="12">
        <v>0</v>
      </c>
      <c r="Y415">
        <v>0</v>
      </c>
    </row>
    <row r="416" spans="1:25" ht="40" customHeight="1">
      <c r="A416" s="6" t="s">
        <v>2084</v>
      </c>
      <c r="B416" s="6" t="s">
        <v>2085</v>
      </c>
      <c r="C416" s="6">
        <v>150802</v>
      </c>
      <c r="D416" s="6" t="s">
        <v>126</v>
      </c>
      <c r="E416" s="6" t="s">
        <v>2086</v>
      </c>
      <c r="F416" s="6"/>
      <c r="G416" s="6" t="s">
        <v>2065</v>
      </c>
      <c r="H416" s="6" t="s">
        <v>2066</v>
      </c>
      <c r="I416" s="6" t="s">
        <v>31</v>
      </c>
      <c r="J416" s="6" t="s">
        <v>2067</v>
      </c>
      <c r="K416" s="6" t="s">
        <v>2087</v>
      </c>
      <c r="L416" s="6" t="s">
        <v>2069</v>
      </c>
      <c r="M416" s="6" t="s">
        <v>2070</v>
      </c>
      <c r="N416" s="6" t="s">
        <v>1491</v>
      </c>
      <c r="O416" s="6" t="s">
        <v>2071</v>
      </c>
      <c r="P416" s="6"/>
      <c r="Q416" s="8">
        <v>175</v>
      </c>
      <c r="R416" s="8">
        <v>175.52500000000001</v>
      </c>
      <c r="S416" s="8">
        <v>349.9</v>
      </c>
      <c r="T416" s="8">
        <v>14</v>
      </c>
      <c r="U416" s="8"/>
      <c r="V416" s="8">
        <v>0</v>
      </c>
      <c r="W416" s="12">
        <v>0</v>
      </c>
      <c r="Y416">
        <v>0</v>
      </c>
    </row>
    <row r="417" spans="1:25" ht="40" customHeight="1">
      <c r="A417" s="6" t="s">
        <v>2088</v>
      </c>
      <c r="B417" s="6" t="s">
        <v>2089</v>
      </c>
      <c r="C417" s="6">
        <v>150820</v>
      </c>
      <c r="D417" s="6" t="s">
        <v>1901</v>
      </c>
      <c r="E417" s="6" t="s">
        <v>2090</v>
      </c>
      <c r="F417" s="6"/>
      <c r="G417" s="6" t="s">
        <v>2091</v>
      </c>
      <c r="H417" s="6" t="s">
        <v>2092</v>
      </c>
      <c r="I417" s="6" t="s">
        <v>31</v>
      </c>
      <c r="J417" s="6" t="s">
        <v>2093</v>
      </c>
      <c r="K417" s="6" t="s">
        <v>2094</v>
      </c>
      <c r="L417" s="6" t="s">
        <v>54</v>
      </c>
      <c r="M417" s="6" t="s">
        <v>54</v>
      </c>
      <c r="N417" s="6" t="s">
        <v>1491</v>
      </c>
      <c r="O417" s="6" t="s">
        <v>1949</v>
      </c>
      <c r="P417" s="6"/>
      <c r="Q417" s="8">
        <v>200</v>
      </c>
      <c r="R417" s="8">
        <v>200.6</v>
      </c>
      <c r="S417" s="8">
        <v>399.9</v>
      </c>
      <c r="T417" s="8">
        <v>14</v>
      </c>
      <c r="U417" s="8"/>
      <c r="V417" s="8">
        <v>0</v>
      </c>
      <c r="W417" s="12">
        <v>0</v>
      </c>
      <c r="Y417">
        <v>0</v>
      </c>
    </row>
    <row r="418" spans="1:25" ht="40" customHeight="1">
      <c r="A418" s="6" t="s">
        <v>2095</v>
      </c>
      <c r="B418" s="6" t="s">
        <v>2096</v>
      </c>
      <c r="C418" s="6">
        <v>150820</v>
      </c>
      <c r="D418" s="6" t="s">
        <v>2097</v>
      </c>
      <c r="E418" s="6" t="s">
        <v>2098</v>
      </c>
      <c r="F418" s="6"/>
      <c r="G418" s="6" t="s">
        <v>2091</v>
      </c>
      <c r="H418" s="6" t="s">
        <v>2092</v>
      </c>
      <c r="I418" s="6" t="s">
        <v>31</v>
      </c>
      <c r="J418" s="6" t="s">
        <v>2093</v>
      </c>
      <c r="K418" s="6" t="s">
        <v>2099</v>
      </c>
      <c r="L418" s="6" t="s">
        <v>54</v>
      </c>
      <c r="M418" s="6" t="s">
        <v>54</v>
      </c>
      <c r="N418" s="6" t="s">
        <v>1491</v>
      </c>
      <c r="O418" s="6" t="s">
        <v>1949</v>
      </c>
      <c r="P418" s="6"/>
      <c r="Q418" s="8">
        <v>200</v>
      </c>
      <c r="R418" s="8">
        <v>200.6</v>
      </c>
      <c r="S418" s="8">
        <v>399.9</v>
      </c>
      <c r="T418" s="8">
        <v>14</v>
      </c>
      <c r="U418" s="8"/>
      <c r="V418" s="8">
        <v>0</v>
      </c>
      <c r="W418" s="12">
        <v>0</v>
      </c>
      <c r="Y418">
        <v>0</v>
      </c>
    </row>
    <row r="419" spans="1:25" ht="40" customHeight="1">
      <c r="A419" s="6" t="s">
        <v>2100</v>
      </c>
      <c r="B419" s="6" t="s">
        <v>2101</v>
      </c>
      <c r="C419" s="6">
        <v>150820</v>
      </c>
      <c r="D419" s="6" t="s">
        <v>2102</v>
      </c>
      <c r="E419" s="6" t="s">
        <v>2103</v>
      </c>
      <c r="F419" s="6"/>
      <c r="G419" s="6" t="s">
        <v>2091</v>
      </c>
      <c r="H419" s="6" t="s">
        <v>2092</v>
      </c>
      <c r="I419" s="6" t="s">
        <v>31</v>
      </c>
      <c r="J419" s="6" t="s">
        <v>2093</v>
      </c>
      <c r="K419" s="6" t="s">
        <v>2104</v>
      </c>
      <c r="L419" s="6" t="s">
        <v>54</v>
      </c>
      <c r="M419" s="6" t="s">
        <v>54</v>
      </c>
      <c r="N419" s="6" t="s">
        <v>1491</v>
      </c>
      <c r="O419" s="6" t="s">
        <v>1949</v>
      </c>
      <c r="P419" s="6"/>
      <c r="Q419" s="8">
        <v>200</v>
      </c>
      <c r="R419" s="8">
        <v>200.6</v>
      </c>
      <c r="S419" s="8">
        <v>399.9</v>
      </c>
      <c r="T419" s="8">
        <v>14</v>
      </c>
      <c r="U419" s="8"/>
      <c r="V419" s="8">
        <v>0</v>
      </c>
      <c r="W419" s="12">
        <v>0</v>
      </c>
      <c r="Y419">
        <v>0</v>
      </c>
    </row>
    <row r="420" spans="1:25" ht="40" customHeight="1">
      <c r="A420" s="6" t="s">
        <v>2105</v>
      </c>
      <c r="B420" s="6" t="s">
        <v>2106</v>
      </c>
      <c r="C420" s="6">
        <v>150881</v>
      </c>
      <c r="D420" s="6" t="s">
        <v>1564</v>
      </c>
      <c r="E420" s="6" t="s">
        <v>2107</v>
      </c>
      <c r="F420" s="6"/>
      <c r="G420" s="6" t="s">
        <v>2108</v>
      </c>
      <c r="H420" s="6" t="s">
        <v>215</v>
      </c>
      <c r="I420" s="6" t="s">
        <v>31</v>
      </c>
      <c r="J420" s="6" t="s">
        <v>2109</v>
      </c>
      <c r="K420" s="6" t="s">
        <v>2051</v>
      </c>
      <c r="L420" s="6" t="s">
        <v>54</v>
      </c>
      <c r="M420" s="6" t="s">
        <v>54</v>
      </c>
      <c r="N420" s="6" t="s">
        <v>1491</v>
      </c>
      <c r="O420" s="6" t="s">
        <v>2110</v>
      </c>
      <c r="P420" s="6"/>
      <c r="Q420" s="8">
        <v>200</v>
      </c>
      <c r="R420" s="8">
        <v>200.6</v>
      </c>
      <c r="S420" s="8">
        <v>399.9</v>
      </c>
      <c r="T420" s="8">
        <v>14</v>
      </c>
      <c r="U420" s="8"/>
      <c r="V420" s="8">
        <v>0</v>
      </c>
      <c r="W420" s="12">
        <v>0</v>
      </c>
      <c r="Y420">
        <v>0</v>
      </c>
    </row>
    <row r="421" spans="1:25" ht="40" customHeight="1">
      <c r="A421" s="6" t="s">
        <v>2111</v>
      </c>
      <c r="B421" s="6" t="s">
        <v>2112</v>
      </c>
      <c r="C421" s="6">
        <v>150881</v>
      </c>
      <c r="D421" s="6" t="s">
        <v>1286</v>
      </c>
      <c r="E421" s="6" t="s">
        <v>2113</v>
      </c>
      <c r="F421" s="6"/>
      <c r="G421" s="6" t="s">
        <v>2108</v>
      </c>
      <c r="H421" s="6" t="s">
        <v>215</v>
      </c>
      <c r="I421" s="6" t="s">
        <v>31</v>
      </c>
      <c r="J421" s="6" t="s">
        <v>2109</v>
      </c>
      <c r="K421" s="6" t="s">
        <v>2114</v>
      </c>
      <c r="L421" s="6" t="s">
        <v>54</v>
      </c>
      <c r="M421" s="6" t="s">
        <v>54</v>
      </c>
      <c r="N421" s="6" t="s">
        <v>1491</v>
      </c>
      <c r="O421" s="6" t="s">
        <v>2110</v>
      </c>
      <c r="P421" s="6"/>
      <c r="Q421" s="8">
        <v>200</v>
      </c>
      <c r="R421" s="8">
        <v>200.6</v>
      </c>
      <c r="S421" s="8">
        <v>399.9</v>
      </c>
      <c r="T421" s="8">
        <v>14</v>
      </c>
      <c r="U421" s="8"/>
      <c r="V421" s="8">
        <v>0</v>
      </c>
      <c r="W421" s="12">
        <v>0</v>
      </c>
      <c r="Y421">
        <v>0</v>
      </c>
    </row>
    <row r="422" spans="1:25" ht="40" customHeight="1">
      <c r="A422" s="6" t="s">
        <v>2115</v>
      </c>
      <c r="B422" s="6" t="s">
        <v>2116</v>
      </c>
      <c r="C422" s="6">
        <v>150892</v>
      </c>
      <c r="D422" s="6" t="s">
        <v>64</v>
      </c>
      <c r="E422" s="6" t="s">
        <v>2117</v>
      </c>
      <c r="F422" s="6"/>
      <c r="G422" s="6" t="s">
        <v>2118</v>
      </c>
      <c r="H422" s="6" t="s">
        <v>215</v>
      </c>
      <c r="I422" s="6" t="s">
        <v>31</v>
      </c>
      <c r="J422" s="6" t="s">
        <v>2119</v>
      </c>
      <c r="K422" s="6" t="s">
        <v>2120</v>
      </c>
      <c r="L422" s="6" t="s">
        <v>54</v>
      </c>
      <c r="M422" s="6" t="s">
        <v>54</v>
      </c>
      <c r="N422" s="6" t="s">
        <v>1491</v>
      </c>
      <c r="O422" s="6" t="s">
        <v>2121</v>
      </c>
      <c r="P422" s="6"/>
      <c r="Q422" s="8">
        <v>165</v>
      </c>
      <c r="R422" s="8">
        <v>165.495</v>
      </c>
      <c r="S422" s="8">
        <v>329.9</v>
      </c>
      <c r="T422" s="8">
        <v>14</v>
      </c>
      <c r="U422" s="8"/>
      <c r="V422" s="8">
        <v>0</v>
      </c>
      <c r="W422" s="12">
        <v>0</v>
      </c>
      <c r="Y422">
        <v>0</v>
      </c>
    </row>
    <row r="423" spans="1:25" ht="40" customHeight="1">
      <c r="A423" s="6" t="s">
        <v>2122</v>
      </c>
      <c r="B423" s="6" t="s">
        <v>2123</v>
      </c>
      <c r="C423" s="6">
        <v>150892</v>
      </c>
      <c r="D423" s="6" t="s">
        <v>89</v>
      </c>
      <c r="E423" s="6" t="s">
        <v>2124</v>
      </c>
      <c r="F423" s="6"/>
      <c r="G423" s="6" t="s">
        <v>2118</v>
      </c>
      <c r="H423" s="6" t="s">
        <v>215</v>
      </c>
      <c r="I423" s="6" t="s">
        <v>31</v>
      </c>
      <c r="J423" s="6" t="s">
        <v>2119</v>
      </c>
      <c r="K423" s="6" t="s">
        <v>2125</v>
      </c>
      <c r="L423" s="6" t="s">
        <v>54</v>
      </c>
      <c r="M423" s="6" t="s">
        <v>54</v>
      </c>
      <c r="N423" s="6" t="s">
        <v>1491</v>
      </c>
      <c r="O423" s="6" t="s">
        <v>2121</v>
      </c>
      <c r="P423" s="6"/>
      <c r="Q423" s="8">
        <v>165</v>
      </c>
      <c r="R423" s="8">
        <v>165.495</v>
      </c>
      <c r="S423" s="8">
        <v>329.9</v>
      </c>
      <c r="T423" s="8">
        <v>14</v>
      </c>
      <c r="U423" s="8"/>
      <c r="V423" s="8">
        <v>0</v>
      </c>
      <c r="W423" s="12">
        <v>0</v>
      </c>
      <c r="Y423">
        <v>0</v>
      </c>
    </row>
    <row r="424" spans="1:25" ht="40" customHeight="1">
      <c r="A424" s="6" t="s">
        <v>2126</v>
      </c>
      <c r="B424" s="6" t="s">
        <v>2127</v>
      </c>
      <c r="C424" s="6">
        <v>150892</v>
      </c>
      <c r="D424" s="6" t="s">
        <v>126</v>
      </c>
      <c r="E424" s="6" t="s">
        <v>2128</v>
      </c>
      <c r="F424" s="6"/>
      <c r="G424" s="6" t="s">
        <v>2118</v>
      </c>
      <c r="H424" s="6" t="s">
        <v>215</v>
      </c>
      <c r="I424" s="6" t="s">
        <v>31</v>
      </c>
      <c r="J424" s="6" t="s">
        <v>2119</v>
      </c>
      <c r="K424" s="6" t="s">
        <v>2129</v>
      </c>
      <c r="L424" s="6" t="s">
        <v>54</v>
      </c>
      <c r="M424" s="6" t="s">
        <v>54</v>
      </c>
      <c r="N424" s="6" t="s">
        <v>1491</v>
      </c>
      <c r="O424" s="6" t="s">
        <v>2121</v>
      </c>
      <c r="P424" s="6"/>
      <c r="Q424" s="8">
        <v>165</v>
      </c>
      <c r="R424" s="8">
        <v>165.495</v>
      </c>
      <c r="S424" s="8">
        <v>329.9</v>
      </c>
      <c r="T424" s="8">
        <v>14</v>
      </c>
      <c r="U424" s="8"/>
      <c r="V424" s="8">
        <v>0</v>
      </c>
      <c r="W424" s="12">
        <v>0</v>
      </c>
      <c r="Y424">
        <v>0</v>
      </c>
    </row>
    <row r="425" spans="1:25" ht="40" customHeight="1">
      <c r="A425" s="6" t="s">
        <v>2130</v>
      </c>
      <c r="B425" s="6" t="s">
        <v>2131</v>
      </c>
      <c r="C425" s="6">
        <v>155196</v>
      </c>
      <c r="D425" s="6" t="s">
        <v>27</v>
      </c>
      <c r="E425" s="6" t="s">
        <v>2132</v>
      </c>
      <c r="F425" s="6"/>
      <c r="G425" s="6" t="s">
        <v>2133</v>
      </c>
      <c r="H425" s="6" t="s">
        <v>2134</v>
      </c>
      <c r="I425" s="6" t="s">
        <v>31</v>
      </c>
      <c r="J425" s="6" t="s">
        <v>2135</v>
      </c>
      <c r="K425" s="6" t="s">
        <v>2136</v>
      </c>
      <c r="L425" s="6" t="s">
        <v>2137</v>
      </c>
      <c r="M425" s="6" t="s">
        <v>2138</v>
      </c>
      <c r="N425" s="6" t="s">
        <v>2139</v>
      </c>
      <c r="O425" s="6" t="s">
        <v>2140</v>
      </c>
      <c r="P425" s="6" t="s">
        <v>2141</v>
      </c>
      <c r="Q425" s="8">
        <v>175</v>
      </c>
      <c r="R425" s="8">
        <v>175.52500000000001</v>
      </c>
      <c r="S425" s="8">
        <v>349.9</v>
      </c>
      <c r="T425" s="8">
        <v>14</v>
      </c>
      <c r="U425" s="8"/>
      <c r="V425" s="8">
        <v>0</v>
      </c>
      <c r="W425" s="12">
        <v>0</v>
      </c>
      <c r="Y425">
        <v>0</v>
      </c>
    </row>
    <row r="426" spans="1:25" ht="40" customHeight="1">
      <c r="A426" s="6" t="s">
        <v>2142</v>
      </c>
      <c r="B426" s="6" t="s">
        <v>2143</v>
      </c>
      <c r="C426" s="6">
        <v>155196</v>
      </c>
      <c r="D426" s="6" t="s">
        <v>74</v>
      </c>
      <c r="E426" s="6" t="s">
        <v>2144</v>
      </c>
      <c r="F426" s="6"/>
      <c r="G426" s="6" t="s">
        <v>2133</v>
      </c>
      <c r="H426" s="6" t="s">
        <v>2134</v>
      </c>
      <c r="I426" s="6" t="s">
        <v>31</v>
      </c>
      <c r="J426" s="6" t="s">
        <v>2135</v>
      </c>
      <c r="K426" s="6" t="s">
        <v>2145</v>
      </c>
      <c r="L426" s="6" t="s">
        <v>2137</v>
      </c>
      <c r="M426" s="6" t="s">
        <v>2138</v>
      </c>
      <c r="N426" s="6" t="s">
        <v>2139</v>
      </c>
      <c r="O426" s="6" t="s">
        <v>2140</v>
      </c>
      <c r="P426" s="6" t="s">
        <v>2141</v>
      </c>
      <c r="Q426" s="8">
        <v>175</v>
      </c>
      <c r="R426" s="8">
        <v>175.52500000000001</v>
      </c>
      <c r="S426" s="8">
        <v>349.9</v>
      </c>
      <c r="T426" s="8">
        <v>14</v>
      </c>
      <c r="U426" s="8"/>
      <c r="V426" s="8">
        <v>0</v>
      </c>
      <c r="W426" s="12">
        <v>0</v>
      </c>
      <c r="Y426">
        <v>0</v>
      </c>
    </row>
    <row r="427" spans="1:25" ht="40" customHeight="1">
      <c r="A427" s="6" t="s">
        <v>2146</v>
      </c>
      <c r="B427" s="6" t="s">
        <v>2147</v>
      </c>
      <c r="C427" s="6">
        <v>155196</v>
      </c>
      <c r="D427" s="6" t="s">
        <v>126</v>
      </c>
      <c r="E427" s="6" t="s">
        <v>2148</v>
      </c>
      <c r="F427" s="6"/>
      <c r="G427" s="6" t="s">
        <v>2133</v>
      </c>
      <c r="H427" s="6" t="s">
        <v>2134</v>
      </c>
      <c r="I427" s="6" t="s">
        <v>31</v>
      </c>
      <c r="J427" s="6" t="s">
        <v>2135</v>
      </c>
      <c r="K427" s="6" t="s">
        <v>2149</v>
      </c>
      <c r="L427" s="6" t="s">
        <v>2137</v>
      </c>
      <c r="M427" s="6" t="s">
        <v>2138</v>
      </c>
      <c r="N427" s="6" t="s">
        <v>2139</v>
      </c>
      <c r="O427" s="6" t="s">
        <v>2140</v>
      </c>
      <c r="P427" s="6" t="s">
        <v>2141</v>
      </c>
      <c r="Q427" s="8">
        <v>175</v>
      </c>
      <c r="R427" s="8">
        <v>175.52500000000001</v>
      </c>
      <c r="S427" s="8">
        <v>349.9</v>
      </c>
      <c r="T427" s="8">
        <v>14</v>
      </c>
      <c r="U427" s="8"/>
      <c r="V427" s="8">
        <v>0</v>
      </c>
      <c r="W427" s="12">
        <v>0</v>
      </c>
      <c r="Y427">
        <v>0</v>
      </c>
    </row>
    <row r="428" spans="1:25" ht="40" customHeight="1">
      <c r="A428" s="6" t="s">
        <v>2150</v>
      </c>
      <c r="B428" s="6" t="s">
        <v>2151</v>
      </c>
      <c r="C428" s="6">
        <v>155196</v>
      </c>
      <c r="D428" s="6" t="s">
        <v>659</v>
      </c>
      <c r="E428" s="6" t="s">
        <v>2152</v>
      </c>
      <c r="F428" s="6"/>
      <c r="G428" s="6" t="s">
        <v>2133</v>
      </c>
      <c r="H428" s="6" t="s">
        <v>2134</v>
      </c>
      <c r="I428" s="6" t="s">
        <v>31</v>
      </c>
      <c r="J428" s="6" t="s">
        <v>2135</v>
      </c>
      <c r="K428" s="6" t="s">
        <v>2153</v>
      </c>
      <c r="L428" s="6" t="s">
        <v>2137</v>
      </c>
      <c r="M428" s="6" t="s">
        <v>2138</v>
      </c>
      <c r="N428" s="6" t="s">
        <v>2139</v>
      </c>
      <c r="O428" s="6" t="s">
        <v>2140</v>
      </c>
      <c r="P428" s="6" t="s">
        <v>2141</v>
      </c>
      <c r="Q428" s="8">
        <v>175</v>
      </c>
      <c r="R428" s="8">
        <v>175.52500000000001</v>
      </c>
      <c r="S428" s="8">
        <v>349.9</v>
      </c>
      <c r="T428" s="8">
        <v>14</v>
      </c>
      <c r="U428" s="8"/>
      <c r="V428" s="8">
        <v>0</v>
      </c>
      <c r="W428" s="12">
        <v>0</v>
      </c>
      <c r="Y428">
        <v>0</v>
      </c>
    </row>
    <row r="429" spans="1:25" ht="40" customHeight="1">
      <c r="A429" s="6" t="s">
        <v>2154</v>
      </c>
      <c r="B429" s="6" t="s">
        <v>2155</v>
      </c>
      <c r="C429" s="6">
        <v>172220</v>
      </c>
      <c r="D429" s="6" t="s">
        <v>2156</v>
      </c>
      <c r="E429" s="6" t="s">
        <v>2157</v>
      </c>
      <c r="F429" s="6"/>
      <c r="G429" s="6" t="s">
        <v>2158</v>
      </c>
      <c r="H429" s="6" t="s">
        <v>215</v>
      </c>
      <c r="I429" s="6" t="s">
        <v>31</v>
      </c>
      <c r="J429" s="6" t="s">
        <v>2159</v>
      </c>
      <c r="K429" s="6" t="s">
        <v>2160</v>
      </c>
      <c r="L429" s="6" t="s">
        <v>2161</v>
      </c>
      <c r="M429" s="6" t="s">
        <v>2162</v>
      </c>
      <c r="N429" s="6" t="s">
        <v>2163</v>
      </c>
      <c r="O429" s="6" t="s">
        <v>2164</v>
      </c>
      <c r="P429" s="6"/>
      <c r="Q429" s="8">
        <v>225</v>
      </c>
      <c r="R429" s="8">
        <v>225.67500000000001</v>
      </c>
      <c r="S429" s="8">
        <v>449.9</v>
      </c>
      <c r="T429" s="8">
        <v>14</v>
      </c>
      <c r="U429" s="8"/>
      <c r="V429" s="8">
        <v>0</v>
      </c>
      <c r="W429" s="12">
        <v>0</v>
      </c>
      <c r="Y429">
        <v>0</v>
      </c>
    </row>
    <row r="430" spans="1:25" ht="40" customHeight="1">
      <c r="A430" s="6" t="s">
        <v>2165</v>
      </c>
      <c r="B430" s="6" t="s">
        <v>2166</v>
      </c>
      <c r="C430" s="6">
        <v>172220</v>
      </c>
      <c r="D430" s="6" t="s">
        <v>2167</v>
      </c>
      <c r="E430" s="6" t="s">
        <v>2168</v>
      </c>
      <c r="F430" s="6"/>
      <c r="G430" s="6" t="s">
        <v>2158</v>
      </c>
      <c r="H430" s="6" t="s">
        <v>215</v>
      </c>
      <c r="I430" s="6" t="s">
        <v>31</v>
      </c>
      <c r="J430" s="6" t="s">
        <v>2159</v>
      </c>
      <c r="K430" s="6" t="s">
        <v>2169</v>
      </c>
      <c r="L430" s="6" t="s">
        <v>2161</v>
      </c>
      <c r="M430" s="6" t="s">
        <v>2162</v>
      </c>
      <c r="N430" s="6" t="s">
        <v>2163</v>
      </c>
      <c r="O430" s="6" t="s">
        <v>2164</v>
      </c>
      <c r="P430" s="6"/>
      <c r="Q430" s="8">
        <v>225</v>
      </c>
      <c r="R430" s="8">
        <v>225.67500000000001</v>
      </c>
      <c r="S430" s="8">
        <v>449.9</v>
      </c>
      <c r="T430" s="8">
        <v>14</v>
      </c>
      <c r="U430" s="8"/>
      <c r="V430" s="8">
        <v>0</v>
      </c>
      <c r="W430" s="12">
        <v>0</v>
      </c>
      <c r="Y430">
        <v>0</v>
      </c>
    </row>
    <row r="431" spans="1:25" ht="40" customHeight="1">
      <c r="A431" s="6" t="s">
        <v>2170</v>
      </c>
      <c r="B431" s="6" t="s">
        <v>2171</v>
      </c>
      <c r="C431" s="6">
        <v>172220</v>
      </c>
      <c r="D431" s="6" t="s">
        <v>2172</v>
      </c>
      <c r="E431" s="6" t="s">
        <v>2173</v>
      </c>
      <c r="F431" s="6"/>
      <c r="G431" s="6" t="s">
        <v>2158</v>
      </c>
      <c r="H431" s="6" t="s">
        <v>215</v>
      </c>
      <c r="I431" s="6" t="s">
        <v>31</v>
      </c>
      <c r="J431" s="6" t="s">
        <v>2159</v>
      </c>
      <c r="K431" s="6" t="s">
        <v>2174</v>
      </c>
      <c r="L431" s="6" t="s">
        <v>2161</v>
      </c>
      <c r="M431" s="6" t="s">
        <v>2162</v>
      </c>
      <c r="N431" s="6" t="s">
        <v>2163</v>
      </c>
      <c r="O431" s="6" t="s">
        <v>2164</v>
      </c>
      <c r="P431" s="6"/>
      <c r="Q431" s="8">
        <v>225</v>
      </c>
      <c r="R431" s="8">
        <v>225.67500000000001</v>
      </c>
      <c r="S431" s="8">
        <v>449.9</v>
      </c>
      <c r="T431" s="8">
        <v>14</v>
      </c>
      <c r="U431" s="8"/>
      <c r="V431" s="8">
        <v>0</v>
      </c>
      <c r="W431" s="12">
        <v>0</v>
      </c>
      <c r="Y431">
        <v>0</v>
      </c>
    </row>
    <row r="432" spans="1:25" ht="40" customHeight="1">
      <c r="A432" s="6" t="s">
        <v>2175</v>
      </c>
      <c r="B432" s="6" t="s">
        <v>2176</v>
      </c>
      <c r="C432" s="6">
        <v>177093</v>
      </c>
      <c r="D432" s="6" t="s">
        <v>27</v>
      </c>
      <c r="E432" s="6" t="s">
        <v>2177</v>
      </c>
      <c r="F432" s="6"/>
      <c r="G432" s="6" t="s">
        <v>2133</v>
      </c>
      <c r="H432" s="6" t="s">
        <v>2178</v>
      </c>
      <c r="I432" s="6" t="s">
        <v>31</v>
      </c>
      <c r="J432" s="6" t="s">
        <v>2179</v>
      </c>
      <c r="K432" s="6" t="s">
        <v>2180</v>
      </c>
      <c r="L432" s="6" t="s">
        <v>2181</v>
      </c>
      <c r="M432" s="6" t="s">
        <v>2182</v>
      </c>
      <c r="N432" s="6" t="s">
        <v>2139</v>
      </c>
      <c r="O432" s="6" t="s">
        <v>2183</v>
      </c>
      <c r="P432" s="6" t="s">
        <v>2141</v>
      </c>
      <c r="Q432" s="8">
        <v>175</v>
      </c>
      <c r="R432" s="8">
        <v>175.52500000000001</v>
      </c>
      <c r="S432" s="8">
        <v>349.9</v>
      </c>
      <c r="T432" s="8">
        <v>14</v>
      </c>
      <c r="U432" s="8"/>
      <c r="V432" s="8">
        <v>0</v>
      </c>
      <c r="W432" s="12">
        <v>0</v>
      </c>
      <c r="Y432">
        <v>0</v>
      </c>
    </row>
    <row r="433" spans="1:25" ht="40" customHeight="1">
      <c r="A433" s="6" t="s">
        <v>2184</v>
      </c>
      <c r="B433" s="6" t="s">
        <v>2185</v>
      </c>
      <c r="C433" s="6">
        <v>177093</v>
      </c>
      <c r="D433" s="6" t="s">
        <v>2186</v>
      </c>
      <c r="E433" s="6" t="s">
        <v>2187</v>
      </c>
      <c r="F433" s="6"/>
      <c r="G433" s="6" t="s">
        <v>2133</v>
      </c>
      <c r="H433" s="6" t="s">
        <v>2178</v>
      </c>
      <c r="I433" s="6" t="s">
        <v>31</v>
      </c>
      <c r="J433" s="6" t="s">
        <v>2179</v>
      </c>
      <c r="K433" s="6" t="s">
        <v>2188</v>
      </c>
      <c r="L433" s="6" t="s">
        <v>2181</v>
      </c>
      <c r="M433" s="6" t="s">
        <v>2182</v>
      </c>
      <c r="N433" s="6" t="s">
        <v>2139</v>
      </c>
      <c r="O433" s="6" t="s">
        <v>2183</v>
      </c>
      <c r="P433" s="6" t="s">
        <v>2141</v>
      </c>
      <c r="Q433" s="8">
        <v>175</v>
      </c>
      <c r="R433" s="8">
        <v>175.52500000000001</v>
      </c>
      <c r="S433" s="8">
        <v>349.9</v>
      </c>
      <c r="T433" s="8">
        <v>14</v>
      </c>
      <c r="U433" s="8"/>
      <c r="V433" s="8">
        <v>0</v>
      </c>
      <c r="W433" s="12">
        <v>0</v>
      </c>
      <c r="Y433">
        <v>0</v>
      </c>
    </row>
    <row r="434" spans="1:25" ht="40" customHeight="1">
      <c r="A434" s="6" t="s">
        <v>2189</v>
      </c>
      <c r="B434" s="6" t="s">
        <v>2190</v>
      </c>
      <c r="C434" s="6">
        <v>177093</v>
      </c>
      <c r="D434" s="6" t="s">
        <v>2191</v>
      </c>
      <c r="E434" s="6" t="s">
        <v>2192</v>
      </c>
      <c r="F434" s="6"/>
      <c r="G434" s="6" t="s">
        <v>2133</v>
      </c>
      <c r="H434" s="6" t="s">
        <v>2178</v>
      </c>
      <c r="I434" s="6" t="s">
        <v>31</v>
      </c>
      <c r="J434" s="6" t="s">
        <v>2179</v>
      </c>
      <c r="K434" s="6" t="s">
        <v>2193</v>
      </c>
      <c r="L434" s="6" t="s">
        <v>2181</v>
      </c>
      <c r="M434" s="6" t="s">
        <v>2182</v>
      </c>
      <c r="N434" s="6" t="s">
        <v>2139</v>
      </c>
      <c r="O434" s="6" t="s">
        <v>2183</v>
      </c>
      <c r="P434" s="6" t="s">
        <v>2141</v>
      </c>
      <c r="Q434" s="8">
        <v>175</v>
      </c>
      <c r="R434" s="8">
        <v>175.52500000000001</v>
      </c>
      <c r="S434" s="8">
        <v>349.9</v>
      </c>
      <c r="T434" s="8">
        <v>14</v>
      </c>
      <c r="U434" s="8"/>
      <c r="V434" s="8">
        <v>0</v>
      </c>
      <c r="W434" s="12">
        <v>0</v>
      </c>
      <c r="Y434">
        <v>0</v>
      </c>
    </row>
    <row r="435" spans="1:25" ht="40" customHeight="1">
      <c r="A435" s="6" t="s">
        <v>2194</v>
      </c>
      <c r="B435" s="6" t="s">
        <v>2195</v>
      </c>
      <c r="C435" s="6">
        <v>177094</v>
      </c>
      <c r="D435" s="6" t="s">
        <v>147</v>
      </c>
      <c r="E435" s="6" t="s">
        <v>2196</v>
      </c>
      <c r="F435" s="6"/>
      <c r="G435" s="6" t="s">
        <v>2133</v>
      </c>
      <c r="H435" s="6" t="s">
        <v>2197</v>
      </c>
      <c r="I435" s="6" t="s">
        <v>31</v>
      </c>
      <c r="J435" s="6" t="s">
        <v>2198</v>
      </c>
      <c r="K435" s="6" t="s">
        <v>2199</v>
      </c>
      <c r="L435" s="6" t="s">
        <v>2200</v>
      </c>
      <c r="M435" s="6" t="s">
        <v>2201</v>
      </c>
      <c r="N435" s="6" t="s">
        <v>2139</v>
      </c>
      <c r="O435" s="6" t="s">
        <v>2202</v>
      </c>
      <c r="P435" s="6" t="s">
        <v>2141</v>
      </c>
      <c r="Q435" s="8">
        <v>175</v>
      </c>
      <c r="R435" s="8">
        <v>175.52500000000001</v>
      </c>
      <c r="S435" s="8">
        <v>349.9</v>
      </c>
      <c r="T435" s="8">
        <v>14</v>
      </c>
      <c r="U435" s="8"/>
      <c r="V435" s="8">
        <v>0</v>
      </c>
      <c r="W435" s="12">
        <v>0</v>
      </c>
      <c r="Y435">
        <v>0</v>
      </c>
    </row>
    <row r="436" spans="1:25" ht="40" customHeight="1">
      <c r="A436" s="6" t="s">
        <v>2203</v>
      </c>
      <c r="B436" s="6" t="s">
        <v>2204</v>
      </c>
      <c r="C436" s="6">
        <v>177094</v>
      </c>
      <c r="D436" s="6" t="s">
        <v>317</v>
      </c>
      <c r="E436" s="6" t="s">
        <v>2205</v>
      </c>
      <c r="F436" s="6"/>
      <c r="G436" s="6" t="s">
        <v>2133</v>
      </c>
      <c r="H436" s="6" t="s">
        <v>2197</v>
      </c>
      <c r="I436" s="6" t="s">
        <v>31</v>
      </c>
      <c r="J436" s="6" t="s">
        <v>2198</v>
      </c>
      <c r="K436" s="6" t="s">
        <v>2206</v>
      </c>
      <c r="L436" s="6" t="s">
        <v>2200</v>
      </c>
      <c r="M436" s="6" t="s">
        <v>2201</v>
      </c>
      <c r="N436" s="6" t="s">
        <v>2139</v>
      </c>
      <c r="O436" s="6" t="s">
        <v>2202</v>
      </c>
      <c r="P436" s="6" t="s">
        <v>2141</v>
      </c>
      <c r="Q436" s="8">
        <v>175</v>
      </c>
      <c r="R436" s="8">
        <v>175.52500000000001</v>
      </c>
      <c r="S436" s="8">
        <v>349.9</v>
      </c>
      <c r="T436" s="8">
        <v>14</v>
      </c>
      <c r="U436" s="8"/>
      <c r="V436" s="8">
        <v>0</v>
      </c>
      <c r="W436" s="12">
        <v>0</v>
      </c>
      <c r="Y436">
        <v>0</v>
      </c>
    </row>
    <row r="437" spans="1:25" ht="40" customHeight="1">
      <c r="A437" s="6" t="s">
        <v>2207</v>
      </c>
      <c r="B437" s="6" t="s">
        <v>2208</v>
      </c>
      <c r="C437" s="6">
        <v>177094</v>
      </c>
      <c r="D437" s="6" t="s">
        <v>74</v>
      </c>
      <c r="E437" s="6" t="s">
        <v>2209</v>
      </c>
      <c r="F437" s="6"/>
      <c r="G437" s="6" t="s">
        <v>2133</v>
      </c>
      <c r="H437" s="6" t="s">
        <v>2197</v>
      </c>
      <c r="I437" s="6" t="s">
        <v>31</v>
      </c>
      <c r="J437" s="6" t="s">
        <v>2198</v>
      </c>
      <c r="K437" s="6" t="s">
        <v>2210</v>
      </c>
      <c r="L437" s="6" t="s">
        <v>2200</v>
      </c>
      <c r="M437" s="6" t="s">
        <v>2201</v>
      </c>
      <c r="N437" s="6" t="s">
        <v>2139</v>
      </c>
      <c r="O437" s="6" t="s">
        <v>2202</v>
      </c>
      <c r="P437" s="6" t="s">
        <v>2141</v>
      </c>
      <c r="Q437" s="8">
        <v>175</v>
      </c>
      <c r="R437" s="8">
        <v>175.52500000000001</v>
      </c>
      <c r="S437" s="8">
        <v>349.9</v>
      </c>
      <c r="T437" s="8">
        <v>14</v>
      </c>
      <c r="U437" s="8"/>
      <c r="V437" s="8">
        <v>0</v>
      </c>
      <c r="W437" s="12">
        <v>0</v>
      </c>
      <c r="Y437">
        <v>0</v>
      </c>
    </row>
    <row r="438" spans="1:25" ht="40" customHeight="1">
      <c r="A438" s="6" t="s">
        <v>2211</v>
      </c>
      <c r="B438" s="6" t="s">
        <v>2212</v>
      </c>
      <c r="C438" s="6">
        <v>177094</v>
      </c>
      <c r="D438" s="6" t="s">
        <v>45</v>
      </c>
      <c r="E438" s="6" t="s">
        <v>2213</v>
      </c>
      <c r="F438" s="6"/>
      <c r="G438" s="6" t="s">
        <v>2133</v>
      </c>
      <c r="H438" s="6" t="s">
        <v>2197</v>
      </c>
      <c r="I438" s="6" t="s">
        <v>31</v>
      </c>
      <c r="J438" s="6" t="s">
        <v>2198</v>
      </c>
      <c r="K438" s="6" t="s">
        <v>2214</v>
      </c>
      <c r="L438" s="6" t="s">
        <v>2200</v>
      </c>
      <c r="M438" s="6" t="s">
        <v>2201</v>
      </c>
      <c r="N438" s="6" t="s">
        <v>2139</v>
      </c>
      <c r="O438" s="6" t="s">
        <v>2202</v>
      </c>
      <c r="P438" s="6" t="s">
        <v>2141</v>
      </c>
      <c r="Q438" s="8">
        <v>175</v>
      </c>
      <c r="R438" s="8">
        <v>175.52500000000001</v>
      </c>
      <c r="S438" s="8">
        <v>349.9</v>
      </c>
      <c r="T438" s="8">
        <v>14</v>
      </c>
      <c r="U438" s="8"/>
      <c r="V438" s="8">
        <v>0</v>
      </c>
      <c r="W438" s="12">
        <v>0</v>
      </c>
      <c r="Y438">
        <v>0</v>
      </c>
    </row>
    <row r="439" spans="1:25" ht="40" customHeight="1">
      <c r="A439" s="6" t="s">
        <v>2215</v>
      </c>
      <c r="B439" s="6" t="s">
        <v>2216</v>
      </c>
      <c r="C439" s="6">
        <v>177094</v>
      </c>
      <c r="D439" s="6" t="s">
        <v>126</v>
      </c>
      <c r="E439" s="6" t="s">
        <v>2217</v>
      </c>
      <c r="F439" s="6"/>
      <c r="G439" s="6" t="s">
        <v>2133</v>
      </c>
      <c r="H439" s="6" t="s">
        <v>2197</v>
      </c>
      <c r="I439" s="6" t="s">
        <v>31</v>
      </c>
      <c r="J439" s="6" t="s">
        <v>2198</v>
      </c>
      <c r="K439" s="6" t="s">
        <v>2218</v>
      </c>
      <c r="L439" s="6" t="s">
        <v>2200</v>
      </c>
      <c r="M439" s="6" t="s">
        <v>2201</v>
      </c>
      <c r="N439" s="6" t="s">
        <v>2139</v>
      </c>
      <c r="O439" s="6" t="s">
        <v>2202</v>
      </c>
      <c r="P439" s="6" t="s">
        <v>2141</v>
      </c>
      <c r="Q439" s="8">
        <v>175</v>
      </c>
      <c r="R439" s="8">
        <v>175.52500000000001</v>
      </c>
      <c r="S439" s="8">
        <v>349.9</v>
      </c>
      <c r="T439" s="8">
        <v>14</v>
      </c>
      <c r="U439" s="8"/>
      <c r="V439" s="8">
        <v>0</v>
      </c>
      <c r="W439" s="12">
        <v>0</v>
      </c>
      <c r="Y439">
        <v>0</v>
      </c>
    </row>
    <row r="440" spans="1:25" ht="40" customHeight="1">
      <c r="A440" s="6" t="s">
        <v>2219</v>
      </c>
      <c r="B440" s="6" t="s">
        <v>2220</v>
      </c>
      <c r="C440" s="6">
        <v>177094</v>
      </c>
      <c r="D440" s="6" t="s">
        <v>659</v>
      </c>
      <c r="E440" s="6" t="s">
        <v>2221</v>
      </c>
      <c r="F440" s="6"/>
      <c r="G440" s="6" t="s">
        <v>2133</v>
      </c>
      <c r="H440" s="6" t="s">
        <v>2197</v>
      </c>
      <c r="I440" s="6" t="s">
        <v>31</v>
      </c>
      <c r="J440" s="6" t="s">
        <v>2198</v>
      </c>
      <c r="K440" s="6" t="s">
        <v>2222</v>
      </c>
      <c r="L440" s="6" t="s">
        <v>2200</v>
      </c>
      <c r="M440" s="6" t="s">
        <v>2201</v>
      </c>
      <c r="N440" s="6" t="s">
        <v>2139</v>
      </c>
      <c r="O440" s="6" t="s">
        <v>2202</v>
      </c>
      <c r="P440" s="6" t="s">
        <v>2141</v>
      </c>
      <c r="Q440" s="8">
        <v>175</v>
      </c>
      <c r="R440" s="8">
        <v>175.52500000000001</v>
      </c>
      <c r="S440" s="8">
        <v>349.9</v>
      </c>
      <c r="T440" s="8">
        <v>14</v>
      </c>
      <c r="U440" s="8"/>
      <c r="V440" s="8">
        <v>0</v>
      </c>
      <c r="W440" s="12">
        <v>0</v>
      </c>
      <c r="Y440">
        <v>0</v>
      </c>
    </row>
    <row r="441" spans="1:25" ht="40" customHeight="1">
      <c r="A441" s="6" t="s">
        <v>2223</v>
      </c>
      <c r="B441" s="6" t="s">
        <v>2224</v>
      </c>
      <c r="C441" s="6">
        <v>177181</v>
      </c>
      <c r="D441" s="6" t="s">
        <v>27</v>
      </c>
      <c r="E441" s="6" t="s">
        <v>2225</v>
      </c>
      <c r="F441" s="6"/>
      <c r="G441" s="6" t="s">
        <v>2133</v>
      </c>
      <c r="H441" s="6" t="s">
        <v>2226</v>
      </c>
      <c r="I441" s="6" t="s">
        <v>31</v>
      </c>
      <c r="J441" s="6" t="s">
        <v>2227</v>
      </c>
      <c r="K441" s="6" t="s">
        <v>2228</v>
      </c>
      <c r="L441" s="6" t="s">
        <v>2229</v>
      </c>
      <c r="M441" s="6" t="s">
        <v>2230</v>
      </c>
      <c r="N441" s="6" t="s">
        <v>2139</v>
      </c>
      <c r="O441" s="6" t="s">
        <v>2231</v>
      </c>
      <c r="P441" s="6"/>
      <c r="Q441" s="8">
        <v>200</v>
      </c>
      <c r="R441" s="8">
        <v>200.6</v>
      </c>
      <c r="S441" s="8">
        <v>399.9</v>
      </c>
      <c r="T441" s="8">
        <v>14</v>
      </c>
      <c r="U441" s="8"/>
      <c r="V441" s="8">
        <v>0</v>
      </c>
      <c r="W441" s="12">
        <v>0</v>
      </c>
      <c r="Y441">
        <v>0</v>
      </c>
    </row>
    <row r="442" spans="1:25" ht="40" customHeight="1">
      <c r="A442" s="6" t="s">
        <v>2232</v>
      </c>
      <c r="B442" s="6" t="s">
        <v>2233</v>
      </c>
      <c r="C442" s="6">
        <v>177181</v>
      </c>
      <c r="D442" s="6" t="s">
        <v>109</v>
      </c>
      <c r="E442" s="6" t="s">
        <v>2234</v>
      </c>
      <c r="F442" s="6"/>
      <c r="G442" s="6" t="s">
        <v>2133</v>
      </c>
      <c r="H442" s="6" t="s">
        <v>2226</v>
      </c>
      <c r="I442" s="6" t="s">
        <v>31</v>
      </c>
      <c r="J442" s="6" t="s">
        <v>2227</v>
      </c>
      <c r="K442" s="6" t="s">
        <v>2235</v>
      </c>
      <c r="L442" s="6" t="s">
        <v>2229</v>
      </c>
      <c r="M442" s="6" t="s">
        <v>2230</v>
      </c>
      <c r="N442" s="6" t="s">
        <v>2139</v>
      </c>
      <c r="O442" s="6" t="s">
        <v>2231</v>
      </c>
      <c r="P442" s="6"/>
      <c r="Q442" s="8">
        <v>200</v>
      </c>
      <c r="R442" s="8">
        <v>200.6</v>
      </c>
      <c r="S442" s="8">
        <v>399.9</v>
      </c>
      <c r="T442" s="8">
        <v>14</v>
      </c>
      <c r="U442" s="8"/>
      <c r="V442" s="8">
        <v>0</v>
      </c>
      <c r="W442" s="12">
        <v>0</v>
      </c>
      <c r="Y442">
        <v>0</v>
      </c>
    </row>
    <row r="443" spans="1:25" ht="40" customHeight="1">
      <c r="A443" s="6" t="s">
        <v>2236</v>
      </c>
      <c r="B443" s="6" t="s">
        <v>2237</v>
      </c>
      <c r="C443" s="6">
        <v>177181</v>
      </c>
      <c r="D443" s="6" t="s">
        <v>200</v>
      </c>
      <c r="E443" s="6" t="s">
        <v>2238</v>
      </c>
      <c r="F443" s="6"/>
      <c r="G443" s="6" t="s">
        <v>2133</v>
      </c>
      <c r="H443" s="6" t="s">
        <v>2226</v>
      </c>
      <c r="I443" s="6" t="s">
        <v>31</v>
      </c>
      <c r="J443" s="6" t="s">
        <v>2227</v>
      </c>
      <c r="K443" s="6" t="s">
        <v>2239</v>
      </c>
      <c r="L443" s="6" t="s">
        <v>2229</v>
      </c>
      <c r="M443" s="6" t="s">
        <v>2230</v>
      </c>
      <c r="N443" s="6" t="s">
        <v>2139</v>
      </c>
      <c r="O443" s="6" t="s">
        <v>2231</v>
      </c>
      <c r="P443" s="6"/>
      <c r="Q443" s="8">
        <v>200</v>
      </c>
      <c r="R443" s="8">
        <v>200.6</v>
      </c>
      <c r="S443" s="8">
        <v>399.9</v>
      </c>
      <c r="T443" s="8">
        <v>14</v>
      </c>
      <c r="U443" s="8"/>
      <c r="V443" s="8">
        <v>0</v>
      </c>
      <c r="W443" s="12">
        <v>0</v>
      </c>
      <c r="Y443">
        <v>0</v>
      </c>
    </row>
    <row r="444" spans="1:25" ht="40" customHeight="1">
      <c r="A444" s="6" t="s">
        <v>2240</v>
      </c>
      <c r="B444" s="6" t="s">
        <v>2241</v>
      </c>
      <c r="C444" s="6">
        <v>177220</v>
      </c>
      <c r="D444" s="6" t="s">
        <v>2156</v>
      </c>
      <c r="E444" s="6" t="s">
        <v>2242</v>
      </c>
      <c r="F444" s="6"/>
      <c r="G444" s="6" t="s">
        <v>2133</v>
      </c>
      <c r="H444" s="6" t="s">
        <v>2226</v>
      </c>
      <c r="I444" s="6" t="s">
        <v>31</v>
      </c>
      <c r="J444" s="6" t="s">
        <v>2227</v>
      </c>
      <c r="K444" s="8"/>
      <c r="L444" s="8"/>
      <c r="M444" s="8"/>
      <c r="N444" s="8"/>
      <c r="O444" s="8"/>
      <c r="P444" s="8"/>
      <c r="Q444" s="8">
        <v>225</v>
      </c>
      <c r="R444" s="8">
        <v>225.67500000000001</v>
      </c>
      <c r="S444" s="8">
        <v>449.9</v>
      </c>
      <c r="T444" s="8">
        <v>14</v>
      </c>
      <c r="U444" s="8"/>
      <c r="V444" s="8">
        <v>0</v>
      </c>
      <c r="W444" s="12">
        <v>0</v>
      </c>
      <c r="Y444">
        <v>0</v>
      </c>
    </row>
    <row r="445" spans="1:25" ht="40" customHeight="1">
      <c r="A445" s="6" t="s">
        <v>2243</v>
      </c>
      <c r="B445" s="6" t="s">
        <v>2244</v>
      </c>
      <c r="C445" s="6">
        <v>177291</v>
      </c>
      <c r="D445" s="6" t="s">
        <v>147</v>
      </c>
      <c r="E445" s="6" t="s">
        <v>2245</v>
      </c>
      <c r="F445" s="6"/>
      <c r="G445" s="6" t="s">
        <v>2246</v>
      </c>
      <c r="H445" s="6" t="s">
        <v>2247</v>
      </c>
      <c r="I445" s="6" t="s">
        <v>31</v>
      </c>
      <c r="J445" s="6" t="s">
        <v>2248</v>
      </c>
      <c r="K445" s="6" t="s">
        <v>2249</v>
      </c>
      <c r="L445" s="6" t="s">
        <v>54</v>
      </c>
      <c r="M445" s="6" t="s">
        <v>54</v>
      </c>
      <c r="N445" s="6" t="s">
        <v>2139</v>
      </c>
      <c r="O445" s="6" t="s">
        <v>420</v>
      </c>
      <c r="P445" s="6"/>
      <c r="Q445" s="8">
        <v>150</v>
      </c>
      <c r="R445" s="8">
        <v>150.44999999999999</v>
      </c>
      <c r="S445" s="8">
        <v>299.89999999999998</v>
      </c>
      <c r="T445" s="8">
        <v>14</v>
      </c>
      <c r="U445" s="8"/>
      <c r="V445" s="8">
        <v>0</v>
      </c>
      <c r="W445" s="12">
        <v>0</v>
      </c>
      <c r="X445">
        <f>VLOOKUP(E445,[1]Sheet2!$A:$C,3,FALSE)</f>
        <v>1</v>
      </c>
      <c r="Y445">
        <v>1</v>
      </c>
    </row>
    <row r="446" spans="1:25" ht="40" customHeight="1">
      <c r="A446" s="6" t="s">
        <v>2250</v>
      </c>
      <c r="B446" s="6" t="s">
        <v>2251</v>
      </c>
      <c r="C446" s="6">
        <v>177291</v>
      </c>
      <c r="D446" s="6" t="s">
        <v>126</v>
      </c>
      <c r="E446" s="6" t="s">
        <v>2252</v>
      </c>
      <c r="F446" s="6"/>
      <c r="G446" s="6" t="s">
        <v>2246</v>
      </c>
      <c r="H446" s="6" t="s">
        <v>2247</v>
      </c>
      <c r="I446" s="6" t="s">
        <v>31</v>
      </c>
      <c r="J446" s="6" t="s">
        <v>2248</v>
      </c>
      <c r="K446" s="6" t="s">
        <v>2253</v>
      </c>
      <c r="L446" s="6" t="s">
        <v>54</v>
      </c>
      <c r="M446" s="6" t="s">
        <v>54</v>
      </c>
      <c r="N446" s="6" t="s">
        <v>2139</v>
      </c>
      <c r="O446" s="6" t="s">
        <v>420</v>
      </c>
      <c r="P446" s="6"/>
      <c r="Q446" s="8">
        <v>150</v>
      </c>
      <c r="R446" s="8">
        <v>150.44999999999999</v>
      </c>
      <c r="S446" s="8">
        <v>299.89999999999998</v>
      </c>
      <c r="T446" s="8">
        <v>14</v>
      </c>
      <c r="U446" s="8"/>
      <c r="V446" s="8">
        <v>0</v>
      </c>
      <c r="W446" s="12">
        <v>0</v>
      </c>
      <c r="X446">
        <f>VLOOKUP(E446,[1]Sheet2!$A:$C,3,FALSE)</f>
        <v>1</v>
      </c>
      <c r="Y446">
        <v>1</v>
      </c>
    </row>
    <row r="447" spans="1:25" ht="40" customHeight="1">
      <c r="A447" s="6" t="s">
        <v>2254</v>
      </c>
      <c r="B447" s="6" t="s">
        <v>2255</v>
      </c>
      <c r="C447" s="6">
        <v>177520</v>
      </c>
      <c r="D447" s="6" t="s">
        <v>147</v>
      </c>
      <c r="E447" s="6" t="s">
        <v>2256</v>
      </c>
      <c r="F447" s="6"/>
      <c r="G447" s="6" t="s">
        <v>2257</v>
      </c>
      <c r="H447" s="6" t="s">
        <v>2258</v>
      </c>
      <c r="I447" s="6" t="s">
        <v>31</v>
      </c>
      <c r="J447" s="6" t="s">
        <v>2259</v>
      </c>
      <c r="K447" s="6" t="s">
        <v>2249</v>
      </c>
      <c r="L447" s="6" t="s">
        <v>2260</v>
      </c>
      <c r="M447" s="6" t="s">
        <v>2261</v>
      </c>
      <c r="N447" s="6" t="s">
        <v>2139</v>
      </c>
      <c r="O447" s="6" t="s">
        <v>2262</v>
      </c>
      <c r="P447" s="6" t="s">
        <v>2141</v>
      </c>
      <c r="Q447" s="8">
        <v>175</v>
      </c>
      <c r="R447" s="8">
        <v>175.52500000000001</v>
      </c>
      <c r="S447" s="8">
        <v>349.9</v>
      </c>
      <c r="T447" s="8">
        <v>14</v>
      </c>
      <c r="U447" s="8"/>
      <c r="V447" s="8">
        <v>0</v>
      </c>
      <c r="W447" s="12">
        <v>0</v>
      </c>
      <c r="Y447">
        <v>0</v>
      </c>
    </row>
    <row r="448" spans="1:25" ht="40" customHeight="1">
      <c r="A448" s="6" t="s">
        <v>2263</v>
      </c>
      <c r="B448" s="6" t="s">
        <v>2264</v>
      </c>
      <c r="C448" s="6">
        <v>177520</v>
      </c>
      <c r="D448" s="6" t="s">
        <v>1759</v>
      </c>
      <c r="E448" s="6" t="s">
        <v>2265</v>
      </c>
      <c r="F448" s="6"/>
      <c r="G448" s="6" t="s">
        <v>2257</v>
      </c>
      <c r="H448" s="6" t="s">
        <v>2258</v>
      </c>
      <c r="I448" s="6" t="s">
        <v>31</v>
      </c>
      <c r="J448" s="6" t="s">
        <v>2259</v>
      </c>
      <c r="K448" s="6" t="s">
        <v>2266</v>
      </c>
      <c r="L448" s="6" t="s">
        <v>2260</v>
      </c>
      <c r="M448" s="6" t="s">
        <v>2261</v>
      </c>
      <c r="N448" s="6" t="s">
        <v>2139</v>
      </c>
      <c r="O448" s="6" t="s">
        <v>2262</v>
      </c>
      <c r="P448" s="6" t="s">
        <v>2141</v>
      </c>
      <c r="Q448" s="8">
        <v>175</v>
      </c>
      <c r="R448" s="8">
        <v>175.52500000000001</v>
      </c>
      <c r="S448" s="8">
        <v>349.9</v>
      </c>
      <c r="T448" s="8">
        <v>14</v>
      </c>
      <c r="U448" s="8"/>
      <c r="V448" s="8">
        <v>0</v>
      </c>
      <c r="W448" s="12">
        <v>0</v>
      </c>
      <c r="Y448">
        <v>0</v>
      </c>
    </row>
    <row r="449" spans="1:25" ht="40" customHeight="1">
      <c r="A449" s="6" t="s">
        <v>2267</v>
      </c>
      <c r="B449" s="6" t="s">
        <v>2268</v>
      </c>
      <c r="C449" s="6">
        <v>177520</v>
      </c>
      <c r="D449" s="6" t="s">
        <v>126</v>
      </c>
      <c r="E449" s="6" t="s">
        <v>2269</v>
      </c>
      <c r="F449" s="6"/>
      <c r="G449" s="6" t="s">
        <v>2257</v>
      </c>
      <c r="H449" s="6" t="s">
        <v>2258</v>
      </c>
      <c r="I449" s="6" t="s">
        <v>31</v>
      </c>
      <c r="J449" s="6" t="s">
        <v>2259</v>
      </c>
      <c r="K449" s="6" t="s">
        <v>2253</v>
      </c>
      <c r="L449" s="6" t="s">
        <v>2260</v>
      </c>
      <c r="M449" s="6" t="s">
        <v>2261</v>
      </c>
      <c r="N449" s="6" t="s">
        <v>2139</v>
      </c>
      <c r="O449" s="6" t="s">
        <v>2262</v>
      </c>
      <c r="P449" s="6" t="s">
        <v>2141</v>
      </c>
      <c r="Q449" s="8">
        <v>175</v>
      </c>
      <c r="R449" s="8">
        <v>175.52500000000001</v>
      </c>
      <c r="S449" s="8">
        <v>349.9</v>
      </c>
      <c r="T449" s="8">
        <v>14</v>
      </c>
      <c r="U449" s="8"/>
      <c r="V449" s="8">
        <v>0</v>
      </c>
      <c r="W449" s="12">
        <v>0</v>
      </c>
      <c r="Y449">
        <v>0</v>
      </c>
    </row>
    <row r="450" spans="1:25" ht="40" customHeight="1">
      <c r="A450" s="6" t="s">
        <v>2270</v>
      </c>
      <c r="B450" s="6" t="s">
        <v>2271</v>
      </c>
      <c r="C450" s="6">
        <v>177606</v>
      </c>
      <c r="D450" s="6" t="s">
        <v>27</v>
      </c>
      <c r="E450" s="6" t="s">
        <v>2272</v>
      </c>
      <c r="F450" s="6"/>
      <c r="G450" s="6" t="s">
        <v>2273</v>
      </c>
      <c r="H450" s="6" t="s">
        <v>2274</v>
      </c>
      <c r="I450" s="6" t="s">
        <v>31</v>
      </c>
      <c r="J450" s="6" t="s">
        <v>2275</v>
      </c>
      <c r="K450" s="6" t="s">
        <v>2276</v>
      </c>
      <c r="L450" s="6" t="s">
        <v>2277</v>
      </c>
      <c r="M450" s="6" t="s">
        <v>2278</v>
      </c>
      <c r="N450" s="6" t="s">
        <v>2139</v>
      </c>
      <c r="O450" s="6" t="s">
        <v>2231</v>
      </c>
      <c r="P450" s="6"/>
      <c r="Q450" s="8">
        <v>185</v>
      </c>
      <c r="R450" s="8">
        <v>185.55500000000001</v>
      </c>
      <c r="S450" s="8">
        <v>369.9</v>
      </c>
      <c r="T450" s="8">
        <v>14</v>
      </c>
      <c r="U450" s="8"/>
      <c r="V450" s="8">
        <v>0</v>
      </c>
      <c r="W450" s="12">
        <v>0</v>
      </c>
      <c r="Y450">
        <v>0</v>
      </c>
    </row>
    <row r="451" spans="1:25" ht="40" customHeight="1">
      <c r="A451" s="6" t="s">
        <v>2279</v>
      </c>
      <c r="B451" s="6" t="s">
        <v>2280</v>
      </c>
      <c r="C451" s="6">
        <v>177606</v>
      </c>
      <c r="D451" s="6" t="s">
        <v>561</v>
      </c>
      <c r="E451" s="6" t="s">
        <v>2281</v>
      </c>
      <c r="F451" s="6"/>
      <c r="G451" s="6" t="s">
        <v>2273</v>
      </c>
      <c r="H451" s="6" t="s">
        <v>2274</v>
      </c>
      <c r="I451" s="6" t="s">
        <v>31</v>
      </c>
      <c r="J451" s="6" t="s">
        <v>2275</v>
      </c>
      <c r="K451" s="6" t="s">
        <v>2282</v>
      </c>
      <c r="L451" s="6" t="s">
        <v>2277</v>
      </c>
      <c r="M451" s="6" t="s">
        <v>2278</v>
      </c>
      <c r="N451" s="6" t="s">
        <v>2139</v>
      </c>
      <c r="O451" s="6" t="s">
        <v>2231</v>
      </c>
      <c r="P451" s="6"/>
      <c r="Q451" s="8">
        <v>185</v>
      </c>
      <c r="R451" s="8">
        <v>185.55500000000001</v>
      </c>
      <c r="S451" s="8">
        <v>369.9</v>
      </c>
      <c r="T451" s="8">
        <v>14</v>
      </c>
      <c r="U451" s="8"/>
      <c r="V451" s="8">
        <v>0</v>
      </c>
      <c r="W451" s="12">
        <v>0</v>
      </c>
      <c r="Y451">
        <v>0</v>
      </c>
    </row>
    <row r="452" spans="1:25" ht="40" customHeight="1">
      <c r="A452" s="6" t="s">
        <v>2283</v>
      </c>
      <c r="B452" s="6" t="s">
        <v>2284</v>
      </c>
      <c r="C452" s="6">
        <v>177606</v>
      </c>
      <c r="D452" s="6" t="s">
        <v>1792</v>
      </c>
      <c r="E452" s="6" t="s">
        <v>2285</v>
      </c>
      <c r="F452" s="6"/>
      <c r="G452" s="6" t="s">
        <v>2273</v>
      </c>
      <c r="H452" s="6" t="s">
        <v>2274</v>
      </c>
      <c r="I452" s="6" t="s">
        <v>31</v>
      </c>
      <c r="J452" s="6" t="s">
        <v>2275</v>
      </c>
      <c r="K452" s="6" t="s">
        <v>2286</v>
      </c>
      <c r="L452" s="6" t="s">
        <v>2277</v>
      </c>
      <c r="M452" s="6" t="s">
        <v>2278</v>
      </c>
      <c r="N452" s="6" t="s">
        <v>2139</v>
      </c>
      <c r="O452" s="6" t="s">
        <v>2231</v>
      </c>
      <c r="P452" s="6"/>
      <c r="Q452" s="8">
        <v>185</v>
      </c>
      <c r="R452" s="8">
        <v>185.55500000000001</v>
      </c>
      <c r="S452" s="8">
        <v>369.9</v>
      </c>
      <c r="T452" s="8">
        <v>14</v>
      </c>
      <c r="U452" s="8"/>
      <c r="V452" s="8">
        <v>0</v>
      </c>
      <c r="W452" s="12">
        <v>0</v>
      </c>
      <c r="Y452">
        <v>0</v>
      </c>
    </row>
    <row r="453" spans="1:25" ht="40" customHeight="1">
      <c r="A453" s="6" t="s">
        <v>2287</v>
      </c>
      <c r="B453" s="6" t="s">
        <v>2288</v>
      </c>
      <c r="C453" s="6">
        <v>177857</v>
      </c>
      <c r="D453" s="6" t="s">
        <v>147</v>
      </c>
      <c r="E453" s="6" t="s">
        <v>2289</v>
      </c>
      <c r="F453" s="6"/>
      <c r="G453" s="6" t="s">
        <v>2133</v>
      </c>
      <c r="H453" s="6" t="s">
        <v>2290</v>
      </c>
      <c r="I453" s="6" t="s">
        <v>31</v>
      </c>
      <c r="J453" s="6" t="s">
        <v>2291</v>
      </c>
      <c r="K453" s="6" t="s">
        <v>2292</v>
      </c>
      <c r="L453" s="6" t="s">
        <v>2260</v>
      </c>
      <c r="M453" s="6" t="s">
        <v>2293</v>
      </c>
      <c r="N453" s="6" t="s">
        <v>2139</v>
      </c>
      <c r="O453" s="6" t="s">
        <v>2231</v>
      </c>
      <c r="P453" s="6"/>
      <c r="Q453" s="8">
        <v>175</v>
      </c>
      <c r="R453" s="8">
        <v>175.52500000000001</v>
      </c>
      <c r="S453" s="8">
        <v>349.9</v>
      </c>
      <c r="T453" s="8">
        <v>14</v>
      </c>
      <c r="U453" s="8"/>
      <c r="V453" s="8">
        <v>0</v>
      </c>
      <c r="W453" s="12">
        <v>0</v>
      </c>
      <c r="Y453">
        <v>0</v>
      </c>
    </row>
    <row r="454" spans="1:25" ht="40" customHeight="1">
      <c r="A454" s="6" t="s">
        <v>2294</v>
      </c>
      <c r="B454" s="6" t="s">
        <v>2295</v>
      </c>
      <c r="C454" s="6">
        <v>177857</v>
      </c>
      <c r="D454" s="6" t="s">
        <v>2296</v>
      </c>
      <c r="E454" s="6" t="s">
        <v>2297</v>
      </c>
      <c r="F454" s="6"/>
      <c r="G454" s="6" t="s">
        <v>2133</v>
      </c>
      <c r="H454" s="6" t="s">
        <v>2290</v>
      </c>
      <c r="I454" s="6" t="s">
        <v>31</v>
      </c>
      <c r="J454" s="6" t="s">
        <v>2291</v>
      </c>
      <c r="K454" s="6" t="s">
        <v>2298</v>
      </c>
      <c r="L454" s="6" t="s">
        <v>2260</v>
      </c>
      <c r="M454" s="6" t="s">
        <v>2293</v>
      </c>
      <c r="N454" s="6" t="s">
        <v>2139</v>
      </c>
      <c r="O454" s="6" t="s">
        <v>2231</v>
      </c>
      <c r="P454" s="6"/>
      <c r="Q454" s="8">
        <v>175</v>
      </c>
      <c r="R454" s="8">
        <v>175.52500000000001</v>
      </c>
      <c r="S454" s="8">
        <v>349.9</v>
      </c>
      <c r="T454" s="8">
        <v>14</v>
      </c>
      <c r="U454" s="8"/>
      <c r="V454" s="8">
        <v>0</v>
      </c>
      <c r="W454" s="12">
        <v>0</v>
      </c>
      <c r="Y454">
        <v>0</v>
      </c>
    </row>
    <row r="455" spans="1:25" ht="40" customHeight="1">
      <c r="A455" s="6" t="s">
        <v>2299</v>
      </c>
      <c r="B455" s="6" t="s">
        <v>2300</v>
      </c>
      <c r="C455" s="6">
        <v>177857</v>
      </c>
      <c r="D455" s="6" t="s">
        <v>126</v>
      </c>
      <c r="E455" s="6" t="s">
        <v>2301</v>
      </c>
      <c r="F455" s="6"/>
      <c r="G455" s="6" t="s">
        <v>2133</v>
      </c>
      <c r="H455" s="6" t="s">
        <v>2290</v>
      </c>
      <c r="I455" s="6" t="s">
        <v>31</v>
      </c>
      <c r="J455" s="6" t="s">
        <v>2291</v>
      </c>
      <c r="K455" s="6" t="s">
        <v>2302</v>
      </c>
      <c r="L455" s="6" t="s">
        <v>2260</v>
      </c>
      <c r="M455" s="6" t="s">
        <v>2293</v>
      </c>
      <c r="N455" s="6" t="s">
        <v>2139</v>
      </c>
      <c r="O455" s="6" t="s">
        <v>2231</v>
      </c>
      <c r="P455" s="6"/>
      <c r="Q455" s="8">
        <v>175</v>
      </c>
      <c r="R455" s="8">
        <v>175.52500000000001</v>
      </c>
      <c r="S455" s="8">
        <v>349.9</v>
      </c>
      <c r="T455" s="8">
        <v>14</v>
      </c>
      <c r="U455" s="8"/>
      <c r="V455" s="8">
        <v>0</v>
      </c>
      <c r="W455" s="12">
        <v>0</v>
      </c>
      <c r="Y455">
        <v>0</v>
      </c>
    </row>
    <row r="456" spans="1:25" ht="40" customHeight="1">
      <c r="A456" s="6" t="s">
        <v>2303</v>
      </c>
      <c r="B456" s="6" t="s">
        <v>2304</v>
      </c>
      <c r="C456" s="6">
        <v>177859</v>
      </c>
      <c r="D456" s="6" t="s">
        <v>147</v>
      </c>
      <c r="E456" s="6" t="s">
        <v>2305</v>
      </c>
      <c r="F456" s="6"/>
      <c r="G456" s="6" t="s">
        <v>2133</v>
      </c>
      <c r="H456" s="6" t="s">
        <v>2306</v>
      </c>
      <c r="I456" s="6" t="s">
        <v>31</v>
      </c>
      <c r="J456" s="6" t="s">
        <v>2307</v>
      </c>
      <c r="K456" s="6" t="s">
        <v>2308</v>
      </c>
      <c r="L456" s="6" t="s">
        <v>54</v>
      </c>
      <c r="M456" s="6" t="s">
        <v>54</v>
      </c>
      <c r="N456" s="6" t="s">
        <v>2139</v>
      </c>
      <c r="O456" s="6" t="s">
        <v>2231</v>
      </c>
      <c r="P456" s="6"/>
      <c r="Q456" s="8">
        <v>190</v>
      </c>
      <c r="R456" s="8">
        <v>190.57</v>
      </c>
      <c r="S456" s="8">
        <v>379.9</v>
      </c>
      <c r="T456" s="8">
        <v>14</v>
      </c>
      <c r="U456" s="8"/>
      <c r="V456" s="8">
        <v>0</v>
      </c>
      <c r="W456" s="12">
        <v>0</v>
      </c>
      <c r="Y456">
        <v>0</v>
      </c>
    </row>
    <row r="457" spans="1:25" ht="40" customHeight="1">
      <c r="A457" s="6" t="s">
        <v>2309</v>
      </c>
      <c r="B457" s="6" t="s">
        <v>2310</v>
      </c>
      <c r="C457" s="6">
        <v>177859</v>
      </c>
      <c r="D457" s="6" t="s">
        <v>2311</v>
      </c>
      <c r="E457" s="6" t="s">
        <v>2312</v>
      </c>
      <c r="F457" s="6"/>
      <c r="G457" s="6" t="s">
        <v>2133</v>
      </c>
      <c r="H457" s="6" t="s">
        <v>2306</v>
      </c>
      <c r="I457" s="6" t="s">
        <v>31</v>
      </c>
      <c r="J457" s="6" t="s">
        <v>2307</v>
      </c>
      <c r="K457" s="6" t="s">
        <v>2313</v>
      </c>
      <c r="L457" s="6" t="s">
        <v>54</v>
      </c>
      <c r="M457" s="6" t="s">
        <v>54</v>
      </c>
      <c r="N457" s="6" t="s">
        <v>2139</v>
      </c>
      <c r="O457" s="6" t="s">
        <v>2231</v>
      </c>
      <c r="P457" s="6"/>
      <c r="Q457" s="8">
        <v>190</v>
      </c>
      <c r="R457" s="8">
        <v>190.57</v>
      </c>
      <c r="S457" s="8">
        <v>379.9</v>
      </c>
      <c r="T457" s="8">
        <v>14</v>
      </c>
      <c r="U457" s="8"/>
      <c r="V457" s="8">
        <v>0</v>
      </c>
      <c r="W457" s="12">
        <v>0</v>
      </c>
      <c r="Y457">
        <v>0</v>
      </c>
    </row>
    <row r="458" spans="1:25" ht="40" customHeight="1">
      <c r="A458" s="6" t="s">
        <v>2314</v>
      </c>
      <c r="B458" s="6" t="s">
        <v>2315</v>
      </c>
      <c r="C458" s="6">
        <v>177859</v>
      </c>
      <c r="D458" s="6" t="s">
        <v>699</v>
      </c>
      <c r="E458" s="6" t="s">
        <v>2316</v>
      </c>
      <c r="F458" s="6"/>
      <c r="G458" s="6" t="s">
        <v>2133</v>
      </c>
      <c r="H458" s="6" t="s">
        <v>2306</v>
      </c>
      <c r="I458" s="6" t="s">
        <v>31</v>
      </c>
      <c r="J458" s="6" t="s">
        <v>2307</v>
      </c>
      <c r="K458" s="6" t="s">
        <v>2317</v>
      </c>
      <c r="L458" s="6" t="s">
        <v>54</v>
      </c>
      <c r="M458" s="6" t="s">
        <v>54</v>
      </c>
      <c r="N458" s="6" t="s">
        <v>2139</v>
      </c>
      <c r="O458" s="6" t="s">
        <v>2231</v>
      </c>
      <c r="P458" s="6"/>
      <c r="Q458" s="8">
        <v>190</v>
      </c>
      <c r="R458" s="8">
        <v>190.57</v>
      </c>
      <c r="S458" s="8">
        <v>379.9</v>
      </c>
      <c r="T458" s="8">
        <v>14</v>
      </c>
      <c r="U458" s="8"/>
      <c r="V458" s="8">
        <v>0</v>
      </c>
      <c r="W458" s="12">
        <v>0</v>
      </c>
      <c r="Y458">
        <v>0</v>
      </c>
    </row>
    <row r="459" spans="1:25" ht="40" customHeight="1">
      <c r="A459" s="6" t="s">
        <v>2318</v>
      </c>
      <c r="B459" s="6" t="s">
        <v>2319</v>
      </c>
      <c r="C459" s="6">
        <v>177927</v>
      </c>
      <c r="D459" s="6" t="s">
        <v>1286</v>
      </c>
      <c r="E459" s="6" t="s">
        <v>2320</v>
      </c>
      <c r="F459" s="6"/>
      <c r="G459" s="6" t="s">
        <v>2133</v>
      </c>
      <c r="H459" s="6" t="s">
        <v>2321</v>
      </c>
      <c r="I459" s="6" t="s">
        <v>31</v>
      </c>
      <c r="J459" s="6" t="s">
        <v>2322</v>
      </c>
      <c r="K459" s="6" t="s">
        <v>2323</v>
      </c>
      <c r="L459" s="6" t="s">
        <v>2324</v>
      </c>
      <c r="M459" s="6" t="s">
        <v>2325</v>
      </c>
      <c r="N459" s="6" t="s">
        <v>2139</v>
      </c>
      <c r="O459" s="6" t="s">
        <v>2326</v>
      </c>
      <c r="P459" s="6"/>
      <c r="Q459" s="8">
        <v>185</v>
      </c>
      <c r="R459" s="8">
        <v>185.55500000000001</v>
      </c>
      <c r="S459" s="8">
        <v>369.9</v>
      </c>
      <c r="T459" s="8">
        <v>14</v>
      </c>
      <c r="U459" s="8"/>
      <c r="V459" s="8">
        <v>0</v>
      </c>
      <c r="W459" s="12">
        <v>0</v>
      </c>
      <c r="Y459">
        <v>0</v>
      </c>
    </row>
    <row r="460" spans="1:25" ht="40" customHeight="1">
      <c r="A460" s="6" t="s">
        <v>2327</v>
      </c>
      <c r="B460" s="6" t="s">
        <v>2328</v>
      </c>
      <c r="C460" s="6">
        <v>180134</v>
      </c>
      <c r="D460" s="6" t="s">
        <v>109</v>
      </c>
      <c r="E460" s="6" t="s">
        <v>2329</v>
      </c>
      <c r="F460" s="6"/>
      <c r="G460" s="6" t="s">
        <v>2330</v>
      </c>
      <c r="H460" s="6" t="s">
        <v>2331</v>
      </c>
      <c r="I460" s="6" t="s">
        <v>31</v>
      </c>
      <c r="J460" s="6" t="s">
        <v>2332</v>
      </c>
      <c r="K460" s="6" t="s">
        <v>2333</v>
      </c>
      <c r="L460" s="6" t="s">
        <v>2334</v>
      </c>
      <c r="M460" s="6" t="s">
        <v>2335</v>
      </c>
      <c r="N460" s="6" t="s">
        <v>2336</v>
      </c>
      <c r="O460" s="6" t="s">
        <v>2337</v>
      </c>
      <c r="P460" s="6"/>
      <c r="Q460" s="8">
        <v>175</v>
      </c>
      <c r="R460" s="8">
        <v>175.52500000000001</v>
      </c>
      <c r="S460" s="8">
        <v>349.9</v>
      </c>
      <c r="T460" s="8">
        <v>14</v>
      </c>
      <c r="U460" s="8"/>
      <c r="V460" s="8">
        <v>0</v>
      </c>
      <c r="W460" s="12">
        <v>0</v>
      </c>
      <c r="X460">
        <f>VLOOKUP(E460,[1]Sheet2!$A:$C,3,FALSE)</f>
        <v>1</v>
      </c>
      <c r="Y460">
        <v>1</v>
      </c>
    </row>
    <row r="461" spans="1:25" ht="40" customHeight="1">
      <c r="A461" s="6" t="s">
        <v>2338</v>
      </c>
      <c r="B461" s="6" t="s">
        <v>2339</v>
      </c>
      <c r="C461" s="6">
        <v>180134</v>
      </c>
      <c r="D461" s="6" t="s">
        <v>2340</v>
      </c>
      <c r="E461" s="6" t="s">
        <v>2341</v>
      </c>
      <c r="F461" s="6"/>
      <c r="G461" s="6" t="s">
        <v>2330</v>
      </c>
      <c r="H461" s="6" t="s">
        <v>2331</v>
      </c>
      <c r="I461" s="6" t="s">
        <v>31</v>
      </c>
      <c r="J461" s="6" t="s">
        <v>2332</v>
      </c>
      <c r="K461" s="6" t="s">
        <v>2342</v>
      </c>
      <c r="L461" s="6" t="s">
        <v>2334</v>
      </c>
      <c r="M461" s="6" t="s">
        <v>2335</v>
      </c>
      <c r="N461" s="6" t="s">
        <v>2336</v>
      </c>
      <c r="O461" s="6" t="s">
        <v>2337</v>
      </c>
      <c r="P461" s="6"/>
      <c r="Q461" s="8">
        <v>175</v>
      </c>
      <c r="R461" s="8">
        <v>175.52500000000001</v>
      </c>
      <c r="S461" s="8">
        <v>349.9</v>
      </c>
      <c r="T461" s="8">
        <v>14</v>
      </c>
      <c r="U461" s="8"/>
      <c r="V461" s="8">
        <v>0</v>
      </c>
      <c r="W461" s="12">
        <v>0</v>
      </c>
      <c r="Y461">
        <v>0</v>
      </c>
    </row>
    <row r="462" spans="1:25" ht="40" customHeight="1">
      <c r="A462" s="6" t="s">
        <v>2343</v>
      </c>
      <c r="B462" s="6" t="s">
        <v>2344</v>
      </c>
      <c r="C462" s="6">
        <v>180134</v>
      </c>
      <c r="D462" s="6" t="s">
        <v>456</v>
      </c>
      <c r="E462" s="6" t="s">
        <v>2345</v>
      </c>
      <c r="F462" s="6"/>
      <c r="G462" s="6" t="s">
        <v>2330</v>
      </c>
      <c r="H462" s="6" t="s">
        <v>2331</v>
      </c>
      <c r="I462" s="6" t="s">
        <v>31</v>
      </c>
      <c r="J462" s="6" t="s">
        <v>2332</v>
      </c>
      <c r="K462" s="6" t="s">
        <v>2346</v>
      </c>
      <c r="L462" s="6" t="s">
        <v>2334</v>
      </c>
      <c r="M462" s="6" t="s">
        <v>2335</v>
      </c>
      <c r="N462" s="6" t="s">
        <v>2336</v>
      </c>
      <c r="O462" s="6" t="s">
        <v>2337</v>
      </c>
      <c r="P462" s="6"/>
      <c r="Q462" s="8">
        <v>175</v>
      </c>
      <c r="R462" s="8">
        <v>175.52500000000001</v>
      </c>
      <c r="S462" s="8">
        <v>349.9</v>
      </c>
      <c r="T462" s="8">
        <v>14</v>
      </c>
      <c r="U462" s="8"/>
      <c r="V462" s="8">
        <v>0</v>
      </c>
      <c r="W462" s="12">
        <v>0</v>
      </c>
      <c r="Y462">
        <v>0</v>
      </c>
    </row>
    <row r="463" spans="1:25" ht="40" customHeight="1">
      <c r="A463" s="6" t="s">
        <v>2347</v>
      </c>
      <c r="B463" s="6" t="s">
        <v>2348</v>
      </c>
      <c r="C463" s="6">
        <v>180272</v>
      </c>
      <c r="D463" s="6" t="s">
        <v>99</v>
      </c>
      <c r="E463" s="6" t="s">
        <v>2349</v>
      </c>
      <c r="F463" s="6"/>
      <c r="G463" s="6" t="s">
        <v>2350</v>
      </c>
      <c r="H463" s="6" t="s">
        <v>215</v>
      </c>
      <c r="I463" s="6" t="s">
        <v>31</v>
      </c>
      <c r="J463" s="6" t="s">
        <v>2351</v>
      </c>
      <c r="K463" s="6" t="s">
        <v>2352</v>
      </c>
      <c r="L463" s="6" t="s">
        <v>2353</v>
      </c>
      <c r="M463" s="6" t="s">
        <v>2354</v>
      </c>
      <c r="N463" s="6" t="s">
        <v>2336</v>
      </c>
      <c r="O463" s="6" t="s">
        <v>2355</v>
      </c>
      <c r="P463" s="6"/>
      <c r="Q463" s="8">
        <v>175</v>
      </c>
      <c r="R463" s="8">
        <v>175.52500000000001</v>
      </c>
      <c r="S463" s="8">
        <v>349.9</v>
      </c>
      <c r="T463" s="8">
        <v>14</v>
      </c>
      <c r="U463" s="8"/>
      <c r="V463" s="8">
        <v>0</v>
      </c>
      <c r="W463" s="12">
        <v>0</v>
      </c>
      <c r="Y463">
        <v>0</v>
      </c>
    </row>
    <row r="464" spans="1:25" ht="40" customHeight="1">
      <c r="A464" s="6" t="s">
        <v>2356</v>
      </c>
      <c r="B464" s="6" t="s">
        <v>2357</v>
      </c>
      <c r="C464" s="6">
        <v>180272</v>
      </c>
      <c r="D464" s="6" t="s">
        <v>2311</v>
      </c>
      <c r="E464" s="6" t="s">
        <v>2358</v>
      </c>
      <c r="F464" s="6"/>
      <c r="G464" s="6" t="s">
        <v>2350</v>
      </c>
      <c r="H464" s="6" t="s">
        <v>215</v>
      </c>
      <c r="I464" s="6" t="s">
        <v>31</v>
      </c>
      <c r="J464" s="6" t="s">
        <v>2351</v>
      </c>
      <c r="K464" s="6" t="s">
        <v>2359</v>
      </c>
      <c r="L464" s="6" t="s">
        <v>2353</v>
      </c>
      <c r="M464" s="6" t="s">
        <v>2354</v>
      </c>
      <c r="N464" s="6" t="s">
        <v>2336</v>
      </c>
      <c r="O464" s="6" t="s">
        <v>2355</v>
      </c>
      <c r="P464" s="6"/>
      <c r="Q464" s="8">
        <v>175</v>
      </c>
      <c r="R464" s="8">
        <v>175.52500000000001</v>
      </c>
      <c r="S464" s="8">
        <v>349.9</v>
      </c>
      <c r="T464" s="8">
        <v>14</v>
      </c>
      <c r="U464" s="8"/>
      <c r="V464" s="8">
        <v>0</v>
      </c>
      <c r="W464" s="12">
        <v>0</v>
      </c>
      <c r="Y464">
        <v>0</v>
      </c>
    </row>
    <row r="465" spans="1:25" ht="40" customHeight="1">
      <c r="A465" s="6" t="s">
        <v>2360</v>
      </c>
      <c r="B465" s="6" t="s">
        <v>2361</v>
      </c>
      <c r="C465" s="6">
        <v>180272</v>
      </c>
      <c r="D465" s="6" t="s">
        <v>561</v>
      </c>
      <c r="E465" s="6" t="s">
        <v>2362</v>
      </c>
      <c r="F465" s="6"/>
      <c r="G465" s="6" t="s">
        <v>2350</v>
      </c>
      <c r="H465" s="6" t="s">
        <v>215</v>
      </c>
      <c r="I465" s="6" t="s">
        <v>31</v>
      </c>
      <c r="J465" s="6" t="s">
        <v>2351</v>
      </c>
      <c r="K465" s="6" t="s">
        <v>2363</v>
      </c>
      <c r="L465" s="6" t="s">
        <v>2353</v>
      </c>
      <c r="M465" s="6" t="s">
        <v>2354</v>
      </c>
      <c r="N465" s="6" t="s">
        <v>2336</v>
      </c>
      <c r="O465" s="6" t="s">
        <v>2355</v>
      </c>
      <c r="P465" s="6"/>
      <c r="Q465" s="8">
        <v>175</v>
      </c>
      <c r="R465" s="8">
        <v>175.52500000000001</v>
      </c>
      <c r="S465" s="8">
        <v>349.9</v>
      </c>
      <c r="T465" s="8">
        <v>14</v>
      </c>
      <c r="U465" s="8"/>
      <c r="V465" s="8">
        <v>0</v>
      </c>
      <c r="W465" s="12">
        <v>0</v>
      </c>
      <c r="Y465">
        <v>0</v>
      </c>
    </row>
    <row r="466" spans="1:25" ht="40" customHeight="1">
      <c r="A466" s="6" t="s">
        <v>2364</v>
      </c>
      <c r="B466" s="6" t="s">
        <v>2365</v>
      </c>
      <c r="C466" s="6">
        <v>180272</v>
      </c>
      <c r="D466" s="6" t="s">
        <v>862</v>
      </c>
      <c r="E466" s="6" t="s">
        <v>2366</v>
      </c>
      <c r="F466" s="6"/>
      <c r="G466" s="6" t="s">
        <v>2350</v>
      </c>
      <c r="H466" s="6" t="s">
        <v>215</v>
      </c>
      <c r="I466" s="6" t="s">
        <v>31</v>
      </c>
      <c r="J466" s="6" t="s">
        <v>2351</v>
      </c>
      <c r="K466" s="6" t="s">
        <v>2367</v>
      </c>
      <c r="L466" s="6" t="s">
        <v>2353</v>
      </c>
      <c r="M466" s="6" t="s">
        <v>2354</v>
      </c>
      <c r="N466" s="6" t="s">
        <v>2336</v>
      </c>
      <c r="O466" s="6" t="s">
        <v>2355</v>
      </c>
      <c r="P466" s="6"/>
      <c r="Q466" s="8">
        <v>175</v>
      </c>
      <c r="R466" s="8">
        <v>175.52500000000001</v>
      </c>
      <c r="S466" s="8">
        <v>349.9</v>
      </c>
      <c r="T466" s="8">
        <v>14</v>
      </c>
      <c r="U466" s="8"/>
      <c r="V466" s="8">
        <v>0</v>
      </c>
      <c r="W466" s="12">
        <v>0</v>
      </c>
      <c r="Y466">
        <v>0</v>
      </c>
    </row>
    <row r="467" spans="1:25" ht="40" customHeight="1">
      <c r="A467" s="6" t="s">
        <v>2368</v>
      </c>
      <c r="B467" s="6" t="s">
        <v>2369</v>
      </c>
      <c r="C467" s="6">
        <v>180401</v>
      </c>
      <c r="D467" s="6" t="s">
        <v>99</v>
      </c>
      <c r="E467" s="6" t="s">
        <v>2370</v>
      </c>
      <c r="F467" s="6"/>
      <c r="G467" s="6" t="s">
        <v>2350</v>
      </c>
      <c r="H467" s="6" t="s">
        <v>2371</v>
      </c>
      <c r="I467" s="6" t="s">
        <v>31</v>
      </c>
      <c r="J467" s="6" t="s">
        <v>2372</v>
      </c>
      <c r="K467" s="6" t="s">
        <v>2352</v>
      </c>
      <c r="L467" s="6" t="s">
        <v>54</v>
      </c>
      <c r="M467" s="6" t="s">
        <v>54</v>
      </c>
      <c r="N467" s="6" t="s">
        <v>2336</v>
      </c>
      <c r="O467" s="6" t="s">
        <v>2373</v>
      </c>
      <c r="P467" s="6"/>
      <c r="Q467" s="8">
        <v>150</v>
      </c>
      <c r="R467" s="8">
        <v>150.44999999999999</v>
      </c>
      <c r="S467" s="8">
        <v>299.89999999999998</v>
      </c>
      <c r="T467" s="8">
        <v>14</v>
      </c>
      <c r="U467" s="8"/>
      <c r="V467" s="8">
        <v>0</v>
      </c>
      <c r="W467" s="12">
        <v>0</v>
      </c>
      <c r="Y467">
        <v>0</v>
      </c>
    </row>
    <row r="468" spans="1:25" ht="40" customHeight="1">
      <c r="A468" s="6" t="s">
        <v>2374</v>
      </c>
      <c r="B468" s="6" t="s">
        <v>2375</v>
      </c>
      <c r="C468" s="6">
        <v>180401</v>
      </c>
      <c r="D468" s="6" t="s">
        <v>109</v>
      </c>
      <c r="E468" s="6" t="s">
        <v>2376</v>
      </c>
      <c r="F468" s="6"/>
      <c r="G468" s="6" t="s">
        <v>2350</v>
      </c>
      <c r="H468" s="6" t="s">
        <v>2371</v>
      </c>
      <c r="I468" s="6" t="s">
        <v>31</v>
      </c>
      <c r="J468" s="6" t="s">
        <v>2372</v>
      </c>
      <c r="K468" s="6" t="s">
        <v>2377</v>
      </c>
      <c r="L468" s="6" t="s">
        <v>54</v>
      </c>
      <c r="M468" s="6" t="s">
        <v>54</v>
      </c>
      <c r="N468" s="6" t="s">
        <v>2336</v>
      </c>
      <c r="O468" s="6" t="s">
        <v>2373</v>
      </c>
      <c r="P468" s="6"/>
      <c r="Q468" s="8">
        <v>150</v>
      </c>
      <c r="R468" s="8">
        <v>150.44999999999999</v>
      </c>
      <c r="S468" s="8">
        <v>299.89999999999998</v>
      </c>
      <c r="T468" s="8">
        <v>14</v>
      </c>
      <c r="U468" s="8"/>
      <c r="V468" s="8">
        <v>0</v>
      </c>
      <c r="W468" s="12">
        <v>0</v>
      </c>
      <c r="Y468">
        <v>0</v>
      </c>
    </row>
    <row r="469" spans="1:25" ht="40" customHeight="1">
      <c r="A469" s="5" t="s">
        <v>2378</v>
      </c>
      <c r="B469" s="6" t="s">
        <v>2379</v>
      </c>
      <c r="C469" s="6">
        <v>183004</v>
      </c>
      <c r="D469" s="6" t="s">
        <v>2380</v>
      </c>
      <c r="E469" s="6" t="s">
        <v>2381</v>
      </c>
      <c r="F469" s="6"/>
      <c r="G469" s="6" t="s">
        <v>2133</v>
      </c>
      <c r="H469" s="6" t="s">
        <v>2382</v>
      </c>
      <c r="I469" s="6" t="s">
        <v>417</v>
      </c>
      <c r="J469" s="6" t="s">
        <v>2383</v>
      </c>
      <c r="K469" s="6" t="s">
        <v>2384</v>
      </c>
      <c r="L469" s="6" t="s">
        <v>2385</v>
      </c>
      <c r="M469" s="6" t="s">
        <v>2386</v>
      </c>
      <c r="N469" s="6" t="s">
        <v>2387</v>
      </c>
      <c r="O469" s="6" t="s">
        <v>2231</v>
      </c>
      <c r="P469" s="6" t="s">
        <v>2388</v>
      </c>
      <c r="Q469" s="8">
        <v>175</v>
      </c>
      <c r="R469" s="8">
        <v>175.52500000000001</v>
      </c>
      <c r="S469" s="8">
        <v>349.9</v>
      </c>
      <c r="T469" s="8">
        <v>14</v>
      </c>
      <c r="U469" s="8"/>
      <c r="V469" s="8">
        <f t="shared" ref="V469:V501" si="2">T469*U469</f>
        <v>0</v>
      </c>
      <c r="W469" s="12">
        <f t="shared" ref="W469:W501" si="3">R469*V469</f>
        <v>0</v>
      </c>
      <c r="Y469">
        <v>0</v>
      </c>
    </row>
    <row r="470" spans="1:25" ht="40" customHeight="1">
      <c r="A470" s="5" t="s">
        <v>2389</v>
      </c>
      <c r="B470" s="6" t="s">
        <v>2390</v>
      </c>
      <c r="C470" s="6">
        <v>183004</v>
      </c>
      <c r="D470" s="6" t="s">
        <v>27</v>
      </c>
      <c r="E470" s="6" t="s">
        <v>2391</v>
      </c>
      <c r="F470" s="6"/>
      <c r="G470" s="6" t="s">
        <v>2133</v>
      </c>
      <c r="H470" s="6" t="s">
        <v>2382</v>
      </c>
      <c r="I470" s="6" t="s">
        <v>417</v>
      </c>
      <c r="J470" s="6" t="s">
        <v>2383</v>
      </c>
      <c r="K470" s="6" t="s">
        <v>2392</v>
      </c>
      <c r="L470" s="6" t="s">
        <v>2385</v>
      </c>
      <c r="M470" s="6" t="s">
        <v>2386</v>
      </c>
      <c r="N470" s="6" t="s">
        <v>2387</v>
      </c>
      <c r="O470" s="6" t="s">
        <v>2231</v>
      </c>
      <c r="P470" s="6" t="s">
        <v>2388</v>
      </c>
      <c r="Q470" s="8">
        <v>175</v>
      </c>
      <c r="R470" s="8">
        <v>175.52500000000001</v>
      </c>
      <c r="S470" s="8">
        <v>349.9</v>
      </c>
      <c r="T470" s="8">
        <v>14</v>
      </c>
      <c r="U470" s="8">
        <v>2</v>
      </c>
      <c r="V470" s="8">
        <f t="shared" si="2"/>
        <v>28</v>
      </c>
      <c r="W470" s="12">
        <f t="shared" si="3"/>
        <v>4914.7</v>
      </c>
      <c r="Y470">
        <v>2</v>
      </c>
    </row>
    <row r="471" spans="1:25" ht="40" customHeight="1">
      <c r="A471" s="5" t="s">
        <v>2393</v>
      </c>
      <c r="B471" s="6" t="s">
        <v>2394</v>
      </c>
      <c r="C471" s="6">
        <v>183004</v>
      </c>
      <c r="D471" s="6" t="s">
        <v>147</v>
      </c>
      <c r="E471" s="6" t="s">
        <v>2395</v>
      </c>
      <c r="F471" s="6"/>
      <c r="G471" s="6" t="s">
        <v>2133</v>
      </c>
      <c r="H471" s="6" t="s">
        <v>2382</v>
      </c>
      <c r="I471" s="6" t="s">
        <v>417</v>
      </c>
      <c r="J471" s="6" t="s">
        <v>2383</v>
      </c>
      <c r="K471" s="6" t="s">
        <v>2392</v>
      </c>
      <c r="L471" s="6" t="s">
        <v>2385</v>
      </c>
      <c r="M471" s="6" t="s">
        <v>2386</v>
      </c>
      <c r="N471" s="6" t="s">
        <v>2387</v>
      </c>
      <c r="O471" s="6" t="s">
        <v>2231</v>
      </c>
      <c r="P471" s="6" t="s">
        <v>2388</v>
      </c>
      <c r="Q471" s="8">
        <v>175</v>
      </c>
      <c r="R471" s="8">
        <v>175.52500000000001</v>
      </c>
      <c r="S471" s="8">
        <v>349.9</v>
      </c>
      <c r="T471" s="8">
        <v>14</v>
      </c>
      <c r="U471" s="8">
        <v>2</v>
      </c>
      <c r="V471" s="8">
        <f t="shared" si="2"/>
        <v>28</v>
      </c>
      <c r="W471" s="12">
        <f t="shared" si="3"/>
        <v>4914.7</v>
      </c>
      <c r="Y471">
        <v>2</v>
      </c>
    </row>
    <row r="472" spans="1:25" ht="40" customHeight="1">
      <c r="A472" s="5" t="s">
        <v>2396</v>
      </c>
      <c r="B472" s="6" t="s">
        <v>2397</v>
      </c>
      <c r="C472" s="6">
        <v>183004</v>
      </c>
      <c r="D472" s="6" t="s">
        <v>74</v>
      </c>
      <c r="E472" s="6" t="s">
        <v>2398</v>
      </c>
      <c r="F472" s="6"/>
      <c r="G472" s="6" t="s">
        <v>2133</v>
      </c>
      <c r="H472" s="6" t="s">
        <v>2382</v>
      </c>
      <c r="I472" s="6" t="s">
        <v>417</v>
      </c>
      <c r="J472" s="6" t="s">
        <v>2383</v>
      </c>
      <c r="K472" s="6" t="s">
        <v>2399</v>
      </c>
      <c r="L472" s="6" t="s">
        <v>2385</v>
      </c>
      <c r="M472" s="6" t="s">
        <v>2386</v>
      </c>
      <c r="N472" s="6" t="s">
        <v>2387</v>
      </c>
      <c r="O472" s="6" t="s">
        <v>2231</v>
      </c>
      <c r="P472" s="6" t="s">
        <v>2388</v>
      </c>
      <c r="Q472" s="8">
        <v>175</v>
      </c>
      <c r="R472" s="8">
        <v>175.52500000000001</v>
      </c>
      <c r="S472" s="8">
        <v>349.9</v>
      </c>
      <c r="T472" s="8">
        <v>14</v>
      </c>
      <c r="U472" s="8">
        <v>2</v>
      </c>
      <c r="V472" s="8">
        <f t="shared" si="2"/>
        <v>28</v>
      </c>
      <c r="W472" s="12">
        <f t="shared" si="3"/>
        <v>4914.7</v>
      </c>
      <c r="Y472">
        <v>2</v>
      </c>
    </row>
    <row r="473" spans="1:25" ht="40" customHeight="1">
      <c r="A473" s="5" t="s">
        <v>2400</v>
      </c>
      <c r="B473" s="6" t="s">
        <v>2401</v>
      </c>
      <c r="C473" s="6">
        <v>183004</v>
      </c>
      <c r="D473" s="6" t="s">
        <v>89</v>
      </c>
      <c r="E473" s="6" t="s">
        <v>2402</v>
      </c>
      <c r="F473" s="6"/>
      <c r="G473" s="6" t="s">
        <v>2133</v>
      </c>
      <c r="H473" s="6" t="s">
        <v>2382</v>
      </c>
      <c r="I473" s="6" t="s">
        <v>417</v>
      </c>
      <c r="J473" s="6" t="s">
        <v>2383</v>
      </c>
      <c r="K473" s="6" t="s">
        <v>2403</v>
      </c>
      <c r="L473" s="6" t="s">
        <v>2385</v>
      </c>
      <c r="M473" s="6" t="s">
        <v>2386</v>
      </c>
      <c r="N473" s="6" t="s">
        <v>2387</v>
      </c>
      <c r="O473" s="6" t="s">
        <v>2231</v>
      </c>
      <c r="P473" s="6" t="s">
        <v>2388</v>
      </c>
      <c r="Q473" s="8">
        <v>175</v>
      </c>
      <c r="R473" s="8">
        <v>175.52500000000001</v>
      </c>
      <c r="S473" s="8">
        <v>349.9</v>
      </c>
      <c r="T473" s="8">
        <v>14</v>
      </c>
      <c r="U473" s="8"/>
      <c r="V473" s="8">
        <f t="shared" si="2"/>
        <v>0</v>
      </c>
      <c r="W473" s="12">
        <f t="shared" si="3"/>
        <v>0</v>
      </c>
      <c r="Y473">
        <v>0</v>
      </c>
    </row>
    <row r="474" spans="1:25" ht="40" customHeight="1">
      <c r="A474" s="5" t="s">
        <v>2404</v>
      </c>
      <c r="B474" s="6" t="s">
        <v>2405</v>
      </c>
      <c r="C474" s="6">
        <v>183004</v>
      </c>
      <c r="D474" s="6" t="s">
        <v>2406</v>
      </c>
      <c r="E474" s="6" t="s">
        <v>2407</v>
      </c>
      <c r="F474" s="6"/>
      <c r="G474" s="6" t="s">
        <v>2133</v>
      </c>
      <c r="H474" s="6" t="s">
        <v>2382</v>
      </c>
      <c r="I474" s="6" t="s">
        <v>417</v>
      </c>
      <c r="J474" s="6" t="s">
        <v>2383</v>
      </c>
      <c r="K474" s="6" t="s">
        <v>2408</v>
      </c>
      <c r="L474" s="6" t="s">
        <v>2385</v>
      </c>
      <c r="M474" s="6" t="s">
        <v>2386</v>
      </c>
      <c r="N474" s="6" t="s">
        <v>2387</v>
      </c>
      <c r="O474" s="6" t="s">
        <v>2231</v>
      </c>
      <c r="P474" s="6" t="s">
        <v>2388</v>
      </c>
      <c r="Q474" s="8">
        <v>175</v>
      </c>
      <c r="R474" s="8">
        <v>175.52500000000001</v>
      </c>
      <c r="S474" s="8">
        <v>349.9</v>
      </c>
      <c r="T474" s="8">
        <v>14</v>
      </c>
      <c r="U474" s="8"/>
      <c r="V474" s="8">
        <f t="shared" si="2"/>
        <v>0</v>
      </c>
      <c r="W474" s="12">
        <f t="shared" si="3"/>
        <v>0</v>
      </c>
      <c r="Y474">
        <v>0</v>
      </c>
    </row>
    <row r="475" spans="1:25" ht="40" customHeight="1">
      <c r="A475" s="5" t="s">
        <v>2409</v>
      </c>
      <c r="B475" s="6" t="s">
        <v>2410</v>
      </c>
      <c r="C475" s="6">
        <v>183004</v>
      </c>
      <c r="D475" s="6" t="s">
        <v>45</v>
      </c>
      <c r="E475" s="6" t="s">
        <v>2411</v>
      </c>
      <c r="F475" s="6"/>
      <c r="G475" s="6" t="s">
        <v>2133</v>
      </c>
      <c r="H475" s="6" t="s">
        <v>2382</v>
      </c>
      <c r="I475" s="6" t="s">
        <v>417</v>
      </c>
      <c r="J475" s="6" t="s">
        <v>2383</v>
      </c>
      <c r="K475" s="6" t="s">
        <v>2412</v>
      </c>
      <c r="L475" s="6" t="s">
        <v>2385</v>
      </c>
      <c r="M475" s="6" t="s">
        <v>2386</v>
      </c>
      <c r="N475" s="6" t="s">
        <v>2387</v>
      </c>
      <c r="O475" s="6" t="s">
        <v>2231</v>
      </c>
      <c r="P475" s="6" t="s">
        <v>2388</v>
      </c>
      <c r="Q475" s="8">
        <v>175</v>
      </c>
      <c r="R475" s="8">
        <v>175.52500000000001</v>
      </c>
      <c r="S475" s="8">
        <v>349.9</v>
      </c>
      <c r="T475" s="8">
        <v>14</v>
      </c>
      <c r="U475" s="8"/>
      <c r="V475" s="8">
        <f t="shared" si="2"/>
        <v>0</v>
      </c>
      <c r="W475" s="12">
        <f t="shared" si="3"/>
        <v>0</v>
      </c>
      <c r="Y475">
        <v>0</v>
      </c>
    </row>
    <row r="476" spans="1:25" ht="40" customHeight="1">
      <c r="A476" s="5" t="s">
        <v>2413</v>
      </c>
      <c r="B476" s="6" t="s">
        <v>2414</v>
      </c>
      <c r="C476" s="6">
        <v>183004</v>
      </c>
      <c r="D476" s="6" t="s">
        <v>2415</v>
      </c>
      <c r="E476" s="6" t="s">
        <v>2416</v>
      </c>
      <c r="F476" s="6"/>
      <c r="G476" s="6" t="s">
        <v>2133</v>
      </c>
      <c r="H476" s="6" t="s">
        <v>2382</v>
      </c>
      <c r="I476" s="6" t="s">
        <v>417</v>
      </c>
      <c r="J476" s="6" t="s">
        <v>2383</v>
      </c>
      <c r="K476" s="6" t="s">
        <v>2417</v>
      </c>
      <c r="L476" s="6" t="s">
        <v>2385</v>
      </c>
      <c r="M476" s="6" t="s">
        <v>2386</v>
      </c>
      <c r="N476" s="6" t="s">
        <v>2387</v>
      </c>
      <c r="O476" s="6" t="s">
        <v>2231</v>
      </c>
      <c r="P476" s="6" t="s">
        <v>2388</v>
      </c>
      <c r="Q476" s="8">
        <v>175</v>
      </c>
      <c r="R476" s="8">
        <v>175.52500000000001</v>
      </c>
      <c r="S476" s="8">
        <v>349.9</v>
      </c>
      <c r="T476" s="8">
        <v>14</v>
      </c>
      <c r="U476" s="8">
        <v>2</v>
      </c>
      <c r="V476" s="8">
        <f t="shared" si="2"/>
        <v>28</v>
      </c>
      <c r="W476" s="12">
        <f t="shared" si="3"/>
        <v>4914.7</v>
      </c>
      <c r="Y476">
        <v>2</v>
      </c>
    </row>
    <row r="477" spans="1:25" ht="40" customHeight="1">
      <c r="A477" s="5" t="s">
        <v>2418</v>
      </c>
      <c r="B477" s="6" t="s">
        <v>2419</v>
      </c>
      <c r="C477" s="6">
        <v>183004</v>
      </c>
      <c r="D477" s="6" t="s">
        <v>126</v>
      </c>
      <c r="E477" s="6" t="s">
        <v>2420</v>
      </c>
      <c r="F477" s="6"/>
      <c r="G477" s="6" t="s">
        <v>2133</v>
      </c>
      <c r="H477" s="6" t="s">
        <v>2382</v>
      </c>
      <c r="I477" s="6" t="s">
        <v>417</v>
      </c>
      <c r="J477" s="6" t="s">
        <v>2383</v>
      </c>
      <c r="K477" s="6" t="s">
        <v>2421</v>
      </c>
      <c r="L477" s="6" t="s">
        <v>2385</v>
      </c>
      <c r="M477" s="6" t="s">
        <v>2386</v>
      </c>
      <c r="N477" s="6" t="s">
        <v>2387</v>
      </c>
      <c r="O477" s="6" t="s">
        <v>2231</v>
      </c>
      <c r="P477" s="6" t="s">
        <v>2388</v>
      </c>
      <c r="Q477" s="8">
        <v>175</v>
      </c>
      <c r="R477" s="8">
        <v>175.52500000000001</v>
      </c>
      <c r="S477" s="8">
        <v>349.9</v>
      </c>
      <c r="T477" s="8">
        <v>14</v>
      </c>
      <c r="U477" s="8">
        <v>2</v>
      </c>
      <c r="V477" s="8">
        <f t="shared" si="2"/>
        <v>28</v>
      </c>
      <c r="W477" s="12">
        <f t="shared" si="3"/>
        <v>4914.7</v>
      </c>
      <c r="Y477">
        <v>2</v>
      </c>
    </row>
    <row r="478" spans="1:25" ht="40" customHeight="1">
      <c r="A478" s="5" t="s">
        <v>2422</v>
      </c>
      <c r="B478" s="6" t="s">
        <v>2423</v>
      </c>
      <c r="C478" s="6">
        <v>183004</v>
      </c>
      <c r="D478" s="6" t="s">
        <v>2424</v>
      </c>
      <c r="E478" s="6" t="s">
        <v>2425</v>
      </c>
      <c r="F478" s="6"/>
      <c r="G478" s="6" t="s">
        <v>2133</v>
      </c>
      <c r="H478" s="6" t="s">
        <v>2382</v>
      </c>
      <c r="I478" s="6" t="s">
        <v>417</v>
      </c>
      <c r="J478" s="6" t="s">
        <v>2383</v>
      </c>
      <c r="K478" s="6" t="s">
        <v>2426</v>
      </c>
      <c r="L478" s="6" t="s">
        <v>2385</v>
      </c>
      <c r="M478" s="6" t="s">
        <v>2386</v>
      </c>
      <c r="N478" s="6" t="s">
        <v>2387</v>
      </c>
      <c r="O478" s="6" t="s">
        <v>2231</v>
      </c>
      <c r="P478" s="6" t="s">
        <v>2388</v>
      </c>
      <c r="Q478" s="8">
        <v>175</v>
      </c>
      <c r="R478" s="8">
        <v>175.52500000000001</v>
      </c>
      <c r="S478" s="8">
        <v>349.9</v>
      </c>
      <c r="T478" s="8">
        <v>14</v>
      </c>
      <c r="U478" s="8">
        <v>2</v>
      </c>
      <c r="V478" s="8">
        <f t="shared" si="2"/>
        <v>28</v>
      </c>
      <c r="W478" s="12">
        <f t="shared" si="3"/>
        <v>4914.7</v>
      </c>
      <c r="Y478">
        <v>2</v>
      </c>
    </row>
    <row r="479" spans="1:25" ht="40" customHeight="1">
      <c r="A479" s="5" t="s">
        <v>2427</v>
      </c>
      <c r="B479" s="6" t="s">
        <v>2428</v>
      </c>
      <c r="C479" s="6">
        <v>183007</v>
      </c>
      <c r="D479" s="6" t="s">
        <v>64</v>
      </c>
      <c r="E479" s="6" t="s">
        <v>2429</v>
      </c>
      <c r="F479" s="6"/>
      <c r="G479" s="6" t="s">
        <v>2133</v>
      </c>
      <c r="H479" s="6" t="s">
        <v>2430</v>
      </c>
      <c r="I479" s="6" t="s">
        <v>417</v>
      </c>
      <c r="J479" s="6" t="s">
        <v>2431</v>
      </c>
      <c r="K479" s="6" t="s">
        <v>2432</v>
      </c>
      <c r="L479" s="6" t="s">
        <v>2433</v>
      </c>
      <c r="M479" s="6" t="s">
        <v>2434</v>
      </c>
      <c r="N479" s="6" t="s">
        <v>2387</v>
      </c>
      <c r="O479" s="6" t="s">
        <v>2435</v>
      </c>
      <c r="P479" s="6" t="s">
        <v>2388</v>
      </c>
      <c r="Q479" s="8">
        <v>175</v>
      </c>
      <c r="R479" s="8">
        <v>175.52500000000001</v>
      </c>
      <c r="S479" s="8">
        <v>349.9</v>
      </c>
      <c r="T479" s="8">
        <v>14</v>
      </c>
      <c r="U479" s="8"/>
      <c r="V479" s="8">
        <f t="shared" si="2"/>
        <v>0</v>
      </c>
      <c r="W479" s="12">
        <f t="shared" si="3"/>
        <v>0</v>
      </c>
      <c r="Y479">
        <v>0</v>
      </c>
    </row>
    <row r="480" spans="1:25" ht="40" customHeight="1">
      <c r="A480" s="5" t="s">
        <v>2436</v>
      </c>
      <c r="B480" s="6" t="s">
        <v>2437</v>
      </c>
      <c r="C480" s="6">
        <v>183007</v>
      </c>
      <c r="D480" s="6" t="s">
        <v>147</v>
      </c>
      <c r="E480" s="6" t="s">
        <v>2438</v>
      </c>
      <c r="F480" s="6"/>
      <c r="G480" s="6" t="s">
        <v>2133</v>
      </c>
      <c r="H480" s="6" t="s">
        <v>2430</v>
      </c>
      <c r="I480" s="6" t="s">
        <v>417</v>
      </c>
      <c r="J480" s="6" t="s">
        <v>2431</v>
      </c>
      <c r="K480" s="6" t="s">
        <v>2308</v>
      </c>
      <c r="L480" s="6" t="s">
        <v>2433</v>
      </c>
      <c r="M480" s="6" t="s">
        <v>2434</v>
      </c>
      <c r="N480" s="6" t="s">
        <v>2387</v>
      </c>
      <c r="O480" s="6" t="s">
        <v>2435</v>
      </c>
      <c r="P480" s="6" t="s">
        <v>2388</v>
      </c>
      <c r="Q480" s="8">
        <v>175</v>
      </c>
      <c r="R480" s="8">
        <v>175.52500000000001</v>
      </c>
      <c r="S480" s="8">
        <v>349.9</v>
      </c>
      <c r="T480" s="8">
        <v>14</v>
      </c>
      <c r="U480" s="8"/>
      <c r="V480" s="8">
        <f t="shared" si="2"/>
        <v>0</v>
      </c>
      <c r="W480" s="12">
        <f t="shared" si="3"/>
        <v>0</v>
      </c>
      <c r="Y480">
        <v>0</v>
      </c>
    </row>
    <row r="481" spans="1:25" ht="40" customHeight="1">
      <c r="A481" s="5" t="s">
        <v>2439</v>
      </c>
      <c r="B481" s="6" t="s">
        <v>2440</v>
      </c>
      <c r="C481" s="6">
        <v>183007</v>
      </c>
      <c r="D481" s="6" t="s">
        <v>1426</v>
      </c>
      <c r="E481" s="6" t="s">
        <v>2441</v>
      </c>
      <c r="F481" s="6"/>
      <c r="G481" s="6" t="s">
        <v>2133</v>
      </c>
      <c r="H481" s="6" t="s">
        <v>2430</v>
      </c>
      <c r="I481" s="6" t="s">
        <v>417</v>
      </c>
      <c r="J481" s="6" t="s">
        <v>2431</v>
      </c>
      <c r="K481" s="6" t="s">
        <v>2442</v>
      </c>
      <c r="L481" s="6" t="s">
        <v>2433</v>
      </c>
      <c r="M481" s="6" t="s">
        <v>2434</v>
      </c>
      <c r="N481" s="6" t="s">
        <v>2387</v>
      </c>
      <c r="O481" s="6" t="s">
        <v>2435</v>
      </c>
      <c r="P481" s="6" t="s">
        <v>2388</v>
      </c>
      <c r="Q481" s="8">
        <v>175</v>
      </c>
      <c r="R481" s="8">
        <v>175.52500000000001</v>
      </c>
      <c r="S481" s="8">
        <v>349.9</v>
      </c>
      <c r="T481" s="8">
        <v>14</v>
      </c>
      <c r="U481" s="8"/>
      <c r="V481" s="8">
        <f t="shared" si="2"/>
        <v>0</v>
      </c>
      <c r="W481" s="12">
        <f t="shared" si="3"/>
        <v>0</v>
      </c>
      <c r="Y481">
        <v>0</v>
      </c>
    </row>
    <row r="482" spans="1:25" ht="40" customHeight="1">
      <c r="A482" s="5" t="s">
        <v>2443</v>
      </c>
      <c r="B482" s="6" t="s">
        <v>2444</v>
      </c>
      <c r="C482" s="6">
        <v>183007</v>
      </c>
      <c r="D482" s="6" t="s">
        <v>1419</v>
      </c>
      <c r="E482" s="6" t="s">
        <v>2445</v>
      </c>
      <c r="F482" s="6"/>
      <c r="G482" s="6" t="s">
        <v>2133</v>
      </c>
      <c r="H482" s="6" t="s">
        <v>2430</v>
      </c>
      <c r="I482" s="6" t="s">
        <v>417</v>
      </c>
      <c r="J482" s="6" t="s">
        <v>2431</v>
      </c>
      <c r="K482" s="6" t="s">
        <v>2446</v>
      </c>
      <c r="L482" s="6" t="s">
        <v>2433</v>
      </c>
      <c r="M482" s="6" t="s">
        <v>2434</v>
      </c>
      <c r="N482" s="6" t="s">
        <v>2387</v>
      </c>
      <c r="O482" s="6" t="s">
        <v>2435</v>
      </c>
      <c r="P482" s="6" t="s">
        <v>2388</v>
      </c>
      <c r="Q482" s="8">
        <v>175</v>
      </c>
      <c r="R482" s="8">
        <v>175.52500000000001</v>
      </c>
      <c r="S482" s="8">
        <v>349.9</v>
      </c>
      <c r="T482" s="8">
        <v>14</v>
      </c>
      <c r="U482" s="8"/>
      <c r="V482" s="8">
        <f t="shared" si="2"/>
        <v>0</v>
      </c>
      <c r="W482" s="12">
        <f t="shared" si="3"/>
        <v>0</v>
      </c>
      <c r="Y482">
        <v>0</v>
      </c>
    </row>
    <row r="483" spans="1:25" ht="40" customHeight="1">
      <c r="A483" s="5" t="s">
        <v>2447</v>
      </c>
      <c r="B483" s="6" t="s">
        <v>2448</v>
      </c>
      <c r="C483" s="6">
        <v>183007</v>
      </c>
      <c r="D483" s="6" t="s">
        <v>200</v>
      </c>
      <c r="E483" s="6" t="s">
        <v>2449</v>
      </c>
      <c r="F483" s="6"/>
      <c r="G483" s="6" t="s">
        <v>2133</v>
      </c>
      <c r="H483" s="6" t="s">
        <v>2430</v>
      </c>
      <c r="I483" s="6" t="s">
        <v>417</v>
      </c>
      <c r="J483" s="6" t="s">
        <v>2431</v>
      </c>
      <c r="K483" s="6" t="s">
        <v>2450</v>
      </c>
      <c r="L483" s="6" t="s">
        <v>2433</v>
      </c>
      <c r="M483" s="6" t="s">
        <v>2434</v>
      </c>
      <c r="N483" s="6" t="s">
        <v>2387</v>
      </c>
      <c r="O483" s="6" t="s">
        <v>2435</v>
      </c>
      <c r="P483" s="6" t="s">
        <v>2388</v>
      </c>
      <c r="Q483" s="8">
        <v>175</v>
      </c>
      <c r="R483" s="8">
        <v>175.52500000000001</v>
      </c>
      <c r="S483" s="8">
        <v>349.9</v>
      </c>
      <c r="T483" s="8">
        <v>14</v>
      </c>
      <c r="U483" s="8">
        <v>2</v>
      </c>
      <c r="V483" s="8">
        <f t="shared" si="2"/>
        <v>28</v>
      </c>
      <c r="W483" s="12">
        <f t="shared" si="3"/>
        <v>4914.7</v>
      </c>
      <c r="Y483">
        <v>2</v>
      </c>
    </row>
    <row r="484" spans="1:25" ht="40" customHeight="1">
      <c r="A484" s="5" t="s">
        <v>2451</v>
      </c>
      <c r="B484" s="6" t="s">
        <v>2452</v>
      </c>
      <c r="C484" s="6">
        <v>183007</v>
      </c>
      <c r="D484" s="6" t="s">
        <v>126</v>
      </c>
      <c r="E484" s="6" t="s">
        <v>2453</v>
      </c>
      <c r="F484" s="6"/>
      <c r="G484" s="6" t="s">
        <v>2133</v>
      </c>
      <c r="H484" s="6" t="s">
        <v>2430</v>
      </c>
      <c r="I484" s="6" t="s">
        <v>417</v>
      </c>
      <c r="J484" s="6" t="s">
        <v>2431</v>
      </c>
      <c r="K484" s="6" t="s">
        <v>2454</v>
      </c>
      <c r="L484" s="6" t="s">
        <v>2433</v>
      </c>
      <c r="M484" s="6" t="s">
        <v>2434</v>
      </c>
      <c r="N484" s="6" t="s">
        <v>2387</v>
      </c>
      <c r="O484" s="6" t="s">
        <v>2435</v>
      </c>
      <c r="P484" s="6" t="s">
        <v>2388</v>
      </c>
      <c r="Q484" s="8">
        <v>175</v>
      </c>
      <c r="R484" s="8">
        <v>175.52500000000001</v>
      </c>
      <c r="S484" s="8">
        <v>349.9</v>
      </c>
      <c r="T484" s="8">
        <v>14</v>
      </c>
      <c r="U484" s="8">
        <v>2</v>
      </c>
      <c r="V484" s="8">
        <f t="shared" si="2"/>
        <v>28</v>
      </c>
      <c r="W484" s="12">
        <f t="shared" si="3"/>
        <v>4914.7</v>
      </c>
      <c r="Y484">
        <v>2</v>
      </c>
    </row>
    <row r="485" spans="1:25" ht="40" customHeight="1">
      <c r="A485" s="5" t="s">
        <v>2455</v>
      </c>
      <c r="B485" s="6" t="s">
        <v>2456</v>
      </c>
      <c r="C485" s="6">
        <v>183053</v>
      </c>
      <c r="D485" s="6" t="s">
        <v>147</v>
      </c>
      <c r="E485" s="6" t="s">
        <v>2457</v>
      </c>
      <c r="F485" s="6"/>
      <c r="G485" s="6" t="s">
        <v>2133</v>
      </c>
      <c r="H485" s="6" t="s">
        <v>2290</v>
      </c>
      <c r="I485" s="6" t="s">
        <v>417</v>
      </c>
      <c r="J485" s="6" t="s">
        <v>2458</v>
      </c>
      <c r="K485" s="8"/>
      <c r="L485" s="8"/>
      <c r="M485" s="8"/>
      <c r="N485" s="6" t="s">
        <v>2387</v>
      </c>
      <c r="O485" s="8"/>
      <c r="P485" s="8"/>
      <c r="Q485" s="8">
        <v>200</v>
      </c>
      <c r="R485" s="8">
        <v>200.6</v>
      </c>
      <c r="S485" s="8">
        <v>399.9</v>
      </c>
      <c r="T485" s="8">
        <v>14</v>
      </c>
      <c r="U485" s="8"/>
      <c r="V485" s="8">
        <f t="shared" si="2"/>
        <v>0</v>
      </c>
      <c r="W485" s="12">
        <f t="shared" si="3"/>
        <v>0</v>
      </c>
      <c r="Y485">
        <v>0</v>
      </c>
    </row>
    <row r="486" spans="1:25" ht="40" customHeight="1">
      <c r="A486" s="5" t="s">
        <v>2459</v>
      </c>
      <c r="B486" s="6" t="s">
        <v>2460</v>
      </c>
      <c r="C486" s="6">
        <v>183053</v>
      </c>
      <c r="D486" s="6" t="s">
        <v>89</v>
      </c>
      <c r="E486" s="6" t="s">
        <v>2461</v>
      </c>
      <c r="F486" s="6"/>
      <c r="G486" s="6" t="s">
        <v>2133</v>
      </c>
      <c r="H486" s="6" t="s">
        <v>2290</v>
      </c>
      <c r="I486" s="6" t="s">
        <v>417</v>
      </c>
      <c r="J486" s="6" t="s">
        <v>2458</v>
      </c>
      <c r="K486" s="6" t="s">
        <v>2462</v>
      </c>
      <c r="L486" s="6" t="s">
        <v>2229</v>
      </c>
      <c r="M486" s="6" t="s">
        <v>2463</v>
      </c>
      <c r="N486" s="6" t="s">
        <v>2387</v>
      </c>
      <c r="O486" s="6" t="s">
        <v>2231</v>
      </c>
      <c r="P486" s="6"/>
      <c r="Q486" s="8">
        <v>200</v>
      </c>
      <c r="R486" s="8">
        <v>200.6</v>
      </c>
      <c r="S486" s="8">
        <v>399.9</v>
      </c>
      <c r="T486" s="8">
        <v>14</v>
      </c>
      <c r="U486" s="8"/>
      <c r="V486" s="8">
        <f t="shared" si="2"/>
        <v>0</v>
      </c>
      <c r="W486" s="12">
        <f t="shared" si="3"/>
        <v>0</v>
      </c>
      <c r="Y486">
        <v>0</v>
      </c>
    </row>
    <row r="487" spans="1:25" ht="40" customHeight="1">
      <c r="A487" s="5" t="s">
        <v>2464</v>
      </c>
      <c r="B487" s="6" t="s">
        <v>2465</v>
      </c>
      <c r="C487" s="6">
        <v>183053</v>
      </c>
      <c r="D487" s="6" t="s">
        <v>126</v>
      </c>
      <c r="E487" s="6" t="s">
        <v>2466</v>
      </c>
      <c r="F487" s="6"/>
      <c r="G487" s="6" t="s">
        <v>2133</v>
      </c>
      <c r="H487" s="6" t="s">
        <v>2290</v>
      </c>
      <c r="I487" s="6" t="s">
        <v>417</v>
      </c>
      <c r="J487" s="6" t="s">
        <v>2458</v>
      </c>
      <c r="K487" s="6" t="s">
        <v>2467</v>
      </c>
      <c r="L487" s="6" t="s">
        <v>2229</v>
      </c>
      <c r="M487" s="6" t="s">
        <v>2463</v>
      </c>
      <c r="N487" s="6" t="s">
        <v>2387</v>
      </c>
      <c r="O487" s="6" t="s">
        <v>2231</v>
      </c>
      <c r="P487" s="6"/>
      <c r="Q487" s="8">
        <v>200</v>
      </c>
      <c r="R487" s="8">
        <v>200.6</v>
      </c>
      <c r="S487" s="8">
        <v>399.9</v>
      </c>
      <c r="T487" s="8">
        <v>14</v>
      </c>
      <c r="U487" s="8"/>
      <c r="V487" s="8">
        <f t="shared" si="2"/>
        <v>0</v>
      </c>
      <c r="W487" s="12">
        <f t="shared" si="3"/>
        <v>0</v>
      </c>
      <c r="Y487">
        <v>0</v>
      </c>
    </row>
    <row r="488" spans="1:25" ht="40" customHeight="1">
      <c r="A488" s="5" t="s">
        <v>2468</v>
      </c>
      <c r="B488" s="6" t="s">
        <v>2469</v>
      </c>
      <c r="C488" s="6">
        <v>183090</v>
      </c>
      <c r="D488" s="6" t="s">
        <v>27</v>
      </c>
      <c r="E488" s="6" t="s">
        <v>2470</v>
      </c>
      <c r="F488" s="6"/>
      <c r="G488" s="6" t="s">
        <v>2471</v>
      </c>
      <c r="H488" s="6" t="s">
        <v>2472</v>
      </c>
      <c r="I488" s="6" t="s">
        <v>417</v>
      </c>
      <c r="J488" s="6" t="s">
        <v>2473</v>
      </c>
      <c r="K488" s="6" t="s">
        <v>2276</v>
      </c>
      <c r="L488" s="6" t="s">
        <v>2474</v>
      </c>
      <c r="M488" s="6" t="s">
        <v>2475</v>
      </c>
      <c r="N488" s="6" t="s">
        <v>2387</v>
      </c>
      <c r="O488" s="6" t="s">
        <v>2231</v>
      </c>
      <c r="P488" s="6"/>
      <c r="Q488" s="8">
        <v>175</v>
      </c>
      <c r="R488" s="8">
        <v>175.52500000000001</v>
      </c>
      <c r="S488" s="8">
        <v>349.9</v>
      </c>
      <c r="T488" s="8">
        <v>14</v>
      </c>
      <c r="U488" s="8"/>
      <c r="V488" s="8">
        <f t="shared" si="2"/>
        <v>0</v>
      </c>
      <c r="W488" s="12">
        <f t="shared" si="3"/>
        <v>0</v>
      </c>
      <c r="Y488">
        <v>0</v>
      </c>
    </row>
    <row r="489" spans="1:25" ht="40" customHeight="1">
      <c r="A489" s="6" t="s">
        <v>2476</v>
      </c>
      <c r="B489" s="6" t="s">
        <v>2477</v>
      </c>
      <c r="C489" s="6">
        <v>183090</v>
      </c>
      <c r="D489" s="6" t="s">
        <v>147</v>
      </c>
      <c r="E489" s="6" t="s">
        <v>2478</v>
      </c>
      <c r="F489" s="6"/>
      <c r="G489" s="6" t="s">
        <v>2471</v>
      </c>
      <c r="H489" s="6" t="s">
        <v>2472</v>
      </c>
      <c r="I489" s="6" t="s">
        <v>417</v>
      </c>
      <c r="J489" s="6" t="s">
        <v>2473</v>
      </c>
      <c r="K489" s="6" t="s">
        <v>2479</v>
      </c>
      <c r="L489" s="6" t="s">
        <v>2474</v>
      </c>
      <c r="M489" s="6" t="s">
        <v>2475</v>
      </c>
      <c r="N489" s="6" t="s">
        <v>2387</v>
      </c>
      <c r="O489" s="6" t="s">
        <v>2231</v>
      </c>
      <c r="P489" s="6"/>
      <c r="Q489" s="8">
        <v>175</v>
      </c>
      <c r="R489" s="8">
        <v>175.52500000000001</v>
      </c>
      <c r="S489" s="8">
        <v>349.9</v>
      </c>
      <c r="T489" s="8">
        <v>14</v>
      </c>
      <c r="U489" s="8"/>
      <c r="V489" s="8">
        <f t="shared" si="2"/>
        <v>0</v>
      </c>
      <c r="W489" s="12">
        <f t="shared" si="3"/>
        <v>0</v>
      </c>
      <c r="Y489">
        <v>0</v>
      </c>
    </row>
    <row r="490" spans="1:25" ht="40" customHeight="1">
      <c r="A490" s="6" t="s">
        <v>2480</v>
      </c>
      <c r="B490" s="6" t="s">
        <v>2481</v>
      </c>
      <c r="C490" s="6">
        <v>183090</v>
      </c>
      <c r="D490" s="6" t="s">
        <v>126</v>
      </c>
      <c r="E490" s="6" t="s">
        <v>2482</v>
      </c>
      <c r="F490" s="6"/>
      <c r="G490" s="6" t="s">
        <v>2471</v>
      </c>
      <c r="H490" s="6" t="s">
        <v>2472</v>
      </c>
      <c r="I490" s="6" t="s">
        <v>417</v>
      </c>
      <c r="J490" s="6" t="s">
        <v>2473</v>
      </c>
      <c r="K490" s="6" t="s">
        <v>2483</v>
      </c>
      <c r="L490" s="6" t="s">
        <v>2474</v>
      </c>
      <c r="M490" s="6" t="s">
        <v>2475</v>
      </c>
      <c r="N490" s="6" t="s">
        <v>2387</v>
      </c>
      <c r="O490" s="6" t="s">
        <v>2231</v>
      </c>
      <c r="P490" s="6"/>
      <c r="Q490" s="8">
        <v>175</v>
      </c>
      <c r="R490" s="8">
        <v>175.52500000000001</v>
      </c>
      <c r="S490" s="8">
        <v>349.9</v>
      </c>
      <c r="T490" s="8">
        <v>14</v>
      </c>
      <c r="U490" s="8"/>
      <c r="V490" s="8">
        <f t="shared" si="2"/>
        <v>0</v>
      </c>
      <c r="W490" s="12">
        <f t="shared" si="3"/>
        <v>0</v>
      </c>
      <c r="Y490">
        <v>0</v>
      </c>
    </row>
    <row r="491" spans="1:25" ht="40" customHeight="1">
      <c r="A491" s="5" t="s">
        <v>2484</v>
      </c>
      <c r="B491" s="6" t="s">
        <v>2485</v>
      </c>
      <c r="C491" s="6">
        <v>183240</v>
      </c>
      <c r="D491" s="6" t="s">
        <v>147</v>
      </c>
      <c r="E491" s="6" t="s">
        <v>2486</v>
      </c>
      <c r="F491" s="6"/>
      <c r="G491" s="6" t="s">
        <v>2487</v>
      </c>
      <c r="H491" s="6" t="s">
        <v>2488</v>
      </c>
      <c r="I491" s="6" t="s">
        <v>417</v>
      </c>
      <c r="J491" s="6" t="s">
        <v>2489</v>
      </c>
      <c r="K491" s="6" t="s">
        <v>2490</v>
      </c>
      <c r="L491" s="6" t="s">
        <v>2491</v>
      </c>
      <c r="M491" s="6" t="s">
        <v>2492</v>
      </c>
      <c r="N491" s="6" t="s">
        <v>2387</v>
      </c>
      <c r="O491" s="6" t="s">
        <v>1571</v>
      </c>
      <c r="P491" s="6" t="s">
        <v>2388</v>
      </c>
      <c r="Q491" s="8">
        <v>160</v>
      </c>
      <c r="R491" s="8">
        <v>160.47999999999999</v>
      </c>
      <c r="S491" s="8">
        <v>319.89999999999998</v>
      </c>
      <c r="T491" s="8">
        <v>14</v>
      </c>
      <c r="U491" s="8"/>
      <c r="V491" s="8">
        <f t="shared" si="2"/>
        <v>0</v>
      </c>
      <c r="W491" s="12">
        <f t="shared" si="3"/>
        <v>0</v>
      </c>
      <c r="Y491">
        <v>0</v>
      </c>
    </row>
    <row r="492" spans="1:25" ht="40" customHeight="1">
      <c r="A492" s="5" t="s">
        <v>2493</v>
      </c>
      <c r="B492" s="6" t="s">
        <v>2494</v>
      </c>
      <c r="C492" s="6">
        <v>183240</v>
      </c>
      <c r="D492" s="6" t="s">
        <v>126</v>
      </c>
      <c r="E492" s="6" t="s">
        <v>2495</v>
      </c>
      <c r="F492" s="6"/>
      <c r="G492" s="6" t="s">
        <v>2487</v>
      </c>
      <c r="H492" s="6" t="s">
        <v>2488</v>
      </c>
      <c r="I492" s="6" t="s">
        <v>417</v>
      </c>
      <c r="J492" s="6" t="s">
        <v>2489</v>
      </c>
      <c r="K492" s="6" t="s">
        <v>2496</v>
      </c>
      <c r="L492" s="6" t="s">
        <v>2491</v>
      </c>
      <c r="M492" s="6" t="s">
        <v>2492</v>
      </c>
      <c r="N492" s="6" t="s">
        <v>2387</v>
      </c>
      <c r="O492" s="6" t="s">
        <v>1571</v>
      </c>
      <c r="P492" s="6" t="s">
        <v>2388</v>
      </c>
      <c r="Q492" s="8">
        <v>160</v>
      </c>
      <c r="R492" s="8">
        <v>160.47999999999999</v>
      </c>
      <c r="S492" s="8">
        <v>319.89999999999998</v>
      </c>
      <c r="T492" s="8">
        <v>14</v>
      </c>
      <c r="U492" s="8">
        <v>2</v>
      </c>
      <c r="V492" s="8">
        <f t="shared" si="2"/>
        <v>28</v>
      </c>
      <c r="W492" s="12">
        <f t="shared" si="3"/>
        <v>4493.4399999999996</v>
      </c>
      <c r="Y492">
        <v>2</v>
      </c>
    </row>
    <row r="493" spans="1:25" ht="40" customHeight="1">
      <c r="A493" s="5" t="s">
        <v>2497</v>
      </c>
      <c r="B493" s="6" t="s">
        <v>2498</v>
      </c>
      <c r="C493" s="6">
        <v>183241</v>
      </c>
      <c r="D493" s="6" t="s">
        <v>126</v>
      </c>
      <c r="E493" s="6" t="s">
        <v>2499</v>
      </c>
      <c r="F493" s="6"/>
      <c r="G493" s="6" t="s">
        <v>2487</v>
      </c>
      <c r="H493" s="6" t="s">
        <v>2500</v>
      </c>
      <c r="I493" s="6" t="s">
        <v>417</v>
      </c>
      <c r="J493" s="6" t="s">
        <v>2501</v>
      </c>
      <c r="K493" s="6" t="s">
        <v>2502</v>
      </c>
      <c r="L493" s="6" t="s">
        <v>2503</v>
      </c>
      <c r="M493" s="6" t="s">
        <v>2504</v>
      </c>
      <c r="N493" s="6" t="s">
        <v>2387</v>
      </c>
      <c r="O493" s="6" t="s">
        <v>1571</v>
      </c>
      <c r="P493" s="6" t="s">
        <v>2388</v>
      </c>
      <c r="Q493" s="8">
        <v>160</v>
      </c>
      <c r="R493" s="8">
        <v>160.47999999999999</v>
      </c>
      <c r="S493" s="8">
        <v>319.89999999999998</v>
      </c>
      <c r="T493" s="8">
        <v>14</v>
      </c>
      <c r="U493" s="8">
        <v>2</v>
      </c>
      <c r="V493" s="8">
        <f t="shared" si="2"/>
        <v>28</v>
      </c>
      <c r="W493" s="12">
        <f t="shared" si="3"/>
        <v>4493.4399999999996</v>
      </c>
      <c r="Y493">
        <v>2</v>
      </c>
    </row>
    <row r="494" spans="1:25" ht="40" customHeight="1">
      <c r="A494" s="5" t="s">
        <v>2505</v>
      </c>
      <c r="B494" s="6" t="s">
        <v>2506</v>
      </c>
      <c r="C494" s="6">
        <v>183365</v>
      </c>
      <c r="D494" s="6" t="s">
        <v>147</v>
      </c>
      <c r="E494" s="6" t="s">
        <v>2507</v>
      </c>
      <c r="F494" s="6"/>
      <c r="G494" s="6" t="s">
        <v>2133</v>
      </c>
      <c r="H494" s="6" t="s">
        <v>2508</v>
      </c>
      <c r="I494" s="6" t="s">
        <v>417</v>
      </c>
      <c r="J494" s="6" t="s">
        <v>2509</v>
      </c>
      <c r="K494" s="6" t="s">
        <v>2510</v>
      </c>
      <c r="L494" s="6" t="s">
        <v>54</v>
      </c>
      <c r="M494" s="6" t="s">
        <v>54</v>
      </c>
      <c r="N494" s="6" t="s">
        <v>2387</v>
      </c>
      <c r="O494" s="6" t="s">
        <v>2231</v>
      </c>
      <c r="P494" s="6"/>
      <c r="Q494" s="8">
        <v>185</v>
      </c>
      <c r="R494" s="8">
        <v>185.55500000000001</v>
      </c>
      <c r="S494" s="8">
        <v>369.9</v>
      </c>
      <c r="T494" s="8">
        <v>14</v>
      </c>
      <c r="U494" s="8"/>
      <c r="V494" s="8">
        <f t="shared" si="2"/>
        <v>0</v>
      </c>
      <c r="W494" s="12">
        <f t="shared" si="3"/>
        <v>0</v>
      </c>
      <c r="Y494">
        <v>0</v>
      </c>
    </row>
    <row r="495" spans="1:25" ht="40" customHeight="1">
      <c r="A495" s="5" t="s">
        <v>2511</v>
      </c>
      <c r="B495" s="6" t="s">
        <v>2512</v>
      </c>
      <c r="C495" s="6">
        <v>183365</v>
      </c>
      <c r="D495" s="6" t="s">
        <v>40</v>
      </c>
      <c r="E495" s="6" t="s">
        <v>2513</v>
      </c>
      <c r="F495" s="6"/>
      <c r="G495" s="6" t="s">
        <v>2133</v>
      </c>
      <c r="H495" s="6" t="s">
        <v>2508</v>
      </c>
      <c r="I495" s="6" t="s">
        <v>417</v>
      </c>
      <c r="J495" s="6" t="s">
        <v>2509</v>
      </c>
      <c r="K495" s="6" t="s">
        <v>2514</v>
      </c>
      <c r="L495" s="6" t="s">
        <v>54</v>
      </c>
      <c r="M495" s="6" t="s">
        <v>54</v>
      </c>
      <c r="N495" s="6" t="s">
        <v>2387</v>
      </c>
      <c r="O495" s="6" t="s">
        <v>2231</v>
      </c>
      <c r="P495" s="6"/>
      <c r="Q495" s="8">
        <v>185</v>
      </c>
      <c r="R495" s="8">
        <v>185.55500000000001</v>
      </c>
      <c r="S495" s="8">
        <v>369.9</v>
      </c>
      <c r="T495" s="8">
        <v>14</v>
      </c>
      <c r="U495" s="8"/>
      <c r="V495" s="8">
        <f t="shared" si="2"/>
        <v>0</v>
      </c>
      <c r="W495" s="12">
        <f t="shared" si="3"/>
        <v>0</v>
      </c>
      <c r="Y495">
        <v>0</v>
      </c>
    </row>
    <row r="496" spans="1:25" ht="40" customHeight="1">
      <c r="A496" s="6" t="s">
        <v>2515</v>
      </c>
      <c r="B496" s="6" t="s">
        <v>2516</v>
      </c>
      <c r="C496" s="6">
        <v>183365</v>
      </c>
      <c r="D496" s="6" t="s">
        <v>89</v>
      </c>
      <c r="E496" s="6" t="s">
        <v>2517</v>
      </c>
      <c r="F496" s="6"/>
      <c r="G496" s="6" t="s">
        <v>2133</v>
      </c>
      <c r="H496" s="6" t="s">
        <v>2508</v>
      </c>
      <c r="I496" s="6" t="s">
        <v>417</v>
      </c>
      <c r="J496" s="6" t="s">
        <v>2509</v>
      </c>
      <c r="K496" s="6" t="s">
        <v>2518</v>
      </c>
      <c r="L496" s="6" t="s">
        <v>54</v>
      </c>
      <c r="M496" s="6" t="s">
        <v>54</v>
      </c>
      <c r="N496" s="6" t="s">
        <v>2387</v>
      </c>
      <c r="O496" s="6" t="s">
        <v>2231</v>
      </c>
      <c r="P496" s="6"/>
      <c r="Q496" s="8">
        <v>185</v>
      </c>
      <c r="R496" s="8">
        <v>185.55500000000001</v>
      </c>
      <c r="S496" s="8">
        <v>369.9</v>
      </c>
      <c r="T496" s="8">
        <v>14</v>
      </c>
      <c r="U496" s="8"/>
      <c r="V496" s="8">
        <f t="shared" si="2"/>
        <v>0</v>
      </c>
      <c r="W496" s="12">
        <f t="shared" si="3"/>
        <v>0</v>
      </c>
      <c r="Y496">
        <v>0</v>
      </c>
    </row>
    <row r="497" spans="1:25" ht="40" customHeight="1">
      <c r="A497" s="5" t="s">
        <v>2519</v>
      </c>
      <c r="B497" s="6" t="s">
        <v>2520</v>
      </c>
      <c r="C497" s="6">
        <v>183365</v>
      </c>
      <c r="D497" s="6" t="s">
        <v>45</v>
      </c>
      <c r="E497" s="6" t="s">
        <v>2521</v>
      </c>
      <c r="F497" s="6"/>
      <c r="G497" s="6" t="s">
        <v>2133</v>
      </c>
      <c r="H497" s="6" t="s">
        <v>2508</v>
      </c>
      <c r="I497" s="6" t="s">
        <v>417</v>
      </c>
      <c r="J497" s="6" t="s">
        <v>2509</v>
      </c>
      <c r="K497" s="6" t="s">
        <v>2522</v>
      </c>
      <c r="L497" s="6" t="s">
        <v>54</v>
      </c>
      <c r="M497" s="6" t="s">
        <v>54</v>
      </c>
      <c r="N497" s="6" t="s">
        <v>2387</v>
      </c>
      <c r="O497" s="6" t="s">
        <v>2231</v>
      </c>
      <c r="P497" s="6"/>
      <c r="Q497" s="8">
        <v>185</v>
      </c>
      <c r="R497" s="8">
        <v>185.55500000000001</v>
      </c>
      <c r="S497" s="8">
        <v>369.9</v>
      </c>
      <c r="T497" s="8">
        <v>14</v>
      </c>
      <c r="U497" s="8"/>
      <c r="V497" s="8">
        <f t="shared" si="2"/>
        <v>0</v>
      </c>
      <c r="W497" s="12">
        <f t="shared" si="3"/>
        <v>0</v>
      </c>
      <c r="Y497">
        <v>0</v>
      </c>
    </row>
    <row r="498" spans="1:25" ht="40" customHeight="1">
      <c r="A498" s="5" t="s">
        <v>2523</v>
      </c>
      <c r="B498" s="6" t="s">
        <v>2524</v>
      </c>
      <c r="C498" s="6">
        <v>183921</v>
      </c>
      <c r="D498" s="6" t="s">
        <v>445</v>
      </c>
      <c r="E498" s="6" t="s">
        <v>2525</v>
      </c>
      <c r="F498" s="6"/>
      <c r="G498" s="6" t="s">
        <v>2487</v>
      </c>
      <c r="H498" s="6" t="s">
        <v>2526</v>
      </c>
      <c r="I498" s="6" t="s">
        <v>417</v>
      </c>
      <c r="J498" s="6" t="s">
        <v>2527</v>
      </c>
      <c r="K498" s="6" t="s">
        <v>2528</v>
      </c>
      <c r="L498" s="6" t="s">
        <v>2529</v>
      </c>
      <c r="M498" s="6" t="s">
        <v>2530</v>
      </c>
      <c r="N498" s="6" t="s">
        <v>2387</v>
      </c>
      <c r="O498" s="6" t="s">
        <v>2531</v>
      </c>
      <c r="P498" s="6"/>
      <c r="Q498" s="8">
        <v>175</v>
      </c>
      <c r="R498" s="8">
        <v>175.52500000000001</v>
      </c>
      <c r="S498" s="8">
        <v>349.9</v>
      </c>
      <c r="T498" s="8">
        <v>14</v>
      </c>
      <c r="U498" s="8"/>
      <c r="V498" s="8">
        <f t="shared" si="2"/>
        <v>0</v>
      </c>
      <c r="W498" s="12">
        <f t="shared" si="3"/>
        <v>0</v>
      </c>
      <c r="Y498">
        <v>0</v>
      </c>
    </row>
    <row r="499" spans="1:25" ht="40" customHeight="1">
      <c r="A499" s="5" t="s">
        <v>2532</v>
      </c>
      <c r="B499" s="6" t="s">
        <v>2533</v>
      </c>
      <c r="C499" s="6">
        <v>183921</v>
      </c>
      <c r="D499" s="6" t="s">
        <v>2534</v>
      </c>
      <c r="E499" s="6" t="s">
        <v>2535</v>
      </c>
      <c r="F499" s="6"/>
      <c r="G499" s="6" t="s">
        <v>2487</v>
      </c>
      <c r="H499" s="6" t="s">
        <v>2526</v>
      </c>
      <c r="I499" s="6" t="s">
        <v>417</v>
      </c>
      <c r="J499" s="6" t="s">
        <v>2527</v>
      </c>
      <c r="K499" s="6" t="s">
        <v>2536</v>
      </c>
      <c r="L499" s="6" t="s">
        <v>2529</v>
      </c>
      <c r="M499" s="6" t="s">
        <v>2530</v>
      </c>
      <c r="N499" s="6" t="s">
        <v>2387</v>
      </c>
      <c r="O499" s="6" t="s">
        <v>2531</v>
      </c>
      <c r="P499" s="6"/>
      <c r="Q499" s="8">
        <v>175</v>
      </c>
      <c r="R499" s="8">
        <v>175.52500000000001</v>
      </c>
      <c r="S499" s="8">
        <v>349.9</v>
      </c>
      <c r="T499" s="8">
        <v>14</v>
      </c>
      <c r="U499" s="8"/>
      <c r="V499" s="8">
        <f t="shared" si="2"/>
        <v>0</v>
      </c>
      <c r="W499" s="12">
        <f t="shared" si="3"/>
        <v>0</v>
      </c>
      <c r="Y499">
        <v>0</v>
      </c>
    </row>
    <row r="500" spans="1:25" ht="40" customHeight="1">
      <c r="A500" s="5" t="s">
        <v>2537</v>
      </c>
      <c r="B500" s="6" t="s">
        <v>2538</v>
      </c>
      <c r="C500" s="6">
        <v>183921</v>
      </c>
      <c r="D500" s="6" t="s">
        <v>126</v>
      </c>
      <c r="E500" s="6" t="s">
        <v>2539</v>
      </c>
      <c r="F500" s="6"/>
      <c r="G500" s="6" t="s">
        <v>2487</v>
      </c>
      <c r="H500" s="6" t="s">
        <v>2526</v>
      </c>
      <c r="I500" s="6" t="s">
        <v>417</v>
      </c>
      <c r="J500" s="6" t="s">
        <v>2527</v>
      </c>
      <c r="K500" s="6" t="s">
        <v>2540</v>
      </c>
      <c r="L500" s="6" t="s">
        <v>2529</v>
      </c>
      <c r="M500" s="6" t="s">
        <v>2530</v>
      </c>
      <c r="N500" s="6" t="s">
        <v>2387</v>
      </c>
      <c r="O500" s="6" t="s">
        <v>2531</v>
      </c>
      <c r="P500" s="6"/>
      <c r="Q500" s="8">
        <v>175</v>
      </c>
      <c r="R500" s="8">
        <v>175.52500000000001</v>
      </c>
      <c r="S500" s="8">
        <v>349.9</v>
      </c>
      <c r="T500" s="8">
        <v>14</v>
      </c>
      <c r="U500" s="8"/>
      <c r="V500" s="8">
        <f t="shared" si="2"/>
        <v>0</v>
      </c>
      <c r="W500" s="12">
        <f t="shared" si="3"/>
        <v>0</v>
      </c>
      <c r="Y500">
        <v>0</v>
      </c>
    </row>
    <row r="501" spans="1:25" ht="40" customHeight="1">
      <c r="A501" s="6" t="s">
        <v>2541</v>
      </c>
      <c r="B501" s="6" t="s">
        <v>2542</v>
      </c>
      <c r="C501" s="6">
        <v>183921</v>
      </c>
      <c r="D501" s="6" t="s">
        <v>1699</v>
      </c>
      <c r="E501" s="6" t="s">
        <v>2543</v>
      </c>
      <c r="F501" s="6"/>
      <c r="G501" s="6" t="s">
        <v>2487</v>
      </c>
      <c r="H501" s="6" t="s">
        <v>2526</v>
      </c>
      <c r="I501" s="6" t="s">
        <v>417</v>
      </c>
      <c r="J501" s="6" t="s">
        <v>2527</v>
      </c>
      <c r="K501" s="6" t="s">
        <v>2544</v>
      </c>
      <c r="L501" s="6" t="s">
        <v>2529</v>
      </c>
      <c r="M501" s="6" t="s">
        <v>2530</v>
      </c>
      <c r="N501" s="6" t="s">
        <v>2387</v>
      </c>
      <c r="O501" s="6" t="s">
        <v>2531</v>
      </c>
      <c r="P501" s="6"/>
      <c r="Q501" s="8">
        <v>175</v>
      </c>
      <c r="R501" s="8">
        <v>175.52500000000001</v>
      </c>
      <c r="S501" s="8">
        <v>349.9</v>
      </c>
      <c r="T501" s="8">
        <v>14</v>
      </c>
      <c r="U501" s="8"/>
      <c r="V501" s="8">
        <f t="shared" si="2"/>
        <v>0</v>
      </c>
      <c r="W501" s="12">
        <f t="shared" si="3"/>
        <v>0</v>
      </c>
      <c r="Y501">
        <v>0</v>
      </c>
    </row>
    <row r="502" spans="1:25" ht="40" customHeight="1">
      <c r="A502" s="6" t="s">
        <v>2545</v>
      </c>
      <c r="B502" s="6" t="s">
        <v>2546</v>
      </c>
      <c r="C502" s="6">
        <v>185166</v>
      </c>
      <c r="D502" s="6" t="s">
        <v>2547</v>
      </c>
      <c r="E502" s="6" t="s">
        <v>2548</v>
      </c>
      <c r="F502" s="6"/>
      <c r="G502" s="6" t="s">
        <v>2549</v>
      </c>
      <c r="H502" s="6" t="s">
        <v>2550</v>
      </c>
      <c r="I502" s="6" t="s">
        <v>31</v>
      </c>
      <c r="J502" s="6" t="s">
        <v>2551</v>
      </c>
      <c r="K502" s="6" t="s">
        <v>2552</v>
      </c>
      <c r="L502" s="6" t="s">
        <v>2553</v>
      </c>
      <c r="M502" s="6" t="s">
        <v>2554</v>
      </c>
      <c r="N502" s="6" t="s">
        <v>2555</v>
      </c>
      <c r="O502" s="6" t="s">
        <v>2556</v>
      </c>
      <c r="P502" s="6"/>
      <c r="Q502" s="8">
        <v>150</v>
      </c>
      <c r="R502" s="8">
        <v>150.44999999999999</v>
      </c>
      <c r="S502" s="8">
        <v>299.89999999999998</v>
      </c>
      <c r="T502" s="8">
        <v>14</v>
      </c>
      <c r="U502" s="8"/>
      <c r="V502" s="8">
        <v>0</v>
      </c>
      <c r="W502" s="12">
        <v>0</v>
      </c>
      <c r="Y502">
        <v>0</v>
      </c>
    </row>
    <row r="503" spans="1:25" ht="40" customHeight="1">
      <c r="A503" s="6" t="s">
        <v>2557</v>
      </c>
      <c r="B503" s="6" t="s">
        <v>2558</v>
      </c>
      <c r="C503" s="6">
        <v>185166</v>
      </c>
      <c r="D503" s="6" t="s">
        <v>94</v>
      </c>
      <c r="E503" s="6" t="s">
        <v>2559</v>
      </c>
      <c r="F503" s="6"/>
      <c r="G503" s="6" t="s">
        <v>2549</v>
      </c>
      <c r="H503" s="6" t="s">
        <v>2550</v>
      </c>
      <c r="I503" s="6" t="s">
        <v>31</v>
      </c>
      <c r="J503" s="6" t="s">
        <v>2551</v>
      </c>
      <c r="K503" s="6" t="s">
        <v>2560</v>
      </c>
      <c r="L503" s="6" t="s">
        <v>2553</v>
      </c>
      <c r="M503" s="6" t="s">
        <v>2554</v>
      </c>
      <c r="N503" s="6" t="s">
        <v>2555</v>
      </c>
      <c r="O503" s="6" t="s">
        <v>2556</v>
      </c>
      <c r="P503" s="6"/>
      <c r="Q503" s="8">
        <v>150</v>
      </c>
      <c r="R503" s="8">
        <v>150.44999999999999</v>
      </c>
      <c r="S503" s="8">
        <v>299.89999999999998</v>
      </c>
      <c r="T503" s="8">
        <v>14</v>
      </c>
      <c r="U503" s="8"/>
      <c r="V503" s="8">
        <v>0</v>
      </c>
      <c r="W503" s="12">
        <v>0</v>
      </c>
      <c r="Y503">
        <v>0</v>
      </c>
    </row>
    <row r="504" spans="1:25" ht="40" customHeight="1">
      <c r="A504" s="6" t="s">
        <v>2561</v>
      </c>
      <c r="B504" s="6" t="s">
        <v>2562</v>
      </c>
      <c r="C504" s="6">
        <v>185232</v>
      </c>
      <c r="D504" s="6" t="s">
        <v>64</v>
      </c>
      <c r="E504" s="6" t="s">
        <v>2563</v>
      </c>
      <c r="F504" s="6"/>
      <c r="G504" s="6" t="s">
        <v>2564</v>
      </c>
      <c r="H504" s="6" t="s">
        <v>2565</v>
      </c>
      <c r="I504" s="6" t="s">
        <v>31</v>
      </c>
      <c r="J504" s="6" t="s">
        <v>2566</v>
      </c>
      <c r="K504" s="6" t="s">
        <v>2567</v>
      </c>
      <c r="L504" s="6" t="s">
        <v>1569</v>
      </c>
      <c r="M504" s="6" t="s">
        <v>2568</v>
      </c>
      <c r="N504" s="6" t="s">
        <v>2555</v>
      </c>
      <c r="O504" s="6" t="s">
        <v>1571</v>
      </c>
      <c r="P504" s="6"/>
      <c r="Q504" s="8">
        <v>140</v>
      </c>
      <c r="R504" s="8">
        <v>140.41999999999999</v>
      </c>
      <c r="S504" s="8">
        <v>279.89999999999998</v>
      </c>
      <c r="T504" s="8">
        <v>14</v>
      </c>
      <c r="U504" s="8"/>
      <c r="V504" s="8">
        <v>0</v>
      </c>
      <c r="W504" s="12">
        <v>0</v>
      </c>
      <c r="Y504">
        <v>0</v>
      </c>
    </row>
    <row r="505" spans="1:25" ht="40" customHeight="1">
      <c r="A505" s="6" t="s">
        <v>2569</v>
      </c>
      <c r="B505" s="6" t="s">
        <v>2570</v>
      </c>
      <c r="C505" s="6">
        <v>185232</v>
      </c>
      <c r="D505" s="6" t="s">
        <v>2571</v>
      </c>
      <c r="E505" s="6" t="s">
        <v>2572</v>
      </c>
      <c r="F505" s="6"/>
      <c r="G505" s="6" t="s">
        <v>2564</v>
      </c>
      <c r="H505" s="6" t="s">
        <v>2565</v>
      </c>
      <c r="I505" s="6" t="s">
        <v>31</v>
      </c>
      <c r="J505" s="6" t="s">
        <v>2566</v>
      </c>
      <c r="K505" s="6" t="s">
        <v>2573</v>
      </c>
      <c r="L505" s="6" t="s">
        <v>1569</v>
      </c>
      <c r="M505" s="6" t="s">
        <v>2568</v>
      </c>
      <c r="N505" s="6" t="s">
        <v>2555</v>
      </c>
      <c r="O505" s="6" t="s">
        <v>1571</v>
      </c>
      <c r="P505" s="6"/>
      <c r="Q505" s="8">
        <v>140</v>
      </c>
      <c r="R505" s="8">
        <v>140.41999999999999</v>
      </c>
      <c r="S505" s="8">
        <v>279.89999999999998</v>
      </c>
      <c r="T505" s="8">
        <v>14</v>
      </c>
      <c r="U505" s="8"/>
      <c r="V505" s="8">
        <v>0</v>
      </c>
      <c r="W505" s="12">
        <v>0</v>
      </c>
      <c r="Y505">
        <v>0</v>
      </c>
    </row>
    <row r="506" spans="1:25" ht="40" customHeight="1">
      <c r="A506" s="6" t="s">
        <v>2574</v>
      </c>
      <c r="B506" s="6" t="s">
        <v>2575</v>
      </c>
      <c r="C506" s="6">
        <v>185232</v>
      </c>
      <c r="D506" s="6" t="s">
        <v>2576</v>
      </c>
      <c r="E506" s="6" t="s">
        <v>2577</v>
      </c>
      <c r="F506" s="6"/>
      <c r="G506" s="6" t="s">
        <v>2564</v>
      </c>
      <c r="H506" s="6" t="s">
        <v>2565</v>
      </c>
      <c r="I506" s="6" t="s">
        <v>31</v>
      </c>
      <c r="J506" s="6" t="s">
        <v>2566</v>
      </c>
      <c r="K506" s="6" t="s">
        <v>2578</v>
      </c>
      <c r="L506" s="6" t="s">
        <v>1569</v>
      </c>
      <c r="M506" s="6" t="s">
        <v>2568</v>
      </c>
      <c r="N506" s="6" t="s">
        <v>2555</v>
      </c>
      <c r="O506" s="6" t="s">
        <v>1571</v>
      </c>
      <c r="P506" s="6"/>
      <c r="Q506" s="8">
        <v>140</v>
      </c>
      <c r="R506" s="8">
        <v>140.41999999999999</v>
      </c>
      <c r="S506" s="8">
        <v>279.89999999999998</v>
      </c>
      <c r="T506" s="8">
        <v>14</v>
      </c>
      <c r="U506" s="8"/>
      <c r="V506" s="8">
        <v>0</v>
      </c>
      <c r="W506" s="12">
        <v>0</v>
      </c>
      <c r="Y506">
        <v>0</v>
      </c>
    </row>
    <row r="507" spans="1:25" ht="40" customHeight="1">
      <c r="A507" s="6" t="s">
        <v>2579</v>
      </c>
      <c r="B507" s="6" t="s">
        <v>2580</v>
      </c>
      <c r="C507" s="6">
        <v>185232</v>
      </c>
      <c r="D507" s="6" t="s">
        <v>2581</v>
      </c>
      <c r="E507" s="6" t="s">
        <v>2582</v>
      </c>
      <c r="F507" s="6"/>
      <c r="G507" s="6" t="s">
        <v>2564</v>
      </c>
      <c r="H507" s="6" t="s">
        <v>2565</v>
      </c>
      <c r="I507" s="6" t="s">
        <v>31</v>
      </c>
      <c r="J507" s="6" t="s">
        <v>2566</v>
      </c>
      <c r="K507" s="6" t="s">
        <v>2583</v>
      </c>
      <c r="L507" s="6" t="s">
        <v>1569</v>
      </c>
      <c r="M507" s="6" t="s">
        <v>2568</v>
      </c>
      <c r="N507" s="6" t="s">
        <v>2555</v>
      </c>
      <c r="O507" s="6" t="s">
        <v>1571</v>
      </c>
      <c r="P507" s="6"/>
      <c r="Q507" s="8">
        <v>140</v>
      </c>
      <c r="R507" s="8">
        <v>140.41999999999999</v>
      </c>
      <c r="S507" s="8">
        <v>279.89999999999998</v>
      </c>
      <c r="T507" s="8">
        <v>14</v>
      </c>
      <c r="U507" s="8"/>
      <c r="V507" s="8">
        <v>0</v>
      </c>
      <c r="W507" s="12">
        <v>0</v>
      </c>
      <c r="Y507">
        <v>0</v>
      </c>
    </row>
    <row r="508" spans="1:25" ht="40" customHeight="1">
      <c r="A508" s="6" t="s">
        <v>2584</v>
      </c>
      <c r="B508" s="6" t="s">
        <v>2585</v>
      </c>
      <c r="C508" s="6">
        <v>185232</v>
      </c>
      <c r="D508" s="6" t="s">
        <v>94</v>
      </c>
      <c r="E508" s="6" t="s">
        <v>2586</v>
      </c>
      <c r="F508" s="6"/>
      <c r="G508" s="6" t="s">
        <v>2564</v>
      </c>
      <c r="H508" s="6" t="s">
        <v>2565</v>
      </c>
      <c r="I508" s="6" t="s">
        <v>31</v>
      </c>
      <c r="J508" s="6" t="s">
        <v>2566</v>
      </c>
      <c r="K508" s="6" t="s">
        <v>2587</v>
      </c>
      <c r="L508" s="6" t="s">
        <v>1569</v>
      </c>
      <c r="M508" s="6" t="s">
        <v>2568</v>
      </c>
      <c r="N508" s="6" t="s">
        <v>2555</v>
      </c>
      <c r="O508" s="6" t="s">
        <v>1571</v>
      </c>
      <c r="P508" s="6"/>
      <c r="Q508" s="8">
        <v>140</v>
      </c>
      <c r="R508" s="8">
        <v>140.41999999999999</v>
      </c>
      <c r="S508" s="8">
        <v>279.89999999999998</v>
      </c>
      <c r="T508" s="8">
        <v>14</v>
      </c>
      <c r="U508" s="8"/>
      <c r="V508" s="8">
        <v>0</v>
      </c>
      <c r="W508" s="12">
        <v>0</v>
      </c>
      <c r="Y508">
        <v>0</v>
      </c>
    </row>
    <row r="509" spans="1:25" ht="40" customHeight="1">
      <c r="A509" s="6" t="s">
        <v>2588</v>
      </c>
      <c r="B509" s="6" t="s">
        <v>2589</v>
      </c>
      <c r="C509" s="6">
        <v>185232</v>
      </c>
      <c r="D509" s="6" t="s">
        <v>2590</v>
      </c>
      <c r="E509" s="6" t="s">
        <v>2591</v>
      </c>
      <c r="F509" s="6"/>
      <c r="G509" s="6" t="s">
        <v>2564</v>
      </c>
      <c r="H509" s="6" t="s">
        <v>2565</v>
      </c>
      <c r="I509" s="6" t="s">
        <v>31</v>
      </c>
      <c r="J509" s="6" t="s">
        <v>2566</v>
      </c>
      <c r="K509" s="6" t="s">
        <v>2592</v>
      </c>
      <c r="L509" s="6" t="s">
        <v>1569</v>
      </c>
      <c r="M509" s="6" t="s">
        <v>2568</v>
      </c>
      <c r="N509" s="6" t="s">
        <v>2555</v>
      </c>
      <c r="O509" s="6" t="s">
        <v>1571</v>
      </c>
      <c r="P509" s="6"/>
      <c r="Q509" s="8">
        <v>140</v>
      </c>
      <c r="R509" s="8">
        <v>140.41999999999999</v>
      </c>
      <c r="S509" s="8">
        <v>279.89999999999998</v>
      </c>
      <c r="T509" s="8">
        <v>14</v>
      </c>
      <c r="U509" s="8"/>
      <c r="V509" s="8">
        <v>0</v>
      </c>
      <c r="W509" s="12">
        <v>0</v>
      </c>
      <c r="Y509">
        <v>0</v>
      </c>
    </row>
    <row r="510" spans="1:25" ht="40" customHeight="1">
      <c r="A510" s="6" t="s">
        <v>2593</v>
      </c>
      <c r="B510" s="6" t="s">
        <v>2594</v>
      </c>
      <c r="C510" s="6">
        <v>185232</v>
      </c>
      <c r="D510" s="6" t="s">
        <v>2595</v>
      </c>
      <c r="E510" s="6" t="s">
        <v>2596</v>
      </c>
      <c r="F510" s="6"/>
      <c r="G510" s="6" t="s">
        <v>2564</v>
      </c>
      <c r="H510" s="6" t="s">
        <v>2565</v>
      </c>
      <c r="I510" s="6" t="s">
        <v>31</v>
      </c>
      <c r="J510" s="6" t="s">
        <v>2566</v>
      </c>
      <c r="K510" s="6" t="s">
        <v>2597</v>
      </c>
      <c r="L510" s="6" t="s">
        <v>1569</v>
      </c>
      <c r="M510" s="6" t="s">
        <v>2568</v>
      </c>
      <c r="N510" s="6" t="s">
        <v>2555</v>
      </c>
      <c r="O510" s="6" t="s">
        <v>1571</v>
      </c>
      <c r="P510" s="6"/>
      <c r="Q510" s="8">
        <v>140</v>
      </c>
      <c r="R510" s="8">
        <v>140.41999999999999</v>
      </c>
      <c r="S510" s="8">
        <v>279.89999999999998</v>
      </c>
      <c r="T510" s="8">
        <v>14</v>
      </c>
      <c r="U510" s="8"/>
      <c r="V510" s="8">
        <v>0</v>
      </c>
      <c r="W510" s="12">
        <v>0</v>
      </c>
      <c r="Y510">
        <v>0</v>
      </c>
    </row>
    <row r="511" spans="1:25" ht="40" customHeight="1">
      <c r="A511" s="6" t="s">
        <v>2598</v>
      </c>
      <c r="B511" s="6" t="s">
        <v>2599</v>
      </c>
      <c r="C511" s="6">
        <v>185233</v>
      </c>
      <c r="D511" s="6" t="s">
        <v>862</v>
      </c>
      <c r="E511" s="6" t="s">
        <v>2600</v>
      </c>
      <c r="F511" s="6"/>
      <c r="G511" s="6" t="s">
        <v>2564</v>
      </c>
      <c r="H511" s="6" t="s">
        <v>2601</v>
      </c>
      <c r="I511" s="6" t="s">
        <v>31</v>
      </c>
      <c r="J511" s="6" t="s">
        <v>2602</v>
      </c>
      <c r="K511" s="6" t="s">
        <v>2603</v>
      </c>
      <c r="L511" s="6" t="s">
        <v>1569</v>
      </c>
      <c r="M511" s="6" t="s">
        <v>2604</v>
      </c>
      <c r="N511" s="6" t="s">
        <v>2555</v>
      </c>
      <c r="O511" s="6" t="s">
        <v>1571</v>
      </c>
      <c r="P511" s="6"/>
      <c r="Q511" s="8">
        <v>150</v>
      </c>
      <c r="R511" s="8">
        <v>150.44999999999999</v>
      </c>
      <c r="S511" s="8">
        <v>299.89999999999998</v>
      </c>
      <c r="T511" s="8">
        <v>14</v>
      </c>
      <c r="U511" s="8"/>
      <c r="V511" s="8">
        <v>0</v>
      </c>
      <c r="W511" s="12">
        <v>0</v>
      </c>
      <c r="Y511">
        <v>0</v>
      </c>
    </row>
    <row r="512" spans="1:25" ht="40" customHeight="1">
      <c r="A512" s="6" t="s">
        <v>2605</v>
      </c>
      <c r="B512" s="6" t="s">
        <v>2606</v>
      </c>
      <c r="C512" s="6">
        <v>185233</v>
      </c>
      <c r="D512" s="6" t="s">
        <v>45</v>
      </c>
      <c r="E512" s="6" t="s">
        <v>2607</v>
      </c>
      <c r="F512" s="6"/>
      <c r="G512" s="6" t="s">
        <v>2564</v>
      </c>
      <c r="H512" s="6" t="s">
        <v>2601</v>
      </c>
      <c r="I512" s="6" t="s">
        <v>31</v>
      </c>
      <c r="J512" s="6" t="s">
        <v>2602</v>
      </c>
      <c r="K512" s="6" t="s">
        <v>2608</v>
      </c>
      <c r="L512" s="6" t="s">
        <v>1569</v>
      </c>
      <c r="M512" s="6" t="s">
        <v>2604</v>
      </c>
      <c r="N512" s="6" t="s">
        <v>2555</v>
      </c>
      <c r="O512" s="6" t="s">
        <v>1571</v>
      </c>
      <c r="P512" s="6"/>
      <c r="Q512" s="8">
        <v>150</v>
      </c>
      <c r="R512" s="8">
        <v>150.44999999999999</v>
      </c>
      <c r="S512" s="8">
        <v>299.89999999999998</v>
      </c>
      <c r="T512" s="8">
        <v>14</v>
      </c>
      <c r="U512" s="8"/>
      <c r="V512" s="8">
        <v>0</v>
      </c>
      <c r="W512" s="12">
        <v>0</v>
      </c>
      <c r="Y512">
        <v>0</v>
      </c>
    </row>
    <row r="513" spans="1:25" ht="40" customHeight="1">
      <c r="A513" s="6" t="s">
        <v>2609</v>
      </c>
      <c r="B513" s="6" t="s">
        <v>2610</v>
      </c>
      <c r="C513" s="6">
        <v>185234</v>
      </c>
      <c r="D513" s="6" t="s">
        <v>99</v>
      </c>
      <c r="E513" s="6" t="s">
        <v>2611</v>
      </c>
      <c r="F513" s="6"/>
      <c r="G513" s="6" t="s">
        <v>2564</v>
      </c>
      <c r="H513" s="6" t="s">
        <v>2601</v>
      </c>
      <c r="I513" s="6" t="s">
        <v>31</v>
      </c>
      <c r="J513" s="6" t="s">
        <v>2602</v>
      </c>
      <c r="K513" s="8"/>
      <c r="L513" s="8"/>
      <c r="M513" s="8"/>
      <c r="N513" s="8"/>
      <c r="O513" s="8"/>
      <c r="P513" s="8"/>
      <c r="Q513" s="8">
        <v>150</v>
      </c>
      <c r="R513" s="8">
        <v>150.44999999999999</v>
      </c>
      <c r="S513" s="8">
        <v>299.89999999999998</v>
      </c>
      <c r="T513" s="8">
        <v>14</v>
      </c>
      <c r="U513" s="8"/>
      <c r="V513" s="8">
        <v>0</v>
      </c>
      <c r="W513" s="12">
        <v>0</v>
      </c>
      <c r="Y513">
        <v>0</v>
      </c>
    </row>
    <row r="514" spans="1:25" ht="40" customHeight="1">
      <c r="A514" s="6" t="s">
        <v>2612</v>
      </c>
      <c r="B514" s="6" t="s">
        <v>2613</v>
      </c>
      <c r="C514" s="6">
        <v>185293</v>
      </c>
      <c r="D514" s="6" t="s">
        <v>170</v>
      </c>
      <c r="E514" s="6" t="s">
        <v>2614</v>
      </c>
      <c r="F514" s="6"/>
      <c r="G514" s="6" t="s">
        <v>2615</v>
      </c>
      <c r="H514" s="6" t="s">
        <v>2616</v>
      </c>
      <c r="I514" s="6" t="s">
        <v>31</v>
      </c>
      <c r="J514" s="6" t="s">
        <v>2617</v>
      </c>
      <c r="K514" s="6" t="s">
        <v>2618</v>
      </c>
      <c r="L514" s="6" t="s">
        <v>1569</v>
      </c>
      <c r="M514" s="6" t="s">
        <v>2619</v>
      </c>
      <c r="N514" s="6" t="s">
        <v>2555</v>
      </c>
      <c r="O514" s="6" t="s">
        <v>1571</v>
      </c>
      <c r="P514" s="6"/>
      <c r="Q514" s="8">
        <v>175</v>
      </c>
      <c r="R514" s="8">
        <v>175.52500000000001</v>
      </c>
      <c r="S514" s="8">
        <v>349.9</v>
      </c>
      <c r="T514" s="8">
        <v>14</v>
      </c>
      <c r="U514" s="8"/>
      <c r="V514" s="8">
        <v>0</v>
      </c>
      <c r="W514" s="12">
        <v>0</v>
      </c>
      <c r="Y514">
        <v>0</v>
      </c>
    </row>
    <row r="515" spans="1:25" ht="40" customHeight="1">
      <c r="A515" s="6" t="s">
        <v>2620</v>
      </c>
      <c r="B515" s="6" t="s">
        <v>2621</v>
      </c>
      <c r="C515" s="6">
        <v>185293</v>
      </c>
      <c r="D515" s="6" t="s">
        <v>659</v>
      </c>
      <c r="E515" s="6" t="s">
        <v>2622</v>
      </c>
      <c r="F515" s="6"/>
      <c r="G515" s="6" t="s">
        <v>2615</v>
      </c>
      <c r="H515" s="6" t="s">
        <v>2616</v>
      </c>
      <c r="I515" s="6" t="s">
        <v>31</v>
      </c>
      <c r="J515" s="6" t="s">
        <v>2617</v>
      </c>
      <c r="K515" s="6" t="s">
        <v>2623</v>
      </c>
      <c r="L515" s="6" t="s">
        <v>1569</v>
      </c>
      <c r="M515" s="6" t="s">
        <v>2619</v>
      </c>
      <c r="N515" s="6" t="s">
        <v>2555</v>
      </c>
      <c r="O515" s="6" t="s">
        <v>1571</v>
      </c>
      <c r="P515" s="6"/>
      <c r="Q515" s="8">
        <v>175</v>
      </c>
      <c r="R515" s="8">
        <v>175.52500000000001</v>
      </c>
      <c r="S515" s="8">
        <v>349.9</v>
      </c>
      <c r="T515" s="8">
        <v>14</v>
      </c>
      <c r="U515" s="8"/>
      <c r="V515" s="8">
        <v>0</v>
      </c>
      <c r="W515" s="12">
        <v>0</v>
      </c>
      <c r="Y515">
        <v>0</v>
      </c>
    </row>
    <row r="516" spans="1:25" ht="40" customHeight="1">
      <c r="A516" s="6" t="s">
        <v>2624</v>
      </c>
      <c r="B516" s="6" t="s">
        <v>2625</v>
      </c>
      <c r="C516" s="6">
        <v>185324</v>
      </c>
      <c r="D516" s="6" t="s">
        <v>147</v>
      </c>
      <c r="E516" s="6" t="s">
        <v>2626</v>
      </c>
      <c r="F516" s="6"/>
      <c r="G516" s="6" t="s">
        <v>2564</v>
      </c>
      <c r="H516" s="6" t="s">
        <v>2627</v>
      </c>
      <c r="I516" s="6" t="s">
        <v>31</v>
      </c>
      <c r="J516" s="6" t="s">
        <v>2628</v>
      </c>
      <c r="K516" s="6" t="s">
        <v>2629</v>
      </c>
      <c r="L516" s="6" t="s">
        <v>1569</v>
      </c>
      <c r="M516" s="6" t="s">
        <v>2630</v>
      </c>
      <c r="N516" s="6" t="s">
        <v>2555</v>
      </c>
      <c r="O516" s="6" t="s">
        <v>1571</v>
      </c>
      <c r="P516" s="6"/>
      <c r="Q516" s="8">
        <v>150</v>
      </c>
      <c r="R516" s="8">
        <v>150.44999999999999</v>
      </c>
      <c r="S516" s="8">
        <v>299.89999999999998</v>
      </c>
      <c r="T516" s="8">
        <v>14</v>
      </c>
      <c r="U516" s="8"/>
      <c r="V516" s="8">
        <v>0</v>
      </c>
      <c r="W516" s="12">
        <v>0</v>
      </c>
      <c r="Y516">
        <v>0</v>
      </c>
    </row>
    <row r="517" spans="1:25" ht="40" customHeight="1">
      <c r="A517" s="6" t="s">
        <v>2631</v>
      </c>
      <c r="B517" s="6" t="s">
        <v>2632</v>
      </c>
      <c r="C517" s="6">
        <v>185324</v>
      </c>
      <c r="D517" s="6" t="s">
        <v>699</v>
      </c>
      <c r="E517" s="6" t="s">
        <v>2633</v>
      </c>
      <c r="F517" s="6"/>
      <c r="G517" s="6" t="s">
        <v>2564</v>
      </c>
      <c r="H517" s="6" t="s">
        <v>2627</v>
      </c>
      <c r="I517" s="6" t="s">
        <v>31</v>
      </c>
      <c r="J517" s="6" t="s">
        <v>2628</v>
      </c>
      <c r="K517" s="6" t="s">
        <v>2634</v>
      </c>
      <c r="L517" s="6" t="s">
        <v>1569</v>
      </c>
      <c r="M517" s="6" t="s">
        <v>2630</v>
      </c>
      <c r="N517" s="6" t="s">
        <v>2555</v>
      </c>
      <c r="O517" s="6" t="s">
        <v>1571</v>
      </c>
      <c r="P517" s="6"/>
      <c r="Q517" s="8">
        <v>150</v>
      </c>
      <c r="R517" s="8">
        <v>150.44999999999999</v>
      </c>
      <c r="S517" s="8">
        <v>299.89999999999998</v>
      </c>
      <c r="T517" s="8">
        <v>14</v>
      </c>
      <c r="U517" s="8"/>
      <c r="V517" s="8">
        <v>0</v>
      </c>
      <c r="W517" s="12">
        <v>0</v>
      </c>
      <c r="Y517">
        <v>0</v>
      </c>
    </row>
    <row r="518" spans="1:25" ht="40" customHeight="1">
      <c r="A518" s="6" t="s">
        <v>2635</v>
      </c>
      <c r="B518" s="6" t="s">
        <v>2636</v>
      </c>
      <c r="C518" s="6">
        <v>185329</v>
      </c>
      <c r="D518" s="6" t="s">
        <v>2637</v>
      </c>
      <c r="E518" s="6" t="s">
        <v>2638</v>
      </c>
      <c r="F518" s="6"/>
      <c r="G518" s="6" t="s">
        <v>2564</v>
      </c>
      <c r="H518" s="6" t="s">
        <v>215</v>
      </c>
      <c r="I518" s="6" t="s">
        <v>31</v>
      </c>
      <c r="J518" s="6" t="s">
        <v>2639</v>
      </c>
      <c r="K518" s="6" t="s">
        <v>2640</v>
      </c>
      <c r="L518" s="6" t="s">
        <v>54</v>
      </c>
      <c r="M518" s="6" t="s">
        <v>54</v>
      </c>
      <c r="N518" s="6" t="s">
        <v>2555</v>
      </c>
      <c r="O518" s="6" t="s">
        <v>2641</v>
      </c>
      <c r="P518" s="6"/>
      <c r="Q518" s="8">
        <v>165</v>
      </c>
      <c r="R518" s="8">
        <v>165.495</v>
      </c>
      <c r="S518" s="8">
        <v>329.9</v>
      </c>
      <c r="T518" s="8">
        <v>14</v>
      </c>
      <c r="U518" s="8"/>
      <c r="V518" s="8">
        <v>0</v>
      </c>
      <c r="W518" s="12">
        <v>0</v>
      </c>
      <c r="Y518">
        <v>0</v>
      </c>
    </row>
    <row r="519" spans="1:25" ht="40" customHeight="1">
      <c r="A519" s="6" t="s">
        <v>2642</v>
      </c>
      <c r="B519" s="6" t="s">
        <v>2643</v>
      </c>
      <c r="C519" s="6">
        <v>185329</v>
      </c>
      <c r="D519" s="6" t="s">
        <v>2644</v>
      </c>
      <c r="E519" s="6" t="s">
        <v>2645</v>
      </c>
      <c r="F519" s="6"/>
      <c r="G519" s="6" t="s">
        <v>2564</v>
      </c>
      <c r="H519" s="6" t="s">
        <v>215</v>
      </c>
      <c r="I519" s="6" t="s">
        <v>31</v>
      </c>
      <c r="J519" s="6" t="s">
        <v>2639</v>
      </c>
      <c r="K519" s="6" t="s">
        <v>2646</v>
      </c>
      <c r="L519" s="6" t="s">
        <v>54</v>
      </c>
      <c r="M519" s="6" t="s">
        <v>54</v>
      </c>
      <c r="N519" s="6" t="s">
        <v>2555</v>
      </c>
      <c r="O519" s="6" t="s">
        <v>2641</v>
      </c>
      <c r="P519" s="6"/>
      <c r="Q519" s="8">
        <v>165</v>
      </c>
      <c r="R519" s="8">
        <v>165.495</v>
      </c>
      <c r="S519" s="8">
        <v>329.9</v>
      </c>
      <c r="T519" s="8">
        <v>14</v>
      </c>
      <c r="U519" s="8"/>
      <c r="V519" s="8">
        <v>0</v>
      </c>
      <c r="W519" s="12">
        <v>0</v>
      </c>
      <c r="Y519">
        <v>0</v>
      </c>
    </row>
    <row r="520" spans="1:25" ht="40" customHeight="1">
      <c r="A520" s="6" t="s">
        <v>2647</v>
      </c>
      <c r="B520" s="6" t="s">
        <v>2648</v>
      </c>
      <c r="C520" s="6">
        <v>185329</v>
      </c>
      <c r="D520" s="6" t="s">
        <v>862</v>
      </c>
      <c r="E520" s="6" t="s">
        <v>2649</v>
      </c>
      <c r="F520" s="6"/>
      <c r="G520" s="6" t="s">
        <v>2564</v>
      </c>
      <c r="H520" s="6" t="s">
        <v>215</v>
      </c>
      <c r="I520" s="6" t="s">
        <v>31</v>
      </c>
      <c r="J520" s="6" t="s">
        <v>2639</v>
      </c>
      <c r="K520" s="6" t="s">
        <v>2650</v>
      </c>
      <c r="L520" s="6" t="s">
        <v>54</v>
      </c>
      <c r="M520" s="6" t="s">
        <v>54</v>
      </c>
      <c r="N520" s="6" t="s">
        <v>2555</v>
      </c>
      <c r="O520" s="6" t="s">
        <v>2641</v>
      </c>
      <c r="P520" s="6"/>
      <c r="Q520" s="8">
        <v>165</v>
      </c>
      <c r="R520" s="8">
        <v>165.495</v>
      </c>
      <c r="S520" s="8">
        <v>329.9</v>
      </c>
      <c r="T520" s="8">
        <v>14</v>
      </c>
      <c r="U520" s="8"/>
      <c r="V520" s="8">
        <v>0</v>
      </c>
      <c r="W520" s="12">
        <v>0</v>
      </c>
      <c r="Y520">
        <v>0</v>
      </c>
    </row>
    <row r="521" spans="1:25" ht="40" customHeight="1">
      <c r="A521" s="6" t="s">
        <v>2651</v>
      </c>
      <c r="B521" s="6" t="s">
        <v>2652</v>
      </c>
      <c r="C521" s="6">
        <v>185354</v>
      </c>
      <c r="D521" s="6" t="s">
        <v>64</v>
      </c>
      <c r="E521" s="6" t="s">
        <v>2653</v>
      </c>
      <c r="F521" s="6"/>
      <c r="G521" s="6" t="s">
        <v>2564</v>
      </c>
      <c r="H521" s="6" t="s">
        <v>2654</v>
      </c>
      <c r="I521" s="6" t="s">
        <v>31</v>
      </c>
      <c r="J521" s="6" t="s">
        <v>2655</v>
      </c>
      <c r="K521" s="6" t="s">
        <v>2656</v>
      </c>
      <c r="L521" s="6" t="s">
        <v>1569</v>
      </c>
      <c r="M521" s="6" t="s">
        <v>2657</v>
      </c>
      <c r="N521" s="6" t="s">
        <v>2555</v>
      </c>
      <c r="O521" s="6" t="s">
        <v>1571</v>
      </c>
      <c r="P521" s="6"/>
      <c r="Q521" s="8">
        <v>150</v>
      </c>
      <c r="R521" s="8">
        <v>150.44999999999999</v>
      </c>
      <c r="S521" s="8">
        <v>299.89999999999998</v>
      </c>
      <c r="T521" s="8">
        <v>14</v>
      </c>
      <c r="U521" s="8"/>
      <c r="V521" s="8">
        <v>0</v>
      </c>
      <c r="W521" s="12">
        <v>0</v>
      </c>
      <c r="Y521">
        <v>0</v>
      </c>
    </row>
    <row r="522" spans="1:25" ht="40" customHeight="1">
      <c r="A522" s="6" t="s">
        <v>2658</v>
      </c>
      <c r="B522" s="6" t="s">
        <v>2659</v>
      </c>
      <c r="C522" s="6">
        <v>185354</v>
      </c>
      <c r="D522" s="6" t="s">
        <v>74</v>
      </c>
      <c r="E522" s="6" t="s">
        <v>2660</v>
      </c>
      <c r="F522" s="6"/>
      <c r="G522" s="6" t="s">
        <v>2564</v>
      </c>
      <c r="H522" s="6" t="s">
        <v>2654</v>
      </c>
      <c r="I522" s="6" t="s">
        <v>31</v>
      </c>
      <c r="J522" s="6" t="s">
        <v>2655</v>
      </c>
      <c r="K522" s="6" t="s">
        <v>2661</v>
      </c>
      <c r="L522" s="6" t="s">
        <v>1569</v>
      </c>
      <c r="M522" s="6" t="s">
        <v>2657</v>
      </c>
      <c r="N522" s="6" t="s">
        <v>2555</v>
      </c>
      <c r="O522" s="6" t="s">
        <v>1571</v>
      </c>
      <c r="P522" s="6"/>
      <c r="Q522" s="8">
        <v>150</v>
      </c>
      <c r="R522" s="8">
        <v>150.44999999999999</v>
      </c>
      <c r="S522" s="8">
        <v>299.89999999999998</v>
      </c>
      <c r="T522" s="8">
        <v>14</v>
      </c>
      <c r="U522" s="8"/>
      <c r="V522" s="8">
        <v>0</v>
      </c>
      <c r="W522" s="12">
        <v>0</v>
      </c>
      <c r="Y522">
        <v>0</v>
      </c>
    </row>
    <row r="523" spans="1:25" ht="40" customHeight="1">
      <c r="A523" s="6" t="s">
        <v>2662</v>
      </c>
      <c r="B523" s="6" t="s">
        <v>2663</v>
      </c>
      <c r="C523" s="6">
        <v>185354</v>
      </c>
      <c r="D523" s="6" t="s">
        <v>94</v>
      </c>
      <c r="E523" s="6" t="s">
        <v>2664</v>
      </c>
      <c r="F523" s="6"/>
      <c r="G523" s="6" t="s">
        <v>2564</v>
      </c>
      <c r="H523" s="6" t="s">
        <v>2654</v>
      </c>
      <c r="I523" s="6" t="s">
        <v>31</v>
      </c>
      <c r="J523" s="6" t="s">
        <v>2655</v>
      </c>
      <c r="K523" s="6" t="s">
        <v>2665</v>
      </c>
      <c r="L523" s="6" t="s">
        <v>1569</v>
      </c>
      <c r="M523" s="6" t="s">
        <v>2657</v>
      </c>
      <c r="N523" s="6" t="s">
        <v>2555</v>
      </c>
      <c r="O523" s="6" t="s">
        <v>1571</v>
      </c>
      <c r="P523" s="6"/>
      <c r="Q523" s="8">
        <v>150</v>
      </c>
      <c r="R523" s="8">
        <v>150.44999999999999</v>
      </c>
      <c r="S523" s="8">
        <v>299.89999999999998</v>
      </c>
      <c r="T523" s="8">
        <v>14</v>
      </c>
      <c r="U523" s="8"/>
      <c r="V523" s="8">
        <v>0</v>
      </c>
      <c r="W523" s="12">
        <v>0</v>
      </c>
      <c r="Y523">
        <v>0</v>
      </c>
    </row>
    <row r="524" spans="1:25" ht="40" customHeight="1">
      <c r="A524" s="6" t="s">
        <v>2666</v>
      </c>
      <c r="B524" s="6" t="s">
        <v>2667</v>
      </c>
      <c r="C524" s="6">
        <v>185356</v>
      </c>
      <c r="D524" s="6" t="s">
        <v>2668</v>
      </c>
      <c r="E524" s="6" t="s">
        <v>2669</v>
      </c>
      <c r="F524" s="6"/>
      <c r="G524" s="6" t="s">
        <v>2564</v>
      </c>
      <c r="H524" s="6" t="s">
        <v>2670</v>
      </c>
      <c r="I524" s="6" t="s">
        <v>31</v>
      </c>
      <c r="J524" s="6" t="s">
        <v>2671</v>
      </c>
      <c r="K524" s="6" t="s">
        <v>2672</v>
      </c>
      <c r="L524" s="6" t="s">
        <v>1569</v>
      </c>
      <c r="M524" s="6" t="s">
        <v>2673</v>
      </c>
      <c r="N524" s="6" t="s">
        <v>2555</v>
      </c>
      <c r="O524" s="6" t="s">
        <v>1571</v>
      </c>
      <c r="P524" s="6"/>
      <c r="Q524" s="8">
        <v>175</v>
      </c>
      <c r="R524" s="8">
        <v>175.52500000000001</v>
      </c>
      <c r="S524" s="8">
        <v>349.9</v>
      </c>
      <c r="T524" s="8">
        <v>14</v>
      </c>
      <c r="U524" s="8"/>
      <c r="V524" s="8">
        <v>0</v>
      </c>
      <c r="W524" s="12">
        <v>0</v>
      </c>
      <c r="Y524">
        <v>0</v>
      </c>
    </row>
    <row r="525" spans="1:25" ht="40" customHeight="1">
      <c r="A525" s="6" t="s">
        <v>2674</v>
      </c>
      <c r="B525" s="6" t="s">
        <v>2675</v>
      </c>
      <c r="C525" s="6">
        <v>185405</v>
      </c>
      <c r="D525" s="6" t="s">
        <v>2676</v>
      </c>
      <c r="E525" s="6" t="s">
        <v>2677</v>
      </c>
      <c r="F525" s="6"/>
      <c r="G525" s="6" t="s">
        <v>2564</v>
      </c>
      <c r="H525" s="6" t="s">
        <v>2678</v>
      </c>
      <c r="I525" s="6" t="s">
        <v>31</v>
      </c>
      <c r="J525" s="6" t="s">
        <v>2679</v>
      </c>
      <c r="K525" s="6" t="s">
        <v>2680</v>
      </c>
      <c r="L525" s="6" t="s">
        <v>1569</v>
      </c>
      <c r="M525" s="6" t="s">
        <v>2681</v>
      </c>
      <c r="N525" s="6" t="s">
        <v>2555</v>
      </c>
      <c r="O525" s="6" t="s">
        <v>1571</v>
      </c>
      <c r="P525" s="6"/>
      <c r="Q525" s="8">
        <v>160</v>
      </c>
      <c r="R525" s="8">
        <v>160.47999999999999</v>
      </c>
      <c r="S525" s="8">
        <v>319.89999999999998</v>
      </c>
      <c r="T525" s="8">
        <v>14</v>
      </c>
      <c r="U525" s="8"/>
      <c r="V525" s="8">
        <v>0</v>
      </c>
      <c r="W525" s="12">
        <v>0</v>
      </c>
      <c r="Y525">
        <v>0</v>
      </c>
    </row>
    <row r="526" spans="1:25" ht="40" customHeight="1">
      <c r="A526" s="6" t="s">
        <v>2682</v>
      </c>
      <c r="B526" s="6" t="s">
        <v>2683</v>
      </c>
      <c r="C526" s="6">
        <v>185405</v>
      </c>
      <c r="D526" s="6" t="s">
        <v>1792</v>
      </c>
      <c r="E526" s="6" t="s">
        <v>2684</v>
      </c>
      <c r="F526" s="6"/>
      <c r="G526" s="6" t="s">
        <v>2564</v>
      </c>
      <c r="H526" s="6" t="s">
        <v>2678</v>
      </c>
      <c r="I526" s="6" t="s">
        <v>31</v>
      </c>
      <c r="J526" s="6" t="s">
        <v>2679</v>
      </c>
      <c r="K526" s="6" t="s">
        <v>2685</v>
      </c>
      <c r="L526" s="6" t="s">
        <v>1569</v>
      </c>
      <c r="M526" s="6" t="s">
        <v>2681</v>
      </c>
      <c r="N526" s="6" t="s">
        <v>2555</v>
      </c>
      <c r="O526" s="6" t="s">
        <v>1571</v>
      </c>
      <c r="P526" s="6"/>
      <c r="Q526" s="8">
        <v>160</v>
      </c>
      <c r="R526" s="8">
        <v>160.47999999999999</v>
      </c>
      <c r="S526" s="8">
        <v>319.89999999999998</v>
      </c>
      <c r="T526" s="8">
        <v>14</v>
      </c>
      <c r="U526" s="8"/>
      <c r="V526" s="8">
        <v>0</v>
      </c>
      <c r="W526" s="12">
        <v>0</v>
      </c>
      <c r="Y526">
        <v>0</v>
      </c>
    </row>
    <row r="527" spans="1:25" ht="40" customHeight="1">
      <c r="A527" s="6" t="s">
        <v>2686</v>
      </c>
      <c r="B527" s="6" t="s">
        <v>2687</v>
      </c>
      <c r="C527" s="6">
        <v>185405</v>
      </c>
      <c r="D527" s="6" t="s">
        <v>94</v>
      </c>
      <c r="E527" s="6" t="s">
        <v>2688</v>
      </c>
      <c r="F527" s="6"/>
      <c r="G527" s="6" t="s">
        <v>2564</v>
      </c>
      <c r="H527" s="6" t="s">
        <v>2678</v>
      </c>
      <c r="I527" s="6" t="s">
        <v>31</v>
      </c>
      <c r="J527" s="6" t="s">
        <v>2679</v>
      </c>
      <c r="K527" s="6" t="s">
        <v>2587</v>
      </c>
      <c r="L527" s="6" t="s">
        <v>1569</v>
      </c>
      <c r="M527" s="6" t="s">
        <v>2681</v>
      </c>
      <c r="N527" s="6" t="s">
        <v>2555</v>
      </c>
      <c r="O527" s="6" t="s">
        <v>1571</v>
      </c>
      <c r="P527" s="6"/>
      <c r="Q527" s="8">
        <v>160</v>
      </c>
      <c r="R527" s="8">
        <v>160.47999999999999</v>
      </c>
      <c r="S527" s="8">
        <v>319.89999999999998</v>
      </c>
      <c r="T527" s="8">
        <v>14</v>
      </c>
      <c r="U527" s="8"/>
      <c r="V527" s="8">
        <v>0</v>
      </c>
      <c r="W527" s="12">
        <v>0</v>
      </c>
      <c r="Y527">
        <v>0</v>
      </c>
    </row>
    <row r="528" spans="1:25" ht="40" customHeight="1">
      <c r="A528" s="6" t="s">
        <v>2689</v>
      </c>
      <c r="B528" s="6" t="s">
        <v>2690</v>
      </c>
      <c r="C528" s="6">
        <v>185405</v>
      </c>
      <c r="D528" s="6" t="s">
        <v>2424</v>
      </c>
      <c r="E528" s="6" t="s">
        <v>2691</v>
      </c>
      <c r="F528" s="6"/>
      <c r="G528" s="6" t="s">
        <v>2564</v>
      </c>
      <c r="H528" s="6" t="s">
        <v>2678</v>
      </c>
      <c r="I528" s="6" t="s">
        <v>31</v>
      </c>
      <c r="J528" s="6" t="s">
        <v>2679</v>
      </c>
      <c r="K528" s="6" t="s">
        <v>2692</v>
      </c>
      <c r="L528" s="6" t="s">
        <v>1569</v>
      </c>
      <c r="M528" s="6" t="s">
        <v>2681</v>
      </c>
      <c r="N528" s="6" t="s">
        <v>2555</v>
      </c>
      <c r="O528" s="6" t="s">
        <v>1571</v>
      </c>
      <c r="P528" s="6"/>
      <c r="Q528" s="8">
        <v>160</v>
      </c>
      <c r="R528" s="8">
        <v>160.47999999999999</v>
      </c>
      <c r="S528" s="8">
        <v>319.89999999999998</v>
      </c>
      <c r="T528" s="8">
        <v>14</v>
      </c>
      <c r="U528" s="8"/>
      <c r="V528" s="8">
        <v>0</v>
      </c>
      <c r="W528" s="12">
        <v>0</v>
      </c>
      <c r="Y528">
        <v>0</v>
      </c>
    </row>
    <row r="529" spans="1:25" ht="40" customHeight="1">
      <c r="A529" s="6" t="s">
        <v>2693</v>
      </c>
      <c r="B529" s="6" t="s">
        <v>2694</v>
      </c>
      <c r="C529" s="6">
        <v>185435</v>
      </c>
      <c r="D529" s="6" t="s">
        <v>64</v>
      </c>
      <c r="E529" s="6" t="s">
        <v>2695</v>
      </c>
      <c r="F529" s="6"/>
      <c r="G529" s="6" t="s">
        <v>2696</v>
      </c>
      <c r="H529" s="6" t="s">
        <v>2697</v>
      </c>
      <c r="I529" s="6" t="s">
        <v>31</v>
      </c>
      <c r="J529" s="6" t="s">
        <v>2698</v>
      </c>
      <c r="K529" s="6" t="s">
        <v>2699</v>
      </c>
      <c r="L529" s="6" t="s">
        <v>1569</v>
      </c>
      <c r="M529" s="6" t="s">
        <v>2700</v>
      </c>
      <c r="N529" s="6" t="s">
        <v>2555</v>
      </c>
      <c r="O529" s="6" t="s">
        <v>1571</v>
      </c>
      <c r="P529" s="6"/>
      <c r="Q529" s="8">
        <v>160</v>
      </c>
      <c r="R529" s="8">
        <v>160.47999999999999</v>
      </c>
      <c r="S529" s="8">
        <v>319.89999999999998</v>
      </c>
      <c r="T529" s="8">
        <v>14</v>
      </c>
      <c r="U529" s="8"/>
      <c r="V529" s="8">
        <v>0</v>
      </c>
      <c r="W529" s="12">
        <v>0</v>
      </c>
      <c r="Y529">
        <v>0</v>
      </c>
    </row>
    <row r="530" spans="1:25" ht="40" customHeight="1">
      <c r="A530" s="6" t="s">
        <v>2701</v>
      </c>
      <c r="B530" s="6" t="s">
        <v>2702</v>
      </c>
      <c r="C530" s="6">
        <v>185435</v>
      </c>
      <c r="D530" s="6" t="s">
        <v>2703</v>
      </c>
      <c r="E530" s="6" t="s">
        <v>2704</v>
      </c>
      <c r="F530" s="6"/>
      <c r="G530" s="6" t="s">
        <v>2696</v>
      </c>
      <c r="H530" s="6" t="s">
        <v>2697</v>
      </c>
      <c r="I530" s="6" t="s">
        <v>31</v>
      </c>
      <c r="J530" s="6" t="s">
        <v>2698</v>
      </c>
      <c r="K530" s="6" t="s">
        <v>2705</v>
      </c>
      <c r="L530" s="6" t="s">
        <v>1569</v>
      </c>
      <c r="M530" s="6" t="s">
        <v>2700</v>
      </c>
      <c r="N530" s="6" t="s">
        <v>2555</v>
      </c>
      <c r="O530" s="6" t="s">
        <v>1571</v>
      </c>
      <c r="P530" s="6"/>
      <c r="Q530" s="8">
        <v>160</v>
      </c>
      <c r="R530" s="8">
        <v>160.47999999999999</v>
      </c>
      <c r="S530" s="8">
        <v>319.89999999999998</v>
      </c>
      <c r="T530" s="8">
        <v>14</v>
      </c>
      <c r="U530" s="8"/>
      <c r="V530" s="8">
        <v>0</v>
      </c>
      <c r="W530" s="12">
        <v>0</v>
      </c>
      <c r="Y530">
        <v>0</v>
      </c>
    </row>
    <row r="531" spans="1:25" ht="40" customHeight="1">
      <c r="A531" s="6" t="s">
        <v>2706</v>
      </c>
      <c r="B531" s="6" t="s">
        <v>2707</v>
      </c>
      <c r="C531" s="6">
        <v>185435</v>
      </c>
      <c r="D531" s="6" t="s">
        <v>94</v>
      </c>
      <c r="E531" s="6" t="s">
        <v>2708</v>
      </c>
      <c r="F531" s="6"/>
      <c r="G531" s="6" t="s">
        <v>2696</v>
      </c>
      <c r="H531" s="6" t="s">
        <v>2697</v>
      </c>
      <c r="I531" s="6" t="s">
        <v>31</v>
      </c>
      <c r="J531" s="6" t="s">
        <v>2698</v>
      </c>
      <c r="K531" s="6" t="s">
        <v>2709</v>
      </c>
      <c r="L531" s="6" t="s">
        <v>1569</v>
      </c>
      <c r="M531" s="6" t="s">
        <v>2700</v>
      </c>
      <c r="N531" s="6" t="s">
        <v>2555</v>
      </c>
      <c r="O531" s="6" t="s">
        <v>1571</v>
      </c>
      <c r="P531" s="6"/>
      <c r="Q531" s="8">
        <v>160</v>
      </c>
      <c r="R531" s="8">
        <v>160.47999999999999</v>
      </c>
      <c r="S531" s="8">
        <v>319.89999999999998</v>
      </c>
      <c r="T531" s="8">
        <v>14</v>
      </c>
      <c r="U531" s="8"/>
      <c r="V531" s="8">
        <v>0</v>
      </c>
      <c r="W531" s="12">
        <v>0</v>
      </c>
      <c r="Y531">
        <v>0</v>
      </c>
    </row>
    <row r="532" spans="1:25" ht="40" customHeight="1">
      <c r="A532" s="6" t="s">
        <v>2710</v>
      </c>
      <c r="B532" s="6" t="s">
        <v>2711</v>
      </c>
      <c r="C532" s="6">
        <v>185450</v>
      </c>
      <c r="D532" s="6" t="s">
        <v>1186</v>
      </c>
      <c r="E532" s="6" t="s">
        <v>2712</v>
      </c>
      <c r="F532" s="6"/>
      <c r="G532" s="6" t="s">
        <v>2713</v>
      </c>
      <c r="H532" s="6" t="s">
        <v>2714</v>
      </c>
      <c r="I532" s="6" t="s">
        <v>31</v>
      </c>
      <c r="J532" s="6" t="s">
        <v>2715</v>
      </c>
      <c r="K532" s="6" t="s">
        <v>2716</v>
      </c>
      <c r="L532" s="6" t="s">
        <v>54</v>
      </c>
      <c r="M532" s="6" t="s">
        <v>54</v>
      </c>
      <c r="N532" s="6" t="s">
        <v>2555</v>
      </c>
      <c r="O532" s="6" t="s">
        <v>1571</v>
      </c>
      <c r="P532" s="6"/>
      <c r="Q532" s="8">
        <v>175</v>
      </c>
      <c r="R532" s="8">
        <v>175.52500000000001</v>
      </c>
      <c r="S532" s="8">
        <v>349.9</v>
      </c>
      <c r="T532" s="8">
        <v>14</v>
      </c>
      <c r="U532" s="8"/>
      <c r="V532" s="8">
        <v>0</v>
      </c>
      <c r="W532" s="12">
        <v>0</v>
      </c>
      <c r="Y532">
        <v>0</v>
      </c>
    </row>
    <row r="533" spans="1:25" ht="40" customHeight="1">
      <c r="A533" s="6" t="s">
        <v>2717</v>
      </c>
      <c r="B533" s="6" t="s">
        <v>2718</v>
      </c>
      <c r="C533" s="6">
        <v>185450</v>
      </c>
      <c r="D533" s="6" t="s">
        <v>2581</v>
      </c>
      <c r="E533" s="6" t="s">
        <v>2719</v>
      </c>
      <c r="F533" s="6"/>
      <c r="G533" s="6" t="s">
        <v>2713</v>
      </c>
      <c r="H533" s="6" t="s">
        <v>2714</v>
      </c>
      <c r="I533" s="6" t="s">
        <v>31</v>
      </c>
      <c r="J533" s="6" t="s">
        <v>2715</v>
      </c>
      <c r="K533" s="6" t="s">
        <v>2720</v>
      </c>
      <c r="L533" s="6" t="s">
        <v>54</v>
      </c>
      <c r="M533" s="6" t="s">
        <v>54</v>
      </c>
      <c r="N533" s="6" t="s">
        <v>2555</v>
      </c>
      <c r="O533" s="6" t="s">
        <v>1571</v>
      </c>
      <c r="P533" s="6"/>
      <c r="Q533" s="8">
        <v>175</v>
      </c>
      <c r="R533" s="8">
        <v>175.52500000000001</v>
      </c>
      <c r="S533" s="8">
        <v>349.9</v>
      </c>
      <c r="T533" s="8">
        <v>14</v>
      </c>
      <c r="U533" s="8"/>
      <c r="V533" s="8">
        <v>0</v>
      </c>
      <c r="W533" s="12">
        <v>0</v>
      </c>
      <c r="Y533">
        <v>0</v>
      </c>
    </row>
    <row r="534" spans="1:25" ht="40" customHeight="1">
      <c r="A534" s="6" t="s">
        <v>2721</v>
      </c>
      <c r="B534" s="6" t="s">
        <v>2722</v>
      </c>
      <c r="C534" s="6">
        <v>185450</v>
      </c>
      <c r="D534" s="6" t="s">
        <v>862</v>
      </c>
      <c r="E534" s="6" t="s">
        <v>2723</v>
      </c>
      <c r="F534" s="6"/>
      <c r="G534" s="6" t="s">
        <v>2713</v>
      </c>
      <c r="H534" s="6" t="s">
        <v>2714</v>
      </c>
      <c r="I534" s="6" t="s">
        <v>31</v>
      </c>
      <c r="J534" s="6" t="s">
        <v>2715</v>
      </c>
      <c r="K534" s="6" t="s">
        <v>2724</v>
      </c>
      <c r="L534" s="6" t="s">
        <v>54</v>
      </c>
      <c r="M534" s="6" t="s">
        <v>54</v>
      </c>
      <c r="N534" s="6" t="s">
        <v>2555</v>
      </c>
      <c r="O534" s="6" t="s">
        <v>1571</v>
      </c>
      <c r="P534" s="6"/>
      <c r="Q534" s="8">
        <v>175</v>
      </c>
      <c r="R534" s="8">
        <v>175.52500000000001</v>
      </c>
      <c r="S534" s="8">
        <v>349.9</v>
      </c>
      <c r="T534" s="8">
        <v>14</v>
      </c>
      <c r="U534" s="8"/>
      <c r="V534" s="8">
        <v>0</v>
      </c>
      <c r="W534" s="12">
        <v>0</v>
      </c>
      <c r="Y534">
        <v>0</v>
      </c>
    </row>
    <row r="535" spans="1:25" ht="40" customHeight="1">
      <c r="A535" s="6" t="s">
        <v>2725</v>
      </c>
      <c r="B535" s="6" t="s">
        <v>2726</v>
      </c>
      <c r="C535" s="6">
        <v>185460</v>
      </c>
      <c r="D535" s="6" t="s">
        <v>64</v>
      </c>
      <c r="E535" s="6" t="s">
        <v>2727</v>
      </c>
      <c r="F535" s="6"/>
      <c r="G535" s="6" t="s">
        <v>2728</v>
      </c>
      <c r="H535" s="6" t="s">
        <v>2729</v>
      </c>
      <c r="I535" s="6" t="s">
        <v>31</v>
      </c>
      <c r="J535" s="6" t="s">
        <v>2730</v>
      </c>
      <c r="K535" s="6" t="s">
        <v>2731</v>
      </c>
      <c r="L535" s="6" t="s">
        <v>2553</v>
      </c>
      <c r="M535" s="6" t="s">
        <v>2732</v>
      </c>
      <c r="N535" s="6" t="s">
        <v>2555</v>
      </c>
      <c r="O535" s="6" t="s">
        <v>2733</v>
      </c>
      <c r="P535" s="6"/>
      <c r="Q535" s="8">
        <v>190</v>
      </c>
      <c r="R535" s="8">
        <v>190.57</v>
      </c>
      <c r="S535" s="8">
        <v>379.9</v>
      </c>
      <c r="T535" s="8">
        <v>14</v>
      </c>
      <c r="U535" s="8"/>
      <c r="V535" s="8">
        <v>0</v>
      </c>
      <c r="W535" s="12">
        <v>0</v>
      </c>
      <c r="Y535">
        <v>0</v>
      </c>
    </row>
    <row r="536" spans="1:25" ht="40" customHeight="1">
      <c r="A536" s="6" t="s">
        <v>2734</v>
      </c>
      <c r="B536" s="6" t="s">
        <v>2735</v>
      </c>
      <c r="C536" s="6">
        <v>185460</v>
      </c>
      <c r="D536" s="6" t="s">
        <v>2736</v>
      </c>
      <c r="E536" s="6" t="s">
        <v>2737</v>
      </c>
      <c r="F536" s="6"/>
      <c r="G536" s="6" t="s">
        <v>2728</v>
      </c>
      <c r="H536" s="6" t="s">
        <v>2729</v>
      </c>
      <c r="I536" s="6" t="s">
        <v>31</v>
      </c>
      <c r="J536" s="6" t="s">
        <v>2730</v>
      </c>
      <c r="K536" s="6" t="s">
        <v>2738</v>
      </c>
      <c r="L536" s="6" t="s">
        <v>2553</v>
      </c>
      <c r="M536" s="6" t="s">
        <v>2732</v>
      </c>
      <c r="N536" s="6" t="s">
        <v>2555</v>
      </c>
      <c r="O536" s="6" t="s">
        <v>2733</v>
      </c>
      <c r="P536" s="6"/>
      <c r="Q536" s="8">
        <v>190</v>
      </c>
      <c r="R536" s="8">
        <v>190.57</v>
      </c>
      <c r="S536" s="8">
        <v>379.9</v>
      </c>
      <c r="T536" s="8">
        <v>14</v>
      </c>
      <c r="U536" s="8"/>
      <c r="V536" s="8">
        <v>0</v>
      </c>
      <c r="W536" s="12">
        <v>0</v>
      </c>
      <c r="Y536">
        <v>0</v>
      </c>
    </row>
    <row r="537" spans="1:25" ht="40" customHeight="1">
      <c r="A537" s="6" t="s">
        <v>2739</v>
      </c>
      <c r="B537" s="6" t="s">
        <v>2740</v>
      </c>
      <c r="C537" s="6">
        <v>185460</v>
      </c>
      <c r="D537" s="6" t="s">
        <v>2581</v>
      </c>
      <c r="E537" s="6" t="s">
        <v>2741</v>
      </c>
      <c r="F537" s="6"/>
      <c r="G537" s="6" t="s">
        <v>2728</v>
      </c>
      <c r="H537" s="6" t="s">
        <v>2729</v>
      </c>
      <c r="I537" s="6" t="s">
        <v>31</v>
      </c>
      <c r="J537" s="6" t="s">
        <v>2730</v>
      </c>
      <c r="K537" s="6" t="s">
        <v>2742</v>
      </c>
      <c r="L537" s="6" t="s">
        <v>2553</v>
      </c>
      <c r="M537" s="6" t="s">
        <v>2732</v>
      </c>
      <c r="N537" s="6" t="s">
        <v>2555</v>
      </c>
      <c r="O537" s="6" t="s">
        <v>2733</v>
      </c>
      <c r="P537" s="6"/>
      <c r="Q537" s="8">
        <v>190</v>
      </c>
      <c r="R537" s="8">
        <v>190.57</v>
      </c>
      <c r="S537" s="8">
        <v>379.9</v>
      </c>
      <c r="T537" s="8">
        <v>14</v>
      </c>
      <c r="U537" s="8"/>
      <c r="V537" s="8">
        <v>0</v>
      </c>
      <c r="W537" s="12">
        <v>0</v>
      </c>
      <c r="Y537">
        <v>0</v>
      </c>
    </row>
    <row r="538" spans="1:25" ht="40" customHeight="1">
      <c r="A538" s="6" t="s">
        <v>2743</v>
      </c>
      <c r="B538" s="6" t="s">
        <v>2744</v>
      </c>
      <c r="C538" s="6">
        <v>185460</v>
      </c>
      <c r="D538" s="6" t="s">
        <v>109</v>
      </c>
      <c r="E538" s="6" t="s">
        <v>2745</v>
      </c>
      <c r="F538" s="6"/>
      <c r="G538" s="6" t="s">
        <v>2728</v>
      </c>
      <c r="H538" s="6" t="s">
        <v>2729</v>
      </c>
      <c r="I538" s="6" t="s">
        <v>31</v>
      </c>
      <c r="J538" s="6" t="s">
        <v>2730</v>
      </c>
      <c r="K538" s="6" t="s">
        <v>2742</v>
      </c>
      <c r="L538" s="6" t="s">
        <v>2553</v>
      </c>
      <c r="M538" s="6" t="s">
        <v>2732</v>
      </c>
      <c r="N538" s="6" t="s">
        <v>2555</v>
      </c>
      <c r="O538" s="6" t="s">
        <v>2733</v>
      </c>
      <c r="P538" s="6"/>
      <c r="Q538" s="8">
        <v>190</v>
      </c>
      <c r="R538" s="8">
        <v>190.57</v>
      </c>
      <c r="S538" s="8">
        <v>379.9</v>
      </c>
      <c r="T538" s="8">
        <v>14</v>
      </c>
      <c r="U538" s="8"/>
      <c r="V538" s="8">
        <v>0</v>
      </c>
      <c r="W538" s="12">
        <v>0</v>
      </c>
      <c r="Y538">
        <v>0</v>
      </c>
    </row>
    <row r="539" spans="1:25" ht="40" customHeight="1">
      <c r="A539" s="6" t="s">
        <v>2746</v>
      </c>
      <c r="B539" s="6" t="s">
        <v>2747</v>
      </c>
      <c r="C539" s="6">
        <v>190113</v>
      </c>
      <c r="D539" s="6" t="s">
        <v>27</v>
      </c>
      <c r="E539" s="6" t="s">
        <v>2748</v>
      </c>
      <c r="F539" s="6"/>
      <c r="G539" s="6" t="s">
        <v>2749</v>
      </c>
      <c r="H539" s="6" t="s">
        <v>2750</v>
      </c>
      <c r="I539" s="6" t="s">
        <v>31</v>
      </c>
      <c r="J539" s="6" t="s">
        <v>2751</v>
      </c>
      <c r="K539" s="6" t="s">
        <v>2249</v>
      </c>
      <c r="L539" s="6" t="s">
        <v>2752</v>
      </c>
      <c r="M539" s="6" t="s">
        <v>2753</v>
      </c>
      <c r="N539" s="6" t="s">
        <v>2139</v>
      </c>
      <c r="O539" s="6" t="s">
        <v>2754</v>
      </c>
      <c r="P539" s="6"/>
      <c r="Q539" s="8">
        <v>200</v>
      </c>
      <c r="R539" s="8">
        <v>200.6</v>
      </c>
      <c r="S539" s="8">
        <v>399.9</v>
      </c>
      <c r="T539" s="8">
        <v>14</v>
      </c>
      <c r="U539" s="8"/>
      <c r="V539" s="8">
        <v>0</v>
      </c>
      <c r="W539" s="12">
        <v>0</v>
      </c>
      <c r="Y539">
        <v>0</v>
      </c>
    </row>
    <row r="540" spans="1:25" ht="40" customHeight="1">
      <c r="A540" s="6" t="s">
        <v>2755</v>
      </c>
      <c r="B540" s="6" t="s">
        <v>2756</v>
      </c>
      <c r="C540" s="6">
        <v>190113</v>
      </c>
      <c r="D540" s="6" t="s">
        <v>147</v>
      </c>
      <c r="E540" s="6" t="s">
        <v>2757</v>
      </c>
      <c r="F540" s="6"/>
      <c r="G540" s="6" t="s">
        <v>2749</v>
      </c>
      <c r="H540" s="6" t="s">
        <v>2750</v>
      </c>
      <c r="I540" s="6" t="s">
        <v>31</v>
      </c>
      <c r="J540" s="6" t="s">
        <v>2751</v>
      </c>
      <c r="K540" s="6" t="s">
        <v>2249</v>
      </c>
      <c r="L540" s="6" t="s">
        <v>2752</v>
      </c>
      <c r="M540" s="6" t="s">
        <v>2753</v>
      </c>
      <c r="N540" s="6" t="s">
        <v>2139</v>
      </c>
      <c r="O540" s="6" t="s">
        <v>2754</v>
      </c>
      <c r="P540" s="6"/>
      <c r="Q540" s="8">
        <v>200</v>
      </c>
      <c r="R540" s="8">
        <v>200.6</v>
      </c>
      <c r="S540" s="8">
        <v>399.9</v>
      </c>
      <c r="T540" s="8">
        <v>14</v>
      </c>
      <c r="U540" s="8"/>
      <c r="V540" s="8">
        <v>0</v>
      </c>
      <c r="W540" s="12">
        <v>0</v>
      </c>
      <c r="Y540">
        <v>0</v>
      </c>
    </row>
    <row r="541" spans="1:25" ht="40" customHeight="1">
      <c r="A541" s="6" t="s">
        <v>2758</v>
      </c>
      <c r="B541" s="6" t="s">
        <v>2759</v>
      </c>
      <c r="C541" s="6">
        <v>190113</v>
      </c>
      <c r="D541" s="6" t="s">
        <v>317</v>
      </c>
      <c r="E541" s="6" t="s">
        <v>2760</v>
      </c>
      <c r="F541" s="6"/>
      <c r="G541" s="6" t="s">
        <v>2749</v>
      </c>
      <c r="H541" s="6" t="s">
        <v>2750</v>
      </c>
      <c r="I541" s="6" t="s">
        <v>31</v>
      </c>
      <c r="J541" s="6" t="s">
        <v>2751</v>
      </c>
      <c r="K541" s="6" t="s">
        <v>2761</v>
      </c>
      <c r="L541" s="6" t="s">
        <v>2752</v>
      </c>
      <c r="M541" s="6" t="s">
        <v>2753</v>
      </c>
      <c r="N541" s="6" t="s">
        <v>2139</v>
      </c>
      <c r="O541" s="6" t="s">
        <v>2754</v>
      </c>
      <c r="P541" s="6"/>
      <c r="Q541" s="8">
        <v>200</v>
      </c>
      <c r="R541" s="8">
        <v>200.6</v>
      </c>
      <c r="S541" s="8">
        <v>399.9</v>
      </c>
      <c r="T541" s="8">
        <v>14</v>
      </c>
      <c r="U541" s="8"/>
      <c r="V541" s="8">
        <v>0</v>
      </c>
      <c r="W541" s="12">
        <v>0</v>
      </c>
      <c r="Y541">
        <v>0</v>
      </c>
    </row>
    <row r="542" spans="1:25" ht="40" customHeight="1">
      <c r="A542" s="6" t="s">
        <v>2762</v>
      </c>
      <c r="B542" s="6" t="s">
        <v>2763</v>
      </c>
      <c r="C542" s="6">
        <v>190113</v>
      </c>
      <c r="D542" s="6" t="s">
        <v>74</v>
      </c>
      <c r="E542" s="6" t="s">
        <v>2764</v>
      </c>
      <c r="F542" s="6"/>
      <c r="G542" s="6" t="s">
        <v>2749</v>
      </c>
      <c r="H542" s="6" t="s">
        <v>2750</v>
      </c>
      <c r="I542" s="6" t="s">
        <v>31</v>
      </c>
      <c r="J542" s="6" t="s">
        <v>2751</v>
      </c>
      <c r="K542" s="6" t="s">
        <v>2765</v>
      </c>
      <c r="L542" s="6" t="s">
        <v>2752</v>
      </c>
      <c r="M542" s="6" t="s">
        <v>2753</v>
      </c>
      <c r="N542" s="6" t="s">
        <v>2139</v>
      </c>
      <c r="O542" s="6" t="s">
        <v>2754</v>
      </c>
      <c r="P542" s="6"/>
      <c r="Q542" s="8">
        <v>200</v>
      </c>
      <c r="R542" s="8">
        <v>200.6</v>
      </c>
      <c r="S542" s="8">
        <v>399.9</v>
      </c>
      <c r="T542" s="8">
        <v>14</v>
      </c>
      <c r="U542" s="8"/>
      <c r="V542" s="8">
        <v>0</v>
      </c>
      <c r="W542" s="12">
        <v>0</v>
      </c>
      <c r="Y542">
        <v>0</v>
      </c>
    </row>
    <row r="543" spans="1:25" ht="40" customHeight="1">
      <c r="A543" s="6" t="s">
        <v>2766</v>
      </c>
      <c r="B543" s="6" t="s">
        <v>2767</v>
      </c>
      <c r="C543" s="6">
        <v>190113</v>
      </c>
      <c r="D543" s="6" t="s">
        <v>126</v>
      </c>
      <c r="E543" s="6" t="s">
        <v>2768</v>
      </c>
      <c r="F543" s="6"/>
      <c r="G543" s="6" t="s">
        <v>2749</v>
      </c>
      <c r="H543" s="6" t="s">
        <v>2750</v>
      </c>
      <c r="I543" s="6" t="s">
        <v>31</v>
      </c>
      <c r="J543" s="6" t="s">
        <v>2751</v>
      </c>
      <c r="K543" s="6" t="s">
        <v>2253</v>
      </c>
      <c r="L543" s="6" t="s">
        <v>2752</v>
      </c>
      <c r="M543" s="6" t="s">
        <v>2753</v>
      </c>
      <c r="N543" s="6" t="s">
        <v>2139</v>
      </c>
      <c r="O543" s="6" t="s">
        <v>2754</v>
      </c>
      <c r="P543" s="6"/>
      <c r="Q543" s="8">
        <v>200</v>
      </c>
      <c r="R543" s="8">
        <v>200.6</v>
      </c>
      <c r="S543" s="8">
        <v>399.9</v>
      </c>
      <c r="T543" s="8">
        <v>14</v>
      </c>
      <c r="U543" s="8"/>
      <c r="V543" s="8">
        <v>0</v>
      </c>
      <c r="W543" s="12">
        <v>0</v>
      </c>
      <c r="Y543">
        <v>0</v>
      </c>
    </row>
    <row r="544" spans="1:25" ht="40" customHeight="1">
      <c r="A544" s="6" t="s">
        <v>2769</v>
      </c>
      <c r="B544" s="6" t="s">
        <v>2770</v>
      </c>
      <c r="C544" s="6">
        <v>190115</v>
      </c>
      <c r="D544" s="6" t="s">
        <v>27</v>
      </c>
      <c r="E544" s="6" t="s">
        <v>2771</v>
      </c>
      <c r="F544" s="6"/>
      <c r="G544" s="6" t="s">
        <v>2749</v>
      </c>
      <c r="H544" s="6" t="s">
        <v>2772</v>
      </c>
      <c r="I544" s="6" t="s">
        <v>31</v>
      </c>
      <c r="J544" s="6" t="s">
        <v>2773</v>
      </c>
      <c r="K544" s="6" t="s">
        <v>83</v>
      </c>
      <c r="L544" s="6" t="s">
        <v>2774</v>
      </c>
      <c r="M544" s="6" t="s">
        <v>2775</v>
      </c>
      <c r="N544" s="6" t="s">
        <v>2139</v>
      </c>
      <c r="O544" s="6" t="s">
        <v>2776</v>
      </c>
      <c r="P544" s="6"/>
      <c r="Q544" s="8">
        <v>200</v>
      </c>
      <c r="R544" s="8">
        <v>200.6</v>
      </c>
      <c r="S544" s="8">
        <v>399.9</v>
      </c>
      <c r="T544" s="8">
        <v>14</v>
      </c>
      <c r="U544" s="8"/>
      <c r="V544" s="8">
        <v>0</v>
      </c>
      <c r="W544" s="12">
        <v>0</v>
      </c>
      <c r="Y544">
        <v>0</v>
      </c>
    </row>
    <row r="545" spans="1:25" ht="40" customHeight="1">
      <c r="A545" s="6" t="s">
        <v>2777</v>
      </c>
      <c r="B545" s="6" t="s">
        <v>2778</v>
      </c>
      <c r="C545" s="6">
        <v>190115</v>
      </c>
      <c r="D545" s="6" t="s">
        <v>147</v>
      </c>
      <c r="E545" s="6" t="s">
        <v>2779</v>
      </c>
      <c r="F545" s="6"/>
      <c r="G545" s="6" t="s">
        <v>2749</v>
      </c>
      <c r="H545" s="6" t="s">
        <v>2772</v>
      </c>
      <c r="I545" s="6" t="s">
        <v>31</v>
      </c>
      <c r="J545" s="6" t="s">
        <v>2773</v>
      </c>
      <c r="K545" s="6" t="s">
        <v>83</v>
      </c>
      <c r="L545" s="6" t="s">
        <v>2774</v>
      </c>
      <c r="M545" s="6" t="s">
        <v>2775</v>
      </c>
      <c r="N545" s="6" t="s">
        <v>2139</v>
      </c>
      <c r="O545" s="6" t="s">
        <v>2776</v>
      </c>
      <c r="P545" s="6"/>
      <c r="Q545" s="8">
        <v>200</v>
      </c>
      <c r="R545" s="8">
        <v>200.6</v>
      </c>
      <c r="S545" s="8">
        <v>399.9</v>
      </c>
      <c r="T545" s="8">
        <v>14</v>
      </c>
      <c r="U545" s="8"/>
      <c r="V545" s="8">
        <v>0</v>
      </c>
      <c r="W545" s="12">
        <v>0</v>
      </c>
      <c r="Y545">
        <v>0</v>
      </c>
    </row>
    <row r="546" spans="1:25" ht="40" customHeight="1">
      <c r="A546" s="6" t="s">
        <v>2780</v>
      </c>
      <c r="B546" s="6" t="s">
        <v>2781</v>
      </c>
      <c r="C546" s="6">
        <v>190115</v>
      </c>
      <c r="D546" s="6" t="s">
        <v>40</v>
      </c>
      <c r="E546" s="6" t="s">
        <v>2782</v>
      </c>
      <c r="F546" s="6"/>
      <c r="G546" s="6" t="s">
        <v>2749</v>
      </c>
      <c r="H546" s="6" t="s">
        <v>2772</v>
      </c>
      <c r="I546" s="6" t="s">
        <v>31</v>
      </c>
      <c r="J546" s="6" t="s">
        <v>2773</v>
      </c>
      <c r="K546" s="6" t="s">
        <v>2783</v>
      </c>
      <c r="L546" s="6" t="s">
        <v>2774</v>
      </c>
      <c r="M546" s="6" t="s">
        <v>2775</v>
      </c>
      <c r="N546" s="6" t="s">
        <v>2139</v>
      </c>
      <c r="O546" s="6" t="s">
        <v>2776</v>
      </c>
      <c r="P546" s="6"/>
      <c r="Q546" s="8">
        <v>200</v>
      </c>
      <c r="R546" s="8">
        <v>200.6</v>
      </c>
      <c r="S546" s="8">
        <v>399.9</v>
      </c>
      <c r="T546" s="8">
        <v>14</v>
      </c>
      <c r="U546" s="8"/>
      <c r="V546" s="8">
        <v>0</v>
      </c>
      <c r="W546" s="12">
        <v>0</v>
      </c>
      <c r="Y546">
        <v>0</v>
      </c>
    </row>
    <row r="547" spans="1:25" ht="40" customHeight="1">
      <c r="A547" s="6" t="s">
        <v>2784</v>
      </c>
      <c r="B547" s="6" t="s">
        <v>2785</v>
      </c>
      <c r="C547" s="6">
        <v>190115</v>
      </c>
      <c r="D547" s="6" t="s">
        <v>244</v>
      </c>
      <c r="E547" s="6" t="s">
        <v>2786</v>
      </c>
      <c r="F547" s="6"/>
      <c r="G547" s="6" t="s">
        <v>2749</v>
      </c>
      <c r="H547" s="6" t="s">
        <v>2772</v>
      </c>
      <c r="I547" s="6" t="s">
        <v>31</v>
      </c>
      <c r="J547" s="6" t="s">
        <v>2773</v>
      </c>
      <c r="K547" s="6" t="s">
        <v>2787</v>
      </c>
      <c r="L547" s="6" t="s">
        <v>2774</v>
      </c>
      <c r="M547" s="6" t="s">
        <v>2775</v>
      </c>
      <c r="N547" s="6" t="s">
        <v>2139</v>
      </c>
      <c r="O547" s="6" t="s">
        <v>2776</v>
      </c>
      <c r="P547" s="6"/>
      <c r="Q547" s="8">
        <v>200</v>
      </c>
      <c r="R547" s="8">
        <v>200.6</v>
      </c>
      <c r="S547" s="8">
        <v>399.9</v>
      </c>
      <c r="T547" s="8">
        <v>14</v>
      </c>
      <c r="U547" s="8"/>
      <c r="V547" s="8">
        <v>0</v>
      </c>
      <c r="W547" s="12">
        <v>0</v>
      </c>
      <c r="Y547">
        <v>0</v>
      </c>
    </row>
    <row r="548" spans="1:25" ht="40" customHeight="1">
      <c r="A548" s="6" t="s">
        <v>2788</v>
      </c>
      <c r="B548" s="6" t="s">
        <v>2789</v>
      </c>
      <c r="C548" s="6">
        <v>190115</v>
      </c>
      <c r="D548" s="6" t="s">
        <v>999</v>
      </c>
      <c r="E548" s="6" t="s">
        <v>2790</v>
      </c>
      <c r="F548" s="6"/>
      <c r="G548" s="6" t="s">
        <v>2749</v>
      </c>
      <c r="H548" s="6" t="s">
        <v>2772</v>
      </c>
      <c r="I548" s="6" t="s">
        <v>31</v>
      </c>
      <c r="J548" s="6" t="s">
        <v>2773</v>
      </c>
      <c r="K548" s="6" t="s">
        <v>2791</v>
      </c>
      <c r="L548" s="6" t="s">
        <v>2774</v>
      </c>
      <c r="M548" s="6" t="s">
        <v>2775</v>
      </c>
      <c r="N548" s="6" t="s">
        <v>2139</v>
      </c>
      <c r="O548" s="6" t="s">
        <v>2776</v>
      </c>
      <c r="P548" s="6"/>
      <c r="Q548" s="8">
        <v>200</v>
      </c>
      <c r="R548" s="8">
        <v>200.6</v>
      </c>
      <c r="S548" s="8">
        <v>399.9</v>
      </c>
      <c r="T548" s="8">
        <v>14</v>
      </c>
      <c r="U548" s="8"/>
      <c r="V548" s="8">
        <v>0</v>
      </c>
      <c r="W548" s="12">
        <v>0</v>
      </c>
      <c r="Y548">
        <v>0</v>
      </c>
    </row>
    <row r="549" spans="1:25" ht="40" customHeight="1">
      <c r="A549" s="6" t="s">
        <v>2792</v>
      </c>
      <c r="B549" s="6" t="s">
        <v>2793</v>
      </c>
      <c r="C549" s="6">
        <v>190115</v>
      </c>
      <c r="D549" s="6" t="s">
        <v>109</v>
      </c>
      <c r="E549" s="6" t="s">
        <v>2794</v>
      </c>
      <c r="F549" s="6"/>
      <c r="G549" s="6" t="s">
        <v>2749</v>
      </c>
      <c r="H549" s="6" t="s">
        <v>2772</v>
      </c>
      <c r="I549" s="6" t="s">
        <v>31</v>
      </c>
      <c r="J549" s="6" t="s">
        <v>2773</v>
      </c>
      <c r="K549" s="6" t="s">
        <v>2795</v>
      </c>
      <c r="L549" s="6" t="s">
        <v>2774</v>
      </c>
      <c r="M549" s="6" t="s">
        <v>2775</v>
      </c>
      <c r="N549" s="6" t="s">
        <v>2139</v>
      </c>
      <c r="O549" s="6" t="s">
        <v>2776</v>
      </c>
      <c r="P549" s="6"/>
      <c r="Q549" s="8">
        <v>200</v>
      </c>
      <c r="R549" s="8">
        <v>200.6</v>
      </c>
      <c r="S549" s="8">
        <v>399.9</v>
      </c>
      <c r="T549" s="8">
        <v>14</v>
      </c>
      <c r="U549" s="8"/>
      <c r="V549" s="8">
        <v>0</v>
      </c>
      <c r="W549" s="12">
        <v>0</v>
      </c>
      <c r="Y549">
        <v>0</v>
      </c>
    </row>
    <row r="550" spans="1:25" ht="40" customHeight="1">
      <c r="A550" s="6" t="s">
        <v>2796</v>
      </c>
      <c r="B550" s="6" t="s">
        <v>2797</v>
      </c>
      <c r="C550" s="6">
        <v>190115</v>
      </c>
      <c r="D550" s="6" t="s">
        <v>944</v>
      </c>
      <c r="E550" s="6" t="s">
        <v>2798</v>
      </c>
      <c r="F550" s="6"/>
      <c r="G550" s="6" t="s">
        <v>2749</v>
      </c>
      <c r="H550" s="6" t="s">
        <v>2772</v>
      </c>
      <c r="I550" s="6" t="s">
        <v>31</v>
      </c>
      <c r="J550" s="6" t="s">
        <v>2773</v>
      </c>
      <c r="K550" s="6" t="s">
        <v>2799</v>
      </c>
      <c r="L550" s="6" t="s">
        <v>2774</v>
      </c>
      <c r="M550" s="6" t="s">
        <v>2775</v>
      </c>
      <c r="N550" s="6" t="s">
        <v>2139</v>
      </c>
      <c r="O550" s="6" t="s">
        <v>2776</v>
      </c>
      <c r="P550" s="6"/>
      <c r="Q550" s="8">
        <v>200</v>
      </c>
      <c r="R550" s="8">
        <v>200.6</v>
      </c>
      <c r="S550" s="8">
        <v>399.9</v>
      </c>
      <c r="T550" s="8">
        <v>14</v>
      </c>
      <c r="U550" s="8"/>
      <c r="V550" s="8">
        <v>0</v>
      </c>
      <c r="W550" s="12">
        <v>0</v>
      </c>
      <c r="Y550">
        <v>0</v>
      </c>
    </row>
    <row r="551" spans="1:25" ht="40" customHeight="1">
      <c r="A551" s="5" t="s">
        <v>2800</v>
      </c>
      <c r="B551" s="6" t="s">
        <v>2801</v>
      </c>
      <c r="C551" s="6">
        <v>200278</v>
      </c>
      <c r="D551" s="6" t="s">
        <v>147</v>
      </c>
      <c r="E551" s="6" t="s">
        <v>2802</v>
      </c>
      <c r="F551" s="6"/>
      <c r="G551" s="6" t="s">
        <v>2803</v>
      </c>
      <c r="H551" s="6" t="s">
        <v>2804</v>
      </c>
      <c r="I551" s="6" t="s">
        <v>417</v>
      </c>
      <c r="J551" s="6" t="s">
        <v>2805</v>
      </c>
      <c r="K551" s="6" t="s">
        <v>2806</v>
      </c>
      <c r="L551" s="6" t="s">
        <v>2807</v>
      </c>
      <c r="M551" s="6" t="s">
        <v>2808</v>
      </c>
      <c r="N551" s="6" t="s">
        <v>2809</v>
      </c>
      <c r="O551" s="6" t="s">
        <v>2810</v>
      </c>
      <c r="P551" s="6"/>
      <c r="Q551" s="8">
        <v>200</v>
      </c>
      <c r="R551" s="8">
        <v>200.6</v>
      </c>
      <c r="S551" s="8">
        <v>399.9</v>
      </c>
      <c r="T551" s="8">
        <v>14</v>
      </c>
      <c r="U551" s="8"/>
      <c r="V551" s="8">
        <f t="shared" ref="V551:V614" si="4">T551*U551</f>
        <v>0</v>
      </c>
      <c r="W551" s="12">
        <f t="shared" ref="W551:W614" si="5">R551*V551</f>
        <v>0</v>
      </c>
      <c r="Y551">
        <v>0</v>
      </c>
    </row>
    <row r="552" spans="1:25" ht="40" customHeight="1">
      <c r="A552" s="5" t="s">
        <v>2811</v>
      </c>
      <c r="B552" s="6" t="s">
        <v>2812</v>
      </c>
      <c r="C552" s="6">
        <v>200343</v>
      </c>
      <c r="D552" s="6" t="s">
        <v>147</v>
      </c>
      <c r="E552" s="6" t="s">
        <v>2813</v>
      </c>
      <c r="F552" s="6"/>
      <c r="G552" s="6" t="s">
        <v>2814</v>
      </c>
      <c r="H552" s="6" t="s">
        <v>215</v>
      </c>
      <c r="I552" s="6" t="s">
        <v>417</v>
      </c>
      <c r="J552" s="6" t="s">
        <v>2815</v>
      </c>
      <c r="K552" s="6" t="s">
        <v>2816</v>
      </c>
      <c r="L552" s="6" t="s">
        <v>2817</v>
      </c>
      <c r="M552" s="6" t="s">
        <v>2818</v>
      </c>
      <c r="N552" s="6" t="s">
        <v>2809</v>
      </c>
      <c r="O552" s="6" t="s">
        <v>2819</v>
      </c>
      <c r="P552" s="6"/>
      <c r="Q552" s="8">
        <v>125</v>
      </c>
      <c r="R552" s="8">
        <v>125.375</v>
      </c>
      <c r="S552" s="8">
        <v>249.9</v>
      </c>
      <c r="T552" s="8">
        <v>14</v>
      </c>
      <c r="U552" s="8">
        <v>2</v>
      </c>
      <c r="V552" s="8">
        <f t="shared" si="4"/>
        <v>28</v>
      </c>
      <c r="W552" s="12">
        <f t="shared" si="5"/>
        <v>3510.5</v>
      </c>
      <c r="Y552">
        <v>2</v>
      </c>
    </row>
    <row r="553" spans="1:25" ht="40" customHeight="1">
      <c r="A553" s="5" t="s">
        <v>2820</v>
      </c>
      <c r="B553" s="6" t="s">
        <v>2821</v>
      </c>
      <c r="C553" s="6">
        <v>200388</v>
      </c>
      <c r="D553" s="6" t="s">
        <v>147</v>
      </c>
      <c r="E553" s="6" t="s">
        <v>2822</v>
      </c>
      <c r="F553" s="6"/>
      <c r="G553" s="6" t="s">
        <v>2814</v>
      </c>
      <c r="H553" s="6" t="s">
        <v>2823</v>
      </c>
      <c r="I553" s="6" t="s">
        <v>417</v>
      </c>
      <c r="J553" s="6" t="s">
        <v>2824</v>
      </c>
      <c r="K553" s="6" t="s">
        <v>2825</v>
      </c>
      <c r="L553" s="6" t="s">
        <v>54</v>
      </c>
      <c r="M553" s="6" t="s">
        <v>54</v>
      </c>
      <c r="N553" s="6" t="s">
        <v>2809</v>
      </c>
      <c r="O553" s="6" t="s">
        <v>2826</v>
      </c>
      <c r="P553" s="6"/>
      <c r="Q553" s="8">
        <v>150</v>
      </c>
      <c r="R553" s="8">
        <v>150.44999999999999</v>
      </c>
      <c r="S553" s="8">
        <v>299.89999999999998</v>
      </c>
      <c r="T553" s="8">
        <v>14</v>
      </c>
      <c r="U553" s="8">
        <v>2</v>
      </c>
      <c r="V553" s="8">
        <f t="shared" si="4"/>
        <v>28</v>
      </c>
      <c r="W553" s="12">
        <f t="shared" si="5"/>
        <v>4212.6000000000004</v>
      </c>
      <c r="Y553">
        <v>2</v>
      </c>
    </row>
    <row r="554" spans="1:25" ht="40" customHeight="1">
      <c r="A554" s="5" t="s">
        <v>2827</v>
      </c>
      <c r="B554" s="6" t="s">
        <v>2828</v>
      </c>
      <c r="C554" s="6">
        <v>204699</v>
      </c>
      <c r="D554" s="6" t="s">
        <v>147</v>
      </c>
      <c r="E554" s="6" t="s">
        <v>2829</v>
      </c>
      <c r="F554" s="6"/>
      <c r="G554" s="6" t="s">
        <v>2830</v>
      </c>
      <c r="H554" s="6" t="s">
        <v>2831</v>
      </c>
      <c r="I554" s="6" t="s">
        <v>417</v>
      </c>
      <c r="J554" s="6" t="s">
        <v>2832</v>
      </c>
      <c r="K554" s="6" t="s">
        <v>122</v>
      </c>
      <c r="L554" s="6" t="s">
        <v>2833</v>
      </c>
      <c r="M554" s="6" t="s">
        <v>2834</v>
      </c>
      <c r="N554" s="6" t="s">
        <v>2835</v>
      </c>
      <c r="O554" s="6" t="s">
        <v>2836</v>
      </c>
      <c r="P554" s="6" t="s">
        <v>2837</v>
      </c>
      <c r="Q554" s="8">
        <v>225</v>
      </c>
      <c r="R554" s="8">
        <v>225.67500000000001</v>
      </c>
      <c r="S554" s="8">
        <v>449.9</v>
      </c>
      <c r="T554" s="8">
        <v>14</v>
      </c>
      <c r="U554" s="8"/>
      <c r="V554" s="8">
        <f t="shared" si="4"/>
        <v>0</v>
      </c>
      <c r="W554" s="12">
        <f t="shared" si="5"/>
        <v>0</v>
      </c>
      <c r="Y554">
        <v>0</v>
      </c>
    </row>
    <row r="555" spans="1:25" ht="40" customHeight="1">
      <c r="A555" s="5" t="s">
        <v>2838</v>
      </c>
      <c r="B555" s="6" t="s">
        <v>2839</v>
      </c>
      <c r="C555" s="6">
        <v>204699</v>
      </c>
      <c r="D555" s="6" t="s">
        <v>2840</v>
      </c>
      <c r="E555" s="6" t="s">
        <v>2841</v>
      </c>
      <c r="F555" s="6"/>
      <c r="G555" s="6" t="s">
        <v>2830</v>
      </c>
      <c r="H555" s="6" t="s">
        <v>2831</v>
      </c>
      <c r="I555" s="6" t="s">
        <v>417</v>
      </c>
      <c r="J555" s="6" t="s">
        <v>2832</v>
      </c>
      <c r="K555" s="6" t="s">
        <v>2842</v>
      </c>
      <c r="L555" s="6" t="s">
        <v>2833</v>
      </c>
      <c r="M555" s="6" t="s">
        <v>2834</v>
      </c>
      <c r="N555" s="6" t="s">
        <v>2835</v>
      </c>
      <c r="O555" s="6" t="s">
        <v>2836</v>
      </c>
      <c r="P555" s="6" t="s">
        <v>2837</v>
      </c>
      <c r="Q555" s="8">
        <v>225</v>
      </c>
      <c r="R555" s="8">
        <v>225.67500000000001</v>
      </c>
      <c r="S555" s="8">
        <v>449.9</v>
      </c>
      <c r="T555" s="8">
        <v>14</v>
      </c>
      <c r="U555" s="8"/>
      <c r="V555" s="8">
        <f t="shared" si="4"/>
        <v>0</v>
      </c>
      <c r="W555" s="12">
        <f t="shared" si="5"/>
        <v>0</v>
      </c>
      <c r="Y555">
        <v>0</v>
      </c>
    </row>
    <row r="556" spans="1:25" ht="40" customHeight="1">
      <c r="A556" s="5" t="s">
        <v>2843</v>
      </c>
      <c r="B556" s="6" t="s">
        <v>2844</v>
      </c>
      <c r="C556" s="6">
        <v>204699</v>
      </c>
      <c r="D556" s="6" t="s">
        <v>1426</v>
      </c>
      <c r="E556" s="6" t="s">
        <v>2845</v>
      </c>
      <c r="F556" s="6"/>
      <c r="G556" s="6" t="s">
        <v>2830</v>
      </c>
      <c r="H556" s="6" t="s">
        <v>2831</v>
      </c>
      <c r="I556" s="6" t="s">
        <v>417</v>
      </c>
      <c r="J556" s="6" t="s">
        <v>2832</v>
      </c>
      <c r="K556" s="6" t="s">
        <v>2846</v>
      </c>
      <c r="L556" s="6" t="s">
        <v>2833</v>
      </c>
      <c r="M556" s="6" t="s">
        <v>2834</v>
      </c>
      <c r="N556" s="6" t="s">
        <v>2835</v>
      </c>
      <c r="O556" s="6" t="s">
        <v>2836</v>
      </c>
      <c r="P556" s="6" t="s">
        <v>2837</v>
      </c>
      <c r="Q556" s="8">
        <v>225</v>
      </c>
      <c r="R556" s="8">
        <v>225.67500000000001</v>
      </c>
      <c r="S556" s="8">
        <v>449.9</v>
      </c>
      <c r="T556" s="8">
        <v>14</v>
      </c>
      <c r="U556" s="8"/>
      <c r="V556" s="8">
        <f t="shared" si="4"/>
        <v>0</v>
      </c>
      <c r="W556" s="12">
        <f t="shared" si="5"/>
        <v>0</v>
      </c>
      <c r="Y556">
        <v>0</v>
      </c>
    </row>
    <row r="557" spans="1:25" ht="40" customHeight="1">
      <c r="A557" s="5" t="s">
        <v>2847</v>
      </c>
      <c r="B557" s="6" t="s">
        <v>2848</v>
      </c>
      <c r="C557" s="6">
        <v>205227</v>
      </c>
      <c r="D557" s="6" t="s">
        <v>27</v>
      </c>
      <c r="E557" s="6" t="s">
        <v>2849</v>
      </c>
      <c r="F557" s="6"/>
      <c r="G557" s="6" t="s">
        <v>2850</v>
      </c>
      <c r="H557" s="6" t="s">
        <v>2851</v>
      </c>
      <c r="I557" s="6" t="s">
        <v>417</v>
      </c>
      <c r="J557" s="6" t="s">
        <v>2852</v>
      </c>
      <c r="K557" s="6" t="s">
        <v>122</v>
      </c>
      <c r="L557" s="6" t="s">
        <v>2853</v>
      </c>
      <c r="M557" s="6" t="s">
        <v>2854</v>
      </c>
      <c r="N557" s="6" t="s">
        <v>2835</v>
      </c>
      <c r="O557" s="6" t="s">
        <v>2855</v>
      </c>
      <c r="P557" s="6" t="s">
        <v>2856</v>
      </c>
      <c r="Q557" s="8">
        <v>200</v>
      </c>
      <c r="R557" s="8">
        <v>200.6</v>
      </c>
      <c r="S557" s="8">
        <v>399.9</v>
      </c>
      <c r="T557" s="8">
        <v>14</v>
      </c>
      <c r="U557" s="8">
        <v>4</v>
      </c>
      <c r="V557" s="8">
        <f t="shared" si="4"/>
        <v>56</v>
      </c>
      <c r="W557" s="12">
        <f t="shared" si="5"/>
        <v>11233.6</v>
      </c>
      <c r="X557">
        <f>VLOOKUP(E557,[1]Sheet2!$A:$C,3,FALSE)</f>
        <v>1</v>
      </c>
      <c r="Y557">
        <v>5</v>
      </c>
    </row>
    <row r="558" spans="1:25" ht="40" customHeight="1">
      <c r="A558" s="5" t="s">
        <v>2857</v>
      </c>
      <c r="B558" s="6" t="s">
        <v>2858</v>
      </c>
      <c r="C558" s="6">
        <v>205227</v>
      </c>
      <c r="D558" s="6" t="s">
        <v>2859</v>
      </c>
      <c r="E558" s="6" t="s">
        <v>2860</v>
      </c>
      <c r="F558" s="6"/>
      <c r="G558" s="6" t="s">
        <v>2850</v>
      </c>
      <c r="H558" s="6" t="s">
        <v>2851</v>
      </c>
      <c r="I558" s="6" t="s">
        <v>417</v>
      </c>
      <c r="J558" s="6" t="s">
        <v>2852</v>
      </c>
      <c r="K558" s="6" t="s">
        <v>2861</v>
      </c>
      <c r="L558" s="6" t="s">
        <v>2853</v>
      </c>
      <c r="M558" s="6" t="s">
        <v>2854</v>
      </c>
      <c r="N558" s="6" t="s">
        <v>2835</v>
      </c>
      <c r="O558" s="6" t="s">
        <v>2855</v>
      </c>
      <c r="P558" s="6" t="s">
        <v>2856</v>
      </c>
      <c r="Q558" s="8">
        <v>200</v>
      </c>
      <c r="R558" s="8">
        <v>200.6</v>
      </c>
      <c r="S558" s="8">
        <v>399.9</v>
      </c>
      <c r="T558" s="8">
        <v>14</v>
      </c>
      <c r="U558" s="8">
        <v>4</v>
      </c>
      <c r="V558" s="8">
        <f t="shared" si="4"/>
        <v>56</v>
      </c>
      <c r="W558" s="12">
        <f t="shared" si="5"/>
        <v>11233.6</v>
      </c>
      <c r="X558">
        <f>VLOOKUP(E558,[1]Sheet2!$A:$C,3,FALSE)</f>
        <v>1</v>
      </c>
      <c r="Y558">
        <v>5</v>
      </c>
    </row>
    <row r="559" spans="1:25" ht="40" customHeight="1">
      <c r="A559" s="5" t="s">
        <v>2862</v>
      </c>
      <c r="B559" s="6" t="s">
        <v>2863</v>
      </c>
      <c r="C559" s="6">
        <v>205333</v>
      </c>
      <c r="D559" s="6" t="s">
        <v>27</v>
      </c>
      <c r="E559" s="6" t="s">
        <v>2864</v>
      </c>
      <c r="F559" s="6"/>
      <c r="G559" s="6" t="s">
        <v>2865</v>
      </c>
      <c r="H559" s="6" t="s">
        <v>2866</v>
      </c>
      <c r="I559" s="6" t="s">
        <v>417</v>
      </c>
      <c r="J559" s="6" t="s">
        <v>2867</v>
      </c>
      <c r="K559" s="6" t="s">
        <v>2868</v>
      </c>
      <c r="L559" s="6" t="s">
        <v>2869</v>
      </c>
      <c r="M559" s="6" t="s">
        <v>2870</v>
      </c>
      <c r="N559" s="6" t="s">
        <v>2835</v>
      </c>
      <c r="O559" s="6" t="s">
        <v>2871</v>
      </c>
      <c r="P559" s="6" t="s">
        <v>2872</v>
      </c>
      <c r="Q559" s="8">
        <v>215</v>
      </c>
      <c r="R559" s="8">
        <v>215.64500000000001</v>
      </c>
      <c r="S559" s="8">
        <v>429.9</v>
      </c>
      <c r="T559" s="8">
        <v>14</v>
      </c>
      <c r="U559" s="8">
        <v>2</v>
      </c>
      <c r="V559" s="8">
        <f t="shared" si="4"/>
        <v>28</v>
      </c>
      <c r="W559" s="12">
        <f t="shared" si="5"/>
        <v>6038.06</v>
      </c>
      <c r="Y559">
        <v>2</v>
      </c>
    </row>
    <row r="560" spans="1:25" ht="40" customHeight="1">
      <c r="A560" s="5" t="s">
        <v>2873</v>
      </c>
      <c r="B560" s="6" t="s">
        <v>2874</v>
      </c>
      <c r="C560" s="6">
        <v>205333</v>
      </c>
      <c r="D560" s="6" t="s">
        <v>2875</v>
      </c>
      <c r="E560" s="6" t="s">
        <v>2876</v>
      </c>
      <c r="F560" s="6"/>
      <c r="G560" s="6" t="s">
        <v>2865</v>
      </c>
      <c r="H560" s="6" t="s">
        <v>2866</v>
      </c>
      <c r="I560" s="6" t="s">
        <v>417</v>
      </c>
      <c r="J560" s="6" t="s">
        <v>2867</v>
      </c>
      <c r="K560" s="6" t="s">
        <v>2877</v>
      </c>
      <c r="L560" s="6" t="s">
        <v>2869</v>
      </c>
      <c r="M560" s="6" t="s">
        <v>2870</v>
      </c>
      <c r="N560" s="6" t="s">
        <v>2835</v>
      </c>
      <c r="O560" s="6" t="s">
        <v>2871</v>
      </c>
      <c r="P560" s="6" t="s">
        <v>2872</v>
      </c>
      <c r="Q560" s="8">
        <v>215</v>
      </c>
      <c r="R560" s="8">
        <v>215.64500000000001</v>
      </c>
      <c r="S560" s="8">
        <v>429.9</v>
      </c>
      <c r="T560" s="8">
        <v>14</v>
      </c>
      <c r="U560" s="8">
        <v>2</v>
      </c>
      <c r="V560" s="8">
        <f t="shared" si="4"/>
        <v>28</v>
      </c>
      <c r="W560" s="12">
        <f t="shared" si="5"/>
        <v>6038.06</v>
      </c>
      <c r="Y560">
        <v>2</v>
      </c>
    </row>
    <row r="561" spans="1:25" ht="40" customHeight="1">
      <c r="A561" s="5" t="s">
        <v>2878</v>
      </c>
      <c r="B561" s="6" t="s">
        <v>2879</v>
      </c>
      <c r="C561" s="6">
        <v>205587</v>
      </c>
      <c r="D561" s="6" t="s">
        <v>147</v>
      </c>
      <c r="E561" s="6" t="s">
        <v>2880</v>
      </c>
      <c r="F561" s="6"/>
      <c r="G561" s="6" t="s">
        <v>2881</v>
      </c>
      <c r="H561" s="6" t="s">
        <v>2882</v>
      </c>
      <c r="I561" s="6" t="s">
        <v>417</v>
      </c>
      <c r="J561" s="6" t="s">
        <v>2883</v>
      </c>
      <c r="K561" s="6" t="s">
        <v>2884</v>
      </c>
      <c r="L561" s="6" t="s">
        <v>2885</v>
      </c>
      <c r="M561" s="6" t="s">
        <v>2886</v>
      </c>
      <c r="N561" s="6" t="s">
        <v>2835</v>
      </c>
      <c r="O561" s="6" t="s">
        <v>2887</v>
      </c>
      <c r="P561" s="6"/>
      <c r="Q561" s="8">
        <v>215</v>
      </c>
      <c r="R561" s="8">
        <v>215.64500000000001</v>
      </c>
      <c r="S561" s="8">
        <v>429.9</v>
      </c>
      <c r="T561" s="8">
        <v>14</v>
      </c>
      <c r="U561" s="8">
        <v>2</v>
      </c>
      <c r="V561" s="8">
        <f t="shared" si="4"/>
        <v>28</v>
      </c>
      <c r="W561" s="12">
        <f t="shared" si="5"/>
        <v>6038.06</v>
      </c>
      <c r="Y561">
        <v>2</v>
      </c>
    </row>
    <row r="562" spans="1:25" ht="40" customHeight="1">
      <c r="A562" s="5" t="s">
        <v>2888</v>
      </c>
      <c r="B562" s="6" t="s">
        <v>2889</v>
      </c>
      <c r="C562" s="6">
        <v>205587</v>
      </c>
      <c r="D562" s="6" t="s">
        <v>2875</v>
      </c>
      <c r="E562" s="6" t="s">
        <v>2890</v>
      </c>
      <c r="F562" s="6"/>
      <c r="G562" s="6" t="s">
        <v>2881</v>
      </c>
      <c r="H562" s="6" t="s">
        <v>2882</v>
      </c>
      <c r="I562" s="6" t="s">
        <v>417</v>
      </c>
      <c r="J562" s="6" t="s">
        <v>2883</v>
      </c>
      <c r="K562" s="6" t="s">
        <v>2891</v>
      </c>
      <c r="L562" s="6" t="s">
        <v>2885</v>
      </c>
      <c r="M562" s="6" t="s">
        <v>2886</v>
      </c>
      <c r="N562" s="6" t="s">
        <v>2835</v>
      </c>
      <c r="O562" s="6" t="s">
        <v>2887</v>
      </c>
      <c r="P562" s="6"/>
      <c r="Q562" s="8">
        <v>215</v>
      </c>
      <c r="R562" s="8">
        <v>215.64500000000001</v>
      </c>
      <c r="S562" s="8">
        <v>429.9</v>
      </c>
      <c r="T562" s="8">
        <v>14</v>
      </c>
      <c r="U562" s="8">
        <v>3</v>
      </c>
      <c r="V562" s="8">
        <f t="shared" si="4"/>
        <v>42</v>
      </c>
      <c r="W562" s="12">
        <f t="shared" si="5"/>
        <v>9057.09</v>
      </c>
      <c r="Y562">
        <v>3</v>
      </c>
    </row>
    <row r="563" spans="1:25" ht="40" customHeight="1">
      <c r="A563" s="5" t="s">
        <v>2892</v>
      </c>
      <c r="B563" s="6" t="s">
        <v>2893</v>
      </c>
      <c r="C563" s="6">
        <v>205656</v>
      </c>
      <c r="D563" s="6" t="s">
        <v>27</v>
      </c>
      <c r="E563" s="6" t="s">
        <v>2894</v>
      </c>
      <c r="F563" s="6"/>
      <c r="G563" s="6" t="s">
        <v>2895</v>
      </c>
      <c r="H563" s="6" t="s">
        <v>2896</v>
      </c>
      <c r="I563" s="6" t="s">
        <v>417</v>
      </c>
      <c r="J563" s="6" t="s">
        <v>2897</v>
      </c>
      <c r="K563" s="6" t="s">
        <v>2884</v>
      </c>
      <c r="L563" s="6" t="s">
        <v>54</v>
      </c>
      <c r="M563" s="6" t="s">
        <v>54</v>
      </c>
      <c r="N563" s="6" t="s">
        <v>2835</v>
      </c>
      <c r="O563" s="6" t="s">
        <v>2898</v>
      </c>
      <c r="P563" s="6" t="s">
        <v>2899</v>
      </c>
      <c r="Q563" s="8">
        <v>200</v>
      </c>
      <c r="R563" s="8">
        <v>200.6</v>
      </c>
      <c r="S563" s="8">
        <v>399.9</v>
      </c>
      <c r="T563" s="8">
        <v>14</v>
      </c>
      <c r="U563" s="8">
        <v>2</v>
      </c>
      <c r="V563" s="8">
        <f t="shared" si="4"/>
        <v>28</v>
      </c>
      <c r="W563" s="12">
        <f t="shared" si="5"/>
        <v>5616.8</v>
      </c>
      <c r="Y563">
        <v>2</v>
      </c>
    </row>
    <row r="564" spans="1:25" ht="40" customHeight="1">
      <c r="A564" s="5" t="s">
        <v>2900</v>
      </c>
      <c r="B564" s="6" t="s">
        <v>2901</v>
      </c>
      <c r="C564" s="6">
        <v>205656</v>
      </c>
      <c r="D564" s="6" t="s">
        <v>2840</v>
      </c>
      <c r="E564" s="6" t="s">
        <v>2902</v>
      </c>
      <c r="F564" s="6"/>
      <c r="G564" s="6" t="s">
        <v>2895</v>
      </c>
      <c r="H564" s="6" t="s">
        <v>2896</v>
      </c>
      <c r="I564" s="6" t="s">
        <v>417</v>
      </c>
      <c r="J564" s="6" t="s">
        <v>2897</v>
      </c>
      <c r="K564" s="6" t="s">
        <v>2903</v>
      </c>
      <c r="L564" s="6" t="s">
        <v>54</v>
      </c>
      <c r="M564" s="6" t="s">
        <v>54</v>
      </c>
      <c r="N564" s="6" t="s">
        <v>2835</v>
      </c>
      <c r="O564" s="6" t="s">
        <v>2898</v>
      </c>
      <c r="P564" s="6" t="s">
        <v>2899</v>
      </c>
      <c r="Q564" s="8">
        <v>200</v>
      </c>
      <c r="R564" s="8">
        <v>200.6</v>
      </c>
      <c r="S564" s="8">
        <v>399.9</v>
      </c>
      <c r="T564" s="8">
        <v>14</v>
      </c>
      <c r="U564" s="8">
        <v>3</v>
      </c>
      <c r="V564" s="8">
        <f t="shared" si="4"/>
        <v>42</v>
      </c>
      <c r="W564" s="12">
        <f t="shared" si="5"/>
        <v>8425.2000000000007</v>
      </c>
      <c r="Y564">
        <v>3</v>
      </c>
    </row>
    <row r="565" spans="1:25" ht="40" customHeight="1">
      <c r="A565" s="5" t="s">
        <v>2904</v>
      </c>
      <c r="B565" s="6" t="s">
        <v>2905</v>
      </c>
      <c r="C565" s="6">
        <v>205732</v>
      </c>
      <c r="D565" s="6" t="s">
        <v>27</v>
      </c>
      <c r="E565" s="6" t="s">
        <v>2906</v>
      </c>
      <c r="F565" s="6"/>
      <c r="G565" s="6" t="s">
        <v>2907</v>
      </c>
      <c r="H565" s="6" t="s">
        <v>2908</v>
      </c>
      <c r="I565" s="6" t="s">
        <v>417</v>
      </c>
      <c r="J565" s="6" t="s">
        <v>2909</v>
      </c>
      <c r="K565" s="6" t="s">
        <v>2868</v>
      </c>
      <c r="L565" s="6" t="s">
        <v>54</v>
      </c>
      <c r="M565" s="6" t="s">
        <v>54</v>
      </c>
      <c r="N565" s="6" t="s">
        <v>2835</v>
      </c>
      <c r="O565" s="6" t="s">
        <v>2910</v>
      </c>
      <c r="P565" s="6" t="s">
        <v>2872</v>
      </c>
      <c r="Q565" s="8">
        <v>160</v>
      </c>
      <c r="R565" s="8">
        <v>160.47999999999999</v>
      </c>
      <c r="S565" s="8">
        <v>319.89999999999998</v>
      </c>
      <c r="T565" s="8">
        <v>14</v>
      </c>
      <c r="U565" s="8">
        <v>1</v>
      </c>
      <c r="V565" s="8">
        <f t="shared" si="4"/>
        <v>14</v>
      </c>
      <c r="W565" s="12">
        <f t="shared" si="5"/>
        <v>2246.7199999999998</v>
      </c>
      <c r="Y565">
        <v>1</v>
      </c>
    </row>
    <row r="566" spans="1:25" ht="40" customHeight="1">
      <c r="A566" s="5" t="s">
        <v>2911</v>
      </c>
      <c r="B566" s="6" t="s">
        <v>2912</v>
      </c>
      <c r="C566" s="6">
        <v>210808</v>
      </c>
      <c r="D566" s="6" t="s">
        <v>27</v>
      </c>
      <c r="E566" s="6" t="s">
        <v>2913</v>
      </c>
      <c r="F566" s="6"/>
      <c r="G566" s="6" t="s">
        <v>2914</v>
      </c>
      <c r="H566" s="6" t="s">
        <v>2915</v>
      </c>
      <c r="I566" s="6" t="s">
        <v>417</v>
      </c>
      <c r="J566" s="6" t="s">
        <v>2916</v>
      </c>
      <c r="K566" s="6" t="s">
        <v>2917</v>
      </c>
      <c r="L566" s="6" t="s">
        <v>2918</v>
      </c>
      <c r="M566" s="6" t="s">
        <v>2919</v>
      </c>
      <c r="N566" s="6" t="s">
        <v>2920</v>
      </c>
      <c r="O566" s="6" t="s">
        <v>2921</v>
      </c>
      <c r="P566" s="6" t="s">
        <v>2922</v>
      </c>
      <c r="Q566" s="8">
        <v>140</v>
      </c>
      <c r="R566" s="8">
        <v>140.41999999999999</v>
      </c>
      <c r="S566" s="8">
        <v>279.89999999999998</v>
      </c>
      <c r="T566" s="8">
        <v>14</v>
      </c>
      <c r="U566" s="8"/>
      <c r="V566" s="8">
        <f t="shared" si="4"/>
        <v>0</v>
      </c>
      <c r="W566" s="12">
        <f t="shared" si="5"/>
        <v>0</v>
      </c>
      <c r="Y566">
        <v>0</v>
      </c>
    </row>
    <row r="567" spans="1:25" ht="40" customHeight="1">
      <c r="A567" s="5" t="s">
        <v>2923</v>
      </c>
      <c r="B567" s="6" t="s">
        <v>2924</v>
      </c>
      <c r="C567" s="6">
        <v>210889</v>
      </c>
      <c r="D567" s="6" t="s">
        <v>27</v>
      </c>
      <c r="E567" s="6" t="s">
        <v>2925</v>
      </c>
      <c r="F567" s="6"/>
      <c r="G567" s="6" t="s">
        <v>2914</v>
      </c>
      <c r="H567" s="6" t="s">
        <v>2926</v>
      </c>
      <c r="I567" s="6" t="s">
        <v>417</v>
      </c>
      <c r="J567" s="6" t="s">
        <v>2927</v>
      </c>
      <c r="K567" s="6" t="s">
        <v>2928</v>
      </c>
      <c r="L567" s="6" t="s">
        <v>2929</v>
      </c>
      <c r="M567" s="6" t="s">
        <v>2930</v>
      </c>
      <c r="N567" s="6" t="s">
        <v>2920</v>
      </c>
      <c r="O567" s="6" t="s">
        <v>2931</v>
      </c>
      <c r="P567" s="6" t="s">
        <v>2932</v>
      </c>
      <c r="Q567" s="8">
        <v>175</v>
      </c>
      <c r="R567" s="8">
        <v>175.52500000000001</v>
      </c>
      <c r="S567" s="8">
        <v>349.9</v>
      </c>
      <c r="T567" s="8">
        <v>14</v>
      </c>
      <c r="U567" s="8">
        <v>1</v>
      </c>
      <c r="V567" s="8">
        <f t="shared" si="4"/>
        <v>14</v>
      </c>
      <c r="W567" s="12">
        <f t="shared" si="5"/>
        <v>2457.35</v>
      </c>
      <c r="X567">
        <f>VLOOKUP(E567,[1]Sheet2!$A:$C,3,FALSE)</f>
        <v>1</v>
      </c>
      <c r="Y567">
        <v>2</v>
      </c>
    </row>
    <row r="568" spans="1:25" ht="40" customHeight="1">
      <c r="A568" s="5" t="s">
        <v>2933</v>
      </c>
      <c r="B568" s="6" t="s">
        <v>2934</v>
      </c>
      <c r="C568" s="6">
        <v>210889</v>
      </c>
      <c r="D568" s="6" t="s">
        <v>2935</v>
      </c>
      <c r="E568" s="6" t="s">
        <v>2936</v>
      </c>
      <c r="F568" s="6"/>
      <c r="G568" s="6" t="s">
        <v>2914</v>
      </c>
      <c r="H568" s="6" t="s">
        <v>2926</v>
      </c>
      <c r="I568" s="6" t="s">
        <v>417</v>
      </c>
      <c r="J568" s="6" t="s">
        <v>2927</v>
      </c>
      <c r="K568" s="6" t="s">
        <v>2937</v>
      </c>
      <c r="L568" s="6" t="s">
        <v>2929</v>
      </c>
      <c r="M568" s="6" t="s">
        <v>2930</v>
      </c>
      <c r="N568" s="6" t="s">
        <v>2920</v>
      </c>
      <c r="O568" s="6" t="s">
        <v>2931</v>
      </c>
      <c r="P568" s="6" t="s">
        <v>2932</v>
      </c>
      <c r="Q568" s="8">
        <v>175</v>
      </c>
      <c r="R568" s="8">
        <v>175.52500000000001</v>
      </c>
      <c r="S568" s="8">
        <v>349.9</v>
      </c>
      <c r="T568" s="8">
        <v>14</v>
      </c>
      <c r="U568" s="8">
        <v>1</v>
      </c>
      <c r="V568" s="8">
        <f t="shared" si="4"/>
        <v>14</v>
      </c>
      <c r="W568" s="12">
        <f t="shared" si="5"/>
        <v>2457.35</v>
      </c>
      <c r="Y568">
        <v>1</v>
      </c>
    </row>
    <row r="569" spans="1:25" ht="40" customHeight="1">
      <c r="A569" s="5" t="s">
        <v>2938</v>
      </c>
      <c r="B569" s="6" t="s">
        <v>2939</v>
      </c>
      <c r="C569" s="6">
        <v>210889</v>
      </c>
      <c r="D569" s="6" t="s">
        <v>561</v>
      </c>
      <c r="E569" s="6" t="s">
        <v>2940</v>
      </c>
      <c r="F569" s="6"/>
      <c r="G569" s="6" t="s">
        <v>2914</v>
      </c>
      <c r="H569" s="6" t="s">
        <v>2926</v>
      </c>
      <c r="I569" s="6" t="s">
        <v>417</v>
      </c>
      <c r="J569" s="6" t="s">
        <v>2927</v>
      </c>
      <c r="K569" s="6" t="s">
        <v>2941</v>
      </c>
      <c r="L569" s="6" t="s">
        <v>2929</v>
      </c>
      <c r="M569" s="6" t="s">
        <v>2930</v>
      </c>
      <c r="N569" s="6" t="s">
        <v>2920</v>
      </c>
      <c r="O569" s="6" t="s">
        <v>2931</v>
      </c>
      <c r="P569" s="6" t="s">
        <v>2932</v>
      </c>
      <c r="Q569" s="8">
        <v>175</v>
      </c>
      <c r="R569" s="8">
        <v>175.52500000000001</v>
      </c>
      <c r="S569" s="8">
        <v>349.9</v>
      </c>
      <c r="T569" s="8">
        <v>14</v>
      </c>
      <c r="U569" s="8">
        <v>1</v>
      </c>
      <c r="V569" s="8">
        <f t="shared" si="4"/>
        <v>14</v>
      </c>
      <c r="W569" s="12">
        <f t="shared" si="5"/>
        <v>2457.35</v>
      </c>
      <c r="Y569">
        <v>1</v>
      </c>
    </row>
    <row r="570" spans="1:25" ht="40" customHeight="1">
      <c r="A570" s="5" t="s">
        <v>2942</v>
      </c>
      <c r="B570" s="6" t="s">
        <v>2943</v>
      </c>
      <c r="C570" s="6">
        <v>210925</v>
      </c>
      <c r="D570" s="6" t="s">
        <v>147</v>
      </c>
      <c r="E570" s="6" t="s">
        <v>2944</v>
      </c>
      <c r="F570" s="6"/>
      <c r="G570" s="6" t="s">
        <v>2945</v>
      </c>
      <c r="H570" s="6" t="s">
        <v>2946</v>
      </c>
      <c r="I570" s="6" t="s">
        <v>417</v>
      </c>
      <c r="J570" s="6" t="s">
        <v>2947</v>
      </c>
      <c r="K570" s="6" t="s">
        <v>2868</v>
      </c>
      <c r="L570" s="6" t="s">
        <v>2948</v>
      </c>
      <c r="M570" s="6" t="s">
        <v>2949</v>
      </c>
      <c r="N570" s="6" t="s">
        <v>2920</v>
      </c>
      <c r="O570" s="6" t="s">
        <v>2950</v>
      </c>
      <c r="P570" s="6" t="s">
        <v>2922</v>
      </c>
      <c r="Q570" s="8">
        <v>200</v>
      </c>
      <c r="R570" s="8">
        <v>200.6</v>
      </c>
      <c r="S570" s="8">
        <v>399.9</v>
      </c>
      <c r="T570" s="8">
        <v>14</v>
      </c>
      <c r="U570" s="8">
        <v>2</v>
      </c>
      <c r="V570" s="8">
        <f t="shared" si="4"/>
        <v>28</v>
      </c>
      <c r="W570" s="12">
        <f t="shared" si="5"/>
        <v>5616.8</v>
      </c>
      <c r="X570">
        <f>VLOOKUP(E570,[1]Sheet2!$A:$C,3,FALSE)</f>
        <v>1</v>
      </c>
      <c r="Y570">
        <v>3</v>
      </c>
    </row>
    <row r="571" spans="1:25" ht="40" customHeight="1">
      <c r="A571" s="5" t="s">
        <v>2951</v>
      </c>
      <c r="B571" s="6" t="s">
        <v>2952</v>
      </c>
      <c r="C571" s="6">
        <v>210925</v>
      </c>
      <c r="D571" s="6" t="s">
        <v>2875</v>
      </c>
      <c r="E571" s="6" t="s">
        <v>2953</v>
      </c>
      <c r="F571" s="6"/>
      <c r="G571" s="6" t="s">
        <v>2945</v>
      </c>
      <c r="H571" s="6" t="s">
        <v>2946</v>
      </c>
      <c r="I571" s="6" t="s">
        <v>417</v>
      </c>
      <c r="J571" s="6" t="s">
        <v>2947</v>
      </c>
      <c r="K571" s="6" t="s">
        <v>2877</v>
      </c>
      <c r="L571" s="6" t="s">
        <v>2948</v>
      </c>
      <c r="M571" s="6" t="s">
        <v>2949</v>
      </c>
      <c r="N571" s="6" t="s">
        <v>2920</v>
      </c>
      <c r="O571" s="6" t="s">
        <v>2950</v>
      </c>
      <c r="P571" s="6" t="s">
        <v>2922</v>
      </c>
      <c r="Q571" s="8">
        <v>200</v>
      </c>
      <c r="R571" s="8">
        <v>200.6</v>
      </c>
      <c r="S571" s="8">
        <v>399.9</v>
      </c>
      <c r="T571" s="8">
        <v>14</v>
      </c>
      <c r="U571" s="8">
        <v>3</v>
      </c>
      <c r="V571" s="8">
        <f t="shared" si="4"/>
        <v>42</v>
      </c>
      <c r="W571" s="12">
        <f t="shared" si="5"/>
        <v>8425.2000000000007</v>
      </c>
      <c r="Y571">
        <v>3</v>
      </c>
    </row>
    <row r="572" spans="1:25" ht="40" customHeight="1">
      <c r="A572" s="5" t="s">
        <v>2954</v>
      </c>
      <c r="B572" s="6" t="s">
        <v>2955</v>
      </c>
      <c r="C572" s="6">
        <v>210932</v>
      </c>
      <c r="D572" s="6" t="s">
        <v>147</v>
      </c>
      <c r="E572" s="6" t="s">
        <v>2956</v>
      </c>
      <c r="F572" s="6"/>
      <c r="G572" s="6" t="s">
        <v>2957</v>
      </c>
      <c r="H572" s="6" t="s">
        <v>2958</v>
      </c>
      <c r="I572" s="6" t="s">
        <v>417</v>
      </c>
      <c r="J572" s="6" t="s">
        <v>2959</v>
      </c>
      <c r="K572" s="6" t="s">
        <v>2960</v>
      </c>
      <c r="L572" s="6" t="s">
        <v>54</v>
      </c>
      <c r="M572" s="6" t="s">
        <v>54</v>
      </c>
      <c r="N572" s="6" t="s">
        <v>2920</v>
      </c>
      <c r="O572" s="6" t="s">
        <v>2961</v>
      </c>
      <c r="P572" s="6" t="s">
        <v>2962</v>
      </c>
      <c r="Q572" s="8">
        <v>225</v>
      </c>
      <c r="R572" s="8">
        <v>225.67500000000001</v>
      </c>
      <c r="S572" s="8">
        <v>449.9</v>
      </c>
      <c r="T572" s="8">
        <v>14</v>
      </c>
      <c r="U572" s="8"/>
      <c r="V572" s="8">
        <f t="shared" si="4"/>
        <v>0</v>
      </c>
      <c r="W572" s="12">
        <f t="shared" si="5"/>
        <v>0</v>
      </c>
      <c r="Y572">
        <v>0</v>
      </c>
    </row>
    <row r="573" spans="1:25" ht="40" customHeight="1">
      <c r="A573" s="5" t="s">
        <v>2963</v>
      </c>
      <c r="B573" s="6" t="s">
        <v>2964</v>
      </c>
      <c r="C573" s="6">
        <v>210932</v>
      </c>
      <c r="D573" s="6" t="s">
        <v>2875</v>
      </c>
      <c r="E573" s="6" t="s">
        <v>2965</v>
      </c>
      <c r="F573" s="6"/>
      <c r="G573" s="6" t="s">
        <v>2957</v>
      </c>
      <c r="H573" s="6" t="s">
        <v>2958</v>
      </c>
      <c r="I573" s="6" t="s">
        <v>417</v>
      </c>
      <c r="J573" s="6" t="s">
        <v>2959</v>
      </c>
      <c r="K573" s="6" t="s">
        <v>2966</v>
      </c>
      <c r="L573" s="6" t="s">
        <v>54</v>
      </c>
      <c r="M573" s="6" t="s">
        <v>54</v>
      </c>
      <c r="N573" s="6" t="s">
        <v>2920</v>
      </c>
      <c r="O573" s="6" t="s">
        <v>2961</v>
      </c>
      <c r="P573" s="6" t="s">
        <v>2962</v>
      </c>
      <c r="Q573" s="8">
        <v>225</v>
      </c>
      <c r="R573" s="8">
        <v>225.67500000000001</v>
      </c>
      <c r="S573" s="8">
        <v>449.9</v>
      </c>
      <c r="T573" s="8">
        <v>14</v>
      </c>
      <c r="U573" s="8"/>
      <c r="V573" s="8">
        <f t="shared" si="4"/>
        <v>0</v>
      </c>
      <c r="W573" s="12">
        <f t="shared" si="5"/>
        <v>0</v>
      </c>
      <c r="Y573">
        <v>0</v>
      </c>
    </row>
    <row r="574" spans="1:25" ht="40" customHeight="1">
      <c r="A574" s="5" t="s">
        <v>2967</v>
      </c>
      <c r="B574" s="6" t="s">
        <v>2968</v>
      </c>
      <c r="C574" s="6">
        <v>210986</v>
      </c>
      <c r="D574" s="6" t="s">
        <v>445</v>
      </c>
      <c r="E574" s="6" t="s">
        <v>2969</v>
      </c>
      <c r="F574" s="6"/>
      <c r="G574" s="6" t="s">
        <v>2970</v>
      </c>
      <c r="H574" s="6" t="s">
        <v>2971</v>
      </c>
      <c r="I574" s="6" t="s">
        <v>417</v>
      </c>
      <c r="J574" s="6" t="s">
        <v>2972</v>
      </c>
      <c r="K574" s="6" t="s">
        <v>2973</v>
      </c>
      <c r="L574" s="6" t="s">
        <v>2974</v>
      </c>
      <c r="M574" s="6" t="s">
        <v>2975</v>
      </c>
      <c r="N574" s="6" t="s">
        <v>2920</v>
      </c>
      <c r="O574" s="6" t="s">
        <v>2976</v>
      </c>
      <c r="P574" s="6" t="s">
        <v>2922</v>
      </c>
      <c r="Q574" s="8">
        <v>150</v>
      </c>
      <c r="R574" s="8">
        <v>150.44999999999999</v>
      </c>
      <c r="S574" s="8">
        <v>299.89999999999998</v>
      </c>
      <c r="T574" s="8">
        <v>14</v>
      </c>
      <c r="U574" s="8"/>
      <c r="V574" s="8">
        <f t="shared" si="4"/>
        <v>0</v>
      </c>
      <c r="W574" s="12">
        <f t="shared" si="5"/>
        <v>0</v>
      </c>
      <c r="X574">
        <f>VLOOKUP(E574,[1]Sheet2!$A:$C,3,FALSE)</f>
        <v>1</v>
      </c>
      <c r="Y574">
        <v>1</v>
      </c>
    </row>
    <row r="575" spans="1:25" ht="40" customHeight="1">
      <c r="A575" s="5" t="s">
        <v>2977</v>
      </c>
      <c r="B575" s="6" t="s">
        <v>2978</v>
      </c>
      <c r="C575" s="6">
        <v>210986</v>
      </c>
      <c r="D575" s="6" t="s">
        <v>456</v>
      </c>
      <c r="E575" s="6" t="s">
        <v>2979</v>
      </c>
      <c r="F575" s="6"/>
      <c r="G575" s="6" t="s">
        <v>2970</v>
      </c>
      <c r="H575" s="6" t="s">
        <v>2971</v>
      </c>
      <c r="I575" s="6" t="s">
        <v>417</v>
      </c>
      <c r="J575" s="6" t="s">
        <v>2972</v>
      </c>
      <c r="K575" s="6" t="s">
        <v>2980</v>
      </c>
      <c r="L575" s="6" t="s">
        <v>2974</v>
      </c>
      <c r="M575" s="6" t="s">
        <v>2975</v>
      </c>
      <c r="N575" s="6" t="s">
        <v>2920</v>
      </c>
      <c r="O575" s="6" t="s">
        <v>2976</v>
      </c>
      <c r="P575" s="6" t="s">
        <v>2922</v>
      </c>
      <c r="Q575" s="8">
        <v>150</v>
      </c>
      <c r="R575" s="8">
        <v>150.44999999999999</v>
      </c>
      <c r="S575" s="8">
        <v>299.89999999999998</v>
      </c>
      <c r="T575" s="8">
        <v>14</v>
      </c>
      <c r="U575" s="8"/>
      <c r="V575" s="8">
        <f t="shared" si="4"/>
        <v>0</v>
      </c>
      <c r="W575" s="12">
        <f t="shared" si="5"/>
        <v>0</v>
      </c>
      <c r="X575">
        <f>VLOOKUP(E575,[1]Sheet2!$A:$C,3,FALSE)</f>
        <v>1</v>
      </c>
      <c r="Y575">
        <v>1</v>
      </c>
    </row>
    <row r="576" spans="1:25" ht="40" customHeight="1">
      <c r="A576" s="6" t="s">
        <v>2981</v>
      </c>
      <c r="B576" s="6" t="s">
        <v>2982</v>
      </c>
      <c r="C576" s="6">
        <v>210986</v>
      </c>
      <c r="D576" s="6" t="s">
        <v>357</v>
      </c>
      <c r="E576" s="6" t="s">
        <v>2983</v>
      </c>
      <c r="F576" s="6"/>
      <c r="G576" s="6" t="s">
        <v>2970</v>
      </c>
      <c r="H576" s="6" t="s">
        <v>2971</v>
      </c>
      <c r="I576" s="6" t="s">
        <v>417</v>
      </c>
      <c r="J576" s="6" t="s">
        <v>2972</v>
      </c>
      <c r="K576" s="6" t="s">
        <v>2984</v>
      </c>
      <c r="L576" s="6" t="s">
        <v>2974</v>
      </c>
      <c r="M576" s="6" t="s">
        <v>2975</v>
      </c>
      <c r="N576" s="6" t="s">
        <v>2920</v>
      </c>
      <c r="O576" s="6" t="s">
        <v>2976</v>
      </c>
      <c r="P576" s="6" t="s">
        <v>2922</v>
      </c>
      <c r="Q576" s="8">
        <v>150</v>
      </c>
      <c r="R576" s="8">
        <v>150.44999999999999</v>
      </c>
      <c r="S576" s="8">
        <v>299.89999999999998</v>
      </c>
      <c r="T576" s="8">
        <v>14</v>
      </c>
      <c r="U576" s="8"/>
      <c r="V576" s="8">
        <f t="shared" si="4"/>
        <v>0</v>
      </c>
      <c r="W576" s="12">
        <f t="shared" si="5"/>
        <v>0</v>
      </c>
      <c r="X576">
        <f>VLOOKUP(E576,[1]Sheet2!$A:$C,3,FALSE)</f>
        <v>1</v>
      </c>
      <c r="Y576">
        <v>1</v>
      </c>
    </row>
    <row r="577" spans="1:25" ht="40" customHeight="1">
      <c r="A577" s="5" t="s">
        <v>2985</v>
      </c>
      <c r="B577" s="6" t="s">
        <v>2986</v>
      </c>
      <c r="C577" s="6">
        <v>211145</v>
      </c>
      <c r="D577" s="6" t="s">
        <v>27</v>
      </c>
      <c r="E577" s="6" t="s">
        <v>2987</v>
      </c>
      <c r="F577" s="6"/>
      <c r="G577" s="6" t="s">
        <v>2988</v>
      </c>
      <c r="H577" s="6" t="s">
        <v>2989</v>
      </c>
      <c r="I577" s="6" t="s">
        <v>417</v>
      </c>
      <c r="J577" s="6" t="s">
        <v>2990</v>
      </c>
      <c r="K577" s="6" t="s">
        <v>2991</v>
      </c>
      <c r="L577" s="6" t="s">
        <v>2992</v>
      </c>
      <c r="M577" s="6" t="s">
        <v>2993</v>
      </c>
      <c r="N577" s="6" t="s">
        <v>2920</v>
      </c>
      <c r="O577" s="6" t="s">
        <v>2994</v>
      </c>
      <c r="P577" s="6" t="s">
        <v>2872</v>
      </c>
      <c r="Q577" s="8">
        <v>190</v>
      </c>
      <c r="R577" s="8">
        <v>190.57</v>
      </c>
      <c r="S577" s="8">
        <v>379.9</v>
      </c>
      <c r="T577" s="8">
        <v>14</v>
      </c>
      <c r="U577" s="8">
        <v>1</v>
      </c>
      <c r="V577" s="8">
        <f t="shared" si="4"/>
        <v>14</v>
      </c>
      <c r="W577" s="12">
        <f t="shared" si="5"/>
        <v>2667.98</v>
      </c>
      <c r="X577">
        <f>VLOOKUP(E577,[1]Sheet2!$A:$C,3,FALSE)</f>
        <v>1</v>
      </c>
      <c r="Y577">
        <v>2</v>
      </c>
    </row>
    <row r="578" spans="1:25" ht="40" customHeight="1">
      <c r="A578" s="5" t="s">
        <v>2995</v>
      </c>
      <c r="B578" s="6" t="s">
        <v>2996</v>
      </c>
      <c r="C578" s="6">
        <v>211145</v>
      </c>
      <c r="D578" s="6" t="s">
        <v>40</v>
      </c>
      <c r="E578" s="6" t="s">
        <v>2997</v>
      </c>
      <c r="F578" s="6"/>
      <c r="G578" s="6" t="s">
        <v>2988</v>
      </c>
      <c r="H578" s="6" t="s">
        <v>2989</v>
      </c>
      <c r="I578" s="6" t="s">
        <v>417</v>
      </c>
      <c r="J578" s="6" t="s">
        <v>2990</v>
      </c>
      <c r="K578" s="6" t="s">
        <v>2998</v>
      </c>
      <c r="L578" s="6" t="s">
        <v>2992</v>
      </c>
      <c r="M578" s="6" t="s">
        <v>2993</v>
      </c>
      <c r="N578" s="6" t="s">
        <v>2920</v>
      </c>
      <c r="O578" s="6" t="s">
        <v>2994</v>
      </c>
      <c r="P578" s="6" t="s">
        <v>2872</v>
      </c>
      <c r="Q578" s="8">
        <v>190</v>
      </c>
      <c r="R578" s="8">
        <v>190.57</v>
      </c>
      <c r="S578" s="8">
        <v>379.9</v>
      </c>
      <c r="T578" s="8">
        <v>14</v>
      </c>
      <c r="U578" s="8">
        <v>1</v>
      </c>
      <c r="V578" s="8">
        <f t="shared" si="4"/>
        <v>14</v>
      </c>
      <c r="W578" s="12">
        <f t="shared" si="5"/>
        <v>2667.98</v>
      </c>
      <c r="Y578">
        <v>1</v>
      </c>
    </row>
    <row r="579" spans="1:25" ht="40" customHeight="1">
      <c r="A579" s="5" t="s">
        <v>2999</v>
      </c>
      <c r="B579" s="6" t="s">
        <v>3000</v>
      </c>
      <c r="C579" s="6">
        <v>211145</v>
      </c>
      <c r="D579" s="6" t="s">
        <v>45</v>
      </c>
      <c r="E579" s="6" t="s">
        <v>3001</v>
      </c>
      <c r="F579" s="6"/>
      <c r="G579" s="6" t="s">
        <v>2988</v>
      </c>
      <c r="H579" s="6" t="s">
        <v>2989</v>
      </c>
      <c r="I579" s="6" t="s">
        <v>417</v>
      </c>
      <c r="J579" s="6" t="s">
        <v>2990</v>
      </c>
      <c r="K579" s="6" t="s">
        <v>3002</v>
      </c>
      <c r="L579" s="6" t="s">
        <v>2992</v>
      </c>
      <c r="M579" s="6" t="s">
        <v>2993</v>
      </c>
      <c r="N579" s="6" t="s">
        <v>2920</v>
      </c>
      <c r="O579" s="6" t="s">
        <v>2994</v>
      </c>
      <c r="P579" s="6" t="s">
        <v>2872</v>
      </c>
      <c r="Q579" s="8">
        <v>190</v>
      </c>
      <c r="R579" s="8">
        <v>190.57</v>
      </c>
      <c r="S579" s="8">
        <v>379.9</v>
      </c>
      <c r="T579" s="8">
        <v>14</v>
      </c>
      <c r="U579" s="8">
        <v>1</v>
      </c>
      <c r="V579" s="8">
        <f t="shared" si="4"/>
        <v>14</v>
      </c>
      <c r="W579" s="12">
        <f t="shared" si="5"/>
        <v>2667.98</v>
      </c>
      <c r="X579">
        <f>VLOOKUP(E579,[1]Sheet2!$A:$C,3,FALSE)</f>
        <v>1</v>
      </c>
      <c r="Y579">
        <v>2</v>
      </c>
    </row>
    <row r="580" spans="1:25" ht="40" customHeight="1">
      <c r="A580" s="5" t="s">
        <v>3003</v>
      </c>
      <c r="B580" s="6" t="s">
        <v>3004</v>
      </c>
      <c r="C580" s="6">
        <v>211182</v>
      </c>
      <c r="D580" s="6" t="s">
        <v>445</v>
      </c>
      <c r="E580" s="6" t="s">
        <v>3005</v>
      </c>
      <c r="F580" s="6"/>
      <c r="G580" s="6" t="s">
        <v>2945</v>
      </c>
      <c r="H580" s="6" t="s">
        <v>3006</v>
      </c>
      <c r="I580" s="6" t="s">
        <v>417</v>
      </c>
      <c r="J580" s="6" t="s">
        <v>3007</v>
      </c>
      <c r="K580" s="6" t="s">
        <v>3008</v>
      </c>
      <c r="L580" s="6" t="s">
        <v>3009</v>
      </c>
      <c r="M580" s="6" t="s">
        <v>3010</v>
      </c>
      <c r="N580" s="6" t="s">
        <v>2920</v>
      </c>
      <c r="O580" s="6" t="s">
        <v>3011</v>
      </c>
      <c r="P580" s="6" t="s">
        <v>2872</v>
      </c>
      <c r="Q580" s="8">
        <v>225</v>
      </c>
      <c r="R580" s="8">
        <v>225.67500000000001</v>
      </c>
      <c r="S580" s="8">
        <v>449.9</v>
      </c>
      <c r="T580" s="8">
        <v>14</v>
      </c>
      <c r="U580" s="8">
        <v>2</v>
      </c>
      <c r="V580" s="8">
        <f t="shared" si="4"/>
        <v>28</v>
      </c>
      <c r="W580" s="12">
        <f t="shared" si="5"/>
        <v>6318.9</v>
      </c>
      <c r="X580">
        <f>VLOOKUP(E580,[1]Sheet2!$A:$C,3,FALSE)</f>
        <v>1</v>
      </c>
      <c r="Y580">
        <v>3</v>
      </c>
    </row>
    <row r="581" spans="1:25" ht="40" customHeight="1">
      <c r="A581" s="5" t="s">
        <v>3012</v>
      </c>
      <c r="B581" s="6" t="s">
        <v>3013</v>
      </c>
      <c r="C581" s="6">
        <v>211182</v>
      </c>
      <c r="D581" s="6" t="s">
        <v>2875</v>
      </c>
      <c r="E581" s="6" t="s">
        <v>3014</v>
      </c>
      <c r="F581" s="6"/>
      <c r="G581" s="6" t="s">
        <v>2945</v>
      </c>
      <c r="H581" s="6" t="s">
        <v>3006</v>
      </c>
      <c r="I581" s="6" t="s">
        <v>417</v>
      </c>
      <c r="J581" s="6" t="s">
        <v>3007</v>
      </c>
      <c r="K581" s="6" t="s">
        <v>2891</v>
      </c>
      <c r="L581" s="6" t="s">
        <v>3009</v>
      </c>
      <c r="M581" s="6" t="s">
        <v>3010</v>
      </c>
      <c r="N581" s="6" t="s">
        <v>2920</v>
      </c>
      <c r="O581" s="6" t="s">
        <v>3011</v>
      </c>
      <c r="P581" s="6" t="s">
        <v>2872</v>
      </c>
      <c r="Q581" s="8">
        <v>225</v>
      </c>
      <c r="R581" s="8">
        <v>225.67500000000001</v>
      </c>
      <c r="S581" s="8">
        <v>449.9</v>
      </c>
      <c r="T581" s="8">
        <v>14</v>
      </c>
      <c r="U581" s="8">
        <v>3</v>
      </c>
      <c r="V581" s="8">
        <f t="shared" si="4"/>
        <v>42</v>
      </c>
      <c r="W581" s="12">
        <f t="shared" si="5"/>
        <v>9478.35</v>
      </c>
      <c r="X581">
        <f>VLOOKUP(E581,[1]Sheet2!$A:$C,3,FALSE)</f>
        <v>1</v>
      </c>
      <c r="Y581">
        <v>4</v>
      </c>
    </row>
    <row r="582" spans="1:25" ht="40" customHeight="1">
      <c r="A582" s="5" t="s">
        <v>3015</v>
      </c>
      <c r="B582" s="6" t="s">
        <v>3016</v>
      </c>
      <c r="C582" s="6">
        <v>211319</v>
      </c>
      <c r="D582" s="6" t="s">
        <v>27</v>
      </c>
      <c r="E582" s="6" t="s">
        <v>3017</v>
      </c>
      <c r="F582" s="6"/>
      <c r="G582" s="6" t="s">
        <v>3018</v>
      </c>
      <c r="H582" s="6" t="s">
        <v>3019</v>
      </c>
      <c r="I582" s="6" t="s">
        <v>417</v>
      </c>
      <c r="J582" s="6" t="s">
        <v>3020</v>
      </c>
      <c r="K582" s="6" t="s">
        <v>2917</v>
      </c>
      <c r="L582" s="6" t="s">
        <v>3021</v>
      </c>
      <c r="M582" s="6" t="s">
        <v>3022</v>
      </c>
      <c r="N582" s="6" t="s">
        <v>2920</v>
      </c>
      <c r="O582" s="6" t="s">
        <v>3023</v>
      </c>
      <c r="P582" s="6" t="s">
        <v>2899</v>
      </c>
      <c r="Q582" s="8">
        <v>175</v>
      </c>
      <c r="R582" s="8">
        <v>175.52500000000001</v>
      </c>
      <c r="S582" s="8">
        <v>349.9</v>
      </c>
      <c r="T582" s="8">
        <v>14</v>
      </c>
      <c r="U582" s="8">
        <v>2</v>
      </c>
      <c r="V582" s="8">
        <f t="shared" si="4"/>
        <v>28</v>
      </c>
      <c r="W582" s="12">
        <f t="shared" si="5"/>
        <v>4914.7</v>
      </c>
      <c r="Y582">
        <v>2</v>
      </c>
    </row>
    <row r="583" spans="1:25" ht="40" customHeight="1">
      <c r="A583" s="5" t="s">
        <v>3024</v>
      </c>
      <c r="B583" s="6" t="s">
        <v>3025</v>
      </c>
      <c r="C583" s="6">
        <v>211319</v>
      </c>
      <c r="D583" s="6" t="s">
        <v>1426</v>
      </c>
      <c r="E583" s="6" t="s">
        <v>3026</v>
      </c>
      <c r="F583" s="6"/>
      <c r="G583" s="6" t="s">
        <v>3018</v>
      </c>
      <c r="H583" s="6" t="s">
        <v>3019</v>
      </c>
      <c r="I583" s="6" t="s">
        <v>417</v>
      </c>
      <c r="J583" s="6" t="s">
        <v>3020</v>
      </c>
      <c r="K583" s="6" t="s">
        <v>3027</v>
      </c>
      <c r="L583" s="6" t="s">
        <v>3021</v>
      </c>
      <c r="M583" s="6" t="s">
        <v>3022</v>
      </c>
      <c r="N583" s="6" t="s">
        <v>2920</v>
      </c>
      <c r="O583" s="6" t="s">
        <v>3023</v>
      </c>
      <c r="P583" s="6" t="s">
        <v>2899</v>
      </c>
      <c r="Q583" s="8">
        <v>175</v>
      </c>
      <c r="R583" s="8">
        <v>175.52500000000001</v>
      </c>
      <c r="S583" s="8">
        <v>349.9</v>
      </c>
      <c r="T583" s="8">
        <v>14</v>
      </c>
      <c r="U583" s="8">
        <v>2</v>
      </c>
      <c r="V583" s="8">
        <f t="shared" si="4"/>
        <v>28</v>
      </c>
      <c r="W583" s="12">
        <f t="shared" si="5"/>
        <v>4914.7</v>
      </c>
      <c r="Y583">
        <v>2</v>
      </c>
    </row>
    <row r="584" spans="1:25" ht="40" customHeight="1">
      <c r="A584" s="5" t="s">
        <v>3028</v>
      </c>
      <c r="B584" s="6" t="s">
        <v>3029</v>
      </c>
      <c r="C584" s="6">
        <v>211325</v>
      </c>
      <c r="D584" s="6" t="s">
        <v>27</v>
      </c>
      <c r="E584" s="6" t="s">
        <v>3030</v>
      </c>
      <c r="F584" s="6"/>
      <c r="G584" s="6" t="s">
        <v>3031</v>
      </c>
      <c r="H584" s="6" t="s">
        <v>3032</v>
      </c>
      <c r="I584" s="6" t="s">
        <v>417</v>
      </c>
      <c r="J584" s="6" t="s">
        <v>3033</v>
      </c>
      <c r="K584" s="6" t="s">
        <v>2991</v>
      </c>
      <c r="L584" s="6" t="s">
        <v>54</v>
      </c>
      <c r="M584" s="6" t="s">
        <v>54</v>
      </c>
      <c r="N584" s="6" t="s">
        <v>2920</v>
      </c>
      <c r="O584" s="6" t="s">
        <v>3034</v>
      </c>
      <c r="P584" s="6" t="s">
        <v>2872</v>
      </c>
      <c r="Q584" s="8">
        <v>175</v>
      </c>
      <c r="R584" s="8">
        <v>175.52500000000001</v>
      </c>
      <c r="S584" s="8">
        <v>349.9</v>
      </c>
      <c r="T584" s="8">
        <v>14</v>
      </c>
      <c r="U584" s="8">
        <v>2</v>
      </c>
      <c r="V584" s="8">
        <f t="shared" si="4"/>
        <v>28</v>
      </c>
      <c r="W584" s="12">
        <f t="shared" si="5"/>
        <v>4914.7</v>
      </c>
      <c r="Y584">
        <v>2</v>
      </c>
    </row>
    <row r="585" spans="1:25" ht="40" customHeight="1">
      <c r="A585" s="5" t="s">
        <v>3035</v>
      </c>
      <c r="B585" s="6" t="s">
        <v>3036</v>
      </c>
      <c r="C585" s="6">
        <v>211325</v>
      </c>
      <c r="D585" s="6" t="s">
        <v>147</v>
      </c>
      <c r="E585" s="6" t="s">
        <v>3037</v>
      </c>
      <c r="F585" s="6"/>
      <c r="G585" s="6" t="s">
        <v>3031</v>
      </c>
      <c r="H585" s="6" t="s">
        <v>3032</v>
      </c>
      <c r="I585" s="6" t="s">
        <v>417</v>
      </c>
      <c r="J585" s="6" t="s">
        <v>3033</v>
      </c>
      <c r="K585" s="6" t="s">
        <v>2991</v>
      </c>
      <c r="L585" s="6" t="s">
        <v>54</v>
      </c>
      <c r="M585" s="6" t="s">
        <v>54</v>
      </c>
      <c r="N585" s="6" t="s">
        <v>2920</v>
      </c>
      <c r="O585" s="6" t="s">
        <v>3034</v>
      </c>
      <c r="P585" s="6" t="s">
        <v>2872</v>
      </c>
      <c r="Q585" s="8">
        <v>175</v>
      </c>
      <c r="R585" s="8">
        <v>175.52500000000001</v>
      </c>
      <c r="S585" s="8">
        <v>349.9</v>
      </c>
      <c r="T585" s="8">
        <v>14</v>
      </c>
      <c r="U585" s="8">
        <v>2</v>
      </c>
      <c r="V585" s="8">
        <f t="shared" si="4"/>
        <v>28</v>
      </c>
      <c r="W585" s="12">
        <f t="shared" si="5"/>
        <v>4914.7</v>
      </c>
      <c r="Y585">
        <v>2</v>
      </c>
    </row>
    <row r="586" spans="1:25" ht="40" customHeight="1">
      <c r="A586" s="5" t="s">
        <v>3038</v>
      </c>
      <c r="B586" s="6" t="s">
        <v>3039</v>
      </c>
      <c r="C586" s="6">
        <v>211325</v>
      </c>
      <c r="D586" s="6" t="s">
        <v>2935</v>
      </c>
      <c r="E586" s="6" t="s">
        <v>3040</v>
      </c>
      <c r="F586" s="6"/>
      <c r="G586" s="6" t="s">
        <v>3031</v>
      </c>
      <c r="H586" s="6" t="s">
        <v>3032</v>
      </c>
      <c r="I586" s="6" t="s">
        <v>417</v>
      </c>
      <c r="J586" s="6" t="s">
        <v>3033</v>
      </c>
      <c r="K586" s="6" t="s">
        <v>3041</v>
      </c>
      <c r="L586" s="6" t="s">
        <v>54</v>
      </c>
      <c r="M586" s="6" t="s">
        <v>54</v>
      </c>
      <c r="N586" s="6" t="s">
        <v>2920</v>
      </c>
      <c r="O586" s="6" t="s">
        <v>3034</v>
      </c>
      <c r="P586" s="6" t="s">
        <v>2872</v>
      </c>
      <c r="Q586" s="8">
        <v>175</v>
      </c>
      <c r="R586" s="8">
        <v>175.52500000000001</v>
      </c>
      <c r="S586" s="8">
        <v>349.9</v>
      </c>
      <c r="T586" s="8">
        <v>14</v>
      </c>
      <c r="U586" s="8">
        <v>3</v>
      </c>
      <c r="V586" s="8">
        <f t="shared" si="4"/>
        <v>42</v>
      </c>
      <c r="W586" s="12">
        <f t="shared" si="5"/>
        <v>7372.05</v>
      </c>
      <c r="Y586">
        <v>3</v>
      </c>
    </row>
    <row r="587" spans="1:25" ht="40" customHeight="1">
      <c r="A587" s="5" t="s">
        <v>3042</v>
      </c>
      <c r="B587" s="6" t="s">
        <v>3043</v>
      </c>
      <c r="C587" s="6">
        <v>211367</v>
      </c>
      <c r="D587" s="6" t="s">
        <v>27</v>
      </c>
      <c r="E587" s="6" t="s">
        <v>3044</v>
      </c>
      <c r="F587" s="6"/>
      <c r="G587" s="6" t="s">
        <v>3045</v>
      </c>
      <c r="H587" s="6" t="s">
        <v>3046</v>
      </c>
      <c r="I587" s="6" t="s">
        <v>417</v>
      </c>
      <c r="J587" s="6" t="s">
        <v>3047</v>
      </c>
      <c r="K587" s="6" t="s">
        <v>3048</v>
      </c>
      <c r="L587" s="6" t="s">
        <v>54</v>
      </c>
      <c r="M587" s="6" t="s">
        <v>54</v>
      </c>
      <c r="N587" s="6" t="s">
        <v>2920</v>
      </c>
      <c r="O587" s="6" t="s">
        <v>3049</v>
      </c>
      <c r="P587" s="6" t="s">
        <v>2872</v>
      </c>
      <c r="Q587" s="8">
        <v>225</v>
      </c>
      <c r="R587" s="8">
        <v>225.67500000000001</v>
      </c>
      <c r="S587" s="8">
        <v>449.9</v>
      </c>
      <c r="T587" s="8">
        <v>14</v>
      </c>
      <c r="U587" s="8">
        <v>2</v>
      </c>
      <c r="V587" s="8">
        <f t="shared" si="4"/>
        <v>28</v>
      </c>
      <c r="W587" s="12">
        <f t="shared" si="5"/>
        <v>6318.9</v>
      </c>
      <c r="Y587">
        <v>2</v>
      </c>
    </row>
    <row r="588" spans="1:25" ht="40" customHeight="1">
      <c r="A588" s="5" t="s">
        <v>3050</v>
      </c>
      <c r="B588" s="6" t="s">
        <v>3051</v>
      </c>
      <c r="C588" s="6">
        <v>211367</v>
      </c>
      <c r="D588" s="6" t="s">
        <v>2935</v>
      </c>
      <c r="E588" s="6" t="s">
        <v>3052</v>
      </c>
      <c r="F588" s="6"/>
      <c r="G588" s="6" t="s">
        <v>3045</v>
      </c>
      <c r="H588" s="6" t="s">
        <v>3046</v>
      </c>
      <c r="I588" s="6" t="s">
        <v>417</v>
      </c>
      <c r="J588" s="6" t="s">
        <v>3047</v>
      </c>
      <c r="K588" s="6" t="s">
        <v>3053</v>
      </c>
      <c r="L588" s="6" t="s">
        <v>54</v>
      </c>
      <c r="M588" s="6" t="s">
        <v>54</v>
      </c>
      <c r="N588" s="6" t="s">
        <v>2920</v>
      </c>
      <c r="O588" s="6" t="s">
        <v>3049</v>
      </c>
      <c r="P588" s="6" t="s">
        <v>2872</v>
      </c>
      <c r="Q588" s="8">
        <v>225</v>
      </c>
      <c r="R588" s="8">
        <v>225.67500000000001</v>
      </c>
      <c r="S588" s="8">
        <v>449.9</v>
      </c>
      <c r="T588" s="8">
        <v>14</v>
      </c>
      <c r="U588" s="8">
        <v>2</v>
      </c>
      <c r="V588" s="8">
        <f t="shared" si="4"/>
        <v>28</v>
      </c>
      <c r="W588" s="12">
        <f t="shared" si="5"/>
        <v>6318.9</v>
      </c>
      <c r="Y588">
        <v>2</v>
      </c>
    </row>
    <row r="589" spans="1:25" ht="40" customHeight="1">
      <c r="A589" s="5" t="s">
        <v>3054</v>
      </c>
      <c r="B589" s="6" t="s">
        <v>3055</v>
      </c>
      <c r="C589" s="6">
        <v>211367</v>
      </c>
      <c r="D589" s="6" t="s">
        <v>200</v>
      </c>
      <c r="E589" s="6" t="s">
        <v>3056</v>
      </c>
      <c r="F589" s="6"/>
      <c r="G589" s="6"/>
      <c r="H589" s="6"/>
      <c r="I589" s="6" t="s">
        <v>417</v>
      </c>
      <c r="J589" s="6"/>
      <c r="K589" s="6"/>
      <c r="L589" s="6"/>
      <c r="M589" s="6"/>
      <c r="N589" s="6" t="s">
        <v>2920</v>
      </c>
      <c r="O589" s="6"/>
      <c r="P589" s="6"/>
      <c r="Q589" s="8">
        <v>225</v>
      </c>
      <c r="R589" s="8">
        <v>225.67500000000001</v>
      </c>
      <c r="S589" s="8">
        <v>449.9</v>
      </c>
      <c r="T589" s="8">
        <v>14</v>
      </c>
      <c r="U589" s="8">
        <v>2</v>
      </c>
      <c r="V589" s="8">
        <f t="shared" si="4"/>
        <v>28</v>
      </c>
      <c r="W589" s="12">
        <f t="shared" si="5"/>
        <v>6318.9</v>
      </c>
      <c r="Y589">
        <v>2</v>
      </c>
    </row>
    <row r="590" spans="1:25" ht="40" customHeight="1">
      <c r="A590" s="5" t="s">
        <v>3057</v>
      </c>
      <c r="B590" s="6" t="s">
        <v>3058</v>
      </c>
      <c r="C590" s="6">
        <v>211376</v>
      </c>
      <c r="D590" s="6" t="s">
        <v>147</v>
      </c>
      <c r="E590" s="6" t="s">
        <v>3059</v>
      </c>
      <c r="F590" s="6"/>
      <c r="G590" s="6" t="s">
        <v>2914</v>
      </c>
      <c r="H590" s="6" t="s">
        <v>3060</v>
      </c>
      <c r="I590" s="6" t="s">
        <v>417</v>
      </c>
      <c r="J590" s="6" t="s">
        <v>3061</v>
      </c>
      <c r="K590" s="6" t="s">
        <v>2991</v>
      </c>
      <c r="L590" s="6" t="s">
        <v>54</v>
      </c>
      <c r="M590" s="6" t="s">
        <v>54</v>
      </c>
      <c r="N590" s="6" t="s">
        <v>2920</v>
      </c>
      <c r="O590" s="6" t="s">
        <v>3062</v>
      </c>
      <c r="P590" s="6" t="s">
        <v>2872</v>
      </c>
      <c r="Q590" s="8">
        <v>165</v>
      </c>
      <c r="R590" s="8">
        <v>165.495</v>
      </c>
      <c r="S590" s="8">
        <v>329.9</v>
      </c>
      <c r="T590" s="8">
        <v>14</v>
      </c>
      <c r="U590" s="8">
        <v>1</v>
      </c>
      <c r="V590" s="8">
        <f t="shared" si="4"/>
        <v>14</v>
      </c>
      <c r="W590" s="12">
        <f t="shared" si="5"/>
        <v>2316.9299999999998</v>
      </c>
      <c r="Y590">
        <v>1</v>
      </c>
    </row>
    <row r="591" spans="1:25" ht="40" customHeight="1">
      <c r="A591" s="5" t="s">
        <v>3063</v>
      </c>
      <c r="B591" s="6" t="s">
        <v>3064</v>
      </c>
      <c r="C591" s="6">
        <v>211376</v>
      </c>
      <c r="D591" s="6" t="s">
        <v>45</v>
      </c>
      <c r="E591" s="6" t="s">
        <v>3065</v>
      </c>
      <c r="F591" s="6"/>
      <c r="G591" s="6" t="s">
        <v>2914</v>
      </c>
      <c r="H591" s="6" t="s">
        <v>3060</v>
      </c>
      <c r="I591" s="6" t="s">
        <v>417</v>
      </c>
      <c r="J591" s="6" t="s">
        <v>3061</v>
      </c>
      <c r="K591" s="6" t="s">
        <v>3002</v>
      </c>
      <c r="L591" s="6" t="s">
        <v>54</v>
      </c>
      <c r="M591" s="6" t="s">
        <v>54</v>
      </c>
      <c r="N591" s="6" t="s">
        <v>2920</v>
      </c>
      <c r="O591" s="6" t="s">
        <v>3062</v>
      </c>
      <c r="P591" s="6" t="s">
        <v>2872</v>
      </c>
      <c r="Q591" s="8">
        <v>165</v>
      </c>
      <c r="R591" s="8">
        <v>165.495</v>
      </c>
      <c r="S591" s="8">
        <v>329.9</v>
      </c>
      <c r="T591" s="8">
        <v>14</v>
      </c>
      <c r="U591" s="8">
        <v>2</v>
      </c>
      <c r="V591" s="8">
        <f t="shared" si="4"/>
        <v>28</v>
      </c>
      <c r="W591" s="12">
        <f t="shared" si="5"/>
        <v>4633.8599999999997</v>
      </c>
      <c r="Y591">
        <v>2</v>
      </c>
    </row>
    <row r="592" spans="1:25" ht="40" customHeight="1">
      <c r="A592" s="5" t="s">
        <v>3066</v>
      </c>
      <c r="B592" s="6" t="s">
        <v>3067</v>
      </c>
      <c r="C592" s="6">
        <v>211392</v>
      </c>
      <c r="D592" s="6" t="s">
        <v>27</v>
      </c>
      <c r="E592" s="6" t="s">
        <v>3068</v>
      </c>
      <c r="F592" s="6"/>
      <c r="G592" s="6" t="s">
        <v>3069</v>
      </c>
      <c r="H592" s="6" t="s">
        <v>215</v>
      </c>
      <c r="I592" s="6" t="s">
        <v>417</v>
      </c>
      <c r="J592" s="6" t="s">
        <v>3070</v>
      </c>
      <c r="K592" s="6" t="s">
        <v>122</v>
      </c>
      <c r="L592" s="6" t="s">
        <v>54</v>
      </c>
      <c r="M592" s="6" t="s">
        <v>54</v>
      </c>
      <c r="N592" s="6" t="s">
        <v>2920</v>
      </c>
      <c r="O592" s="6" t="s">
        <v>3062</v>
      </c>
      <c r="P592" s="6" t="s">
        <v>2872</v>
      </c>
      <c r="Q592" s="8">
        <v>175</v>
      </c>
      <c r="R592" s="8">
        <v>175.52500000000001</v>
      </c>
      <c r="S592" s="8">
        <v>349.9</v>
      </c>
      <c r="T592" s="8">
        <v>14</v>
      </c>
      <c r="U592" s="8">
        <v>2</v>
      </c>
      <c r="V592" s="8">
        <f t="shared" si="4"/>
        <v>28</v>
      </c>
      <c r="W592" s="12">
        <f t="shared" si="5"/>
        <v>4914.7</v>
      </c>
      <c r="Y592">
        <v>2</v>
      </c>
    </row>
    <row r="593" spans="1:25" ht="40" customHeight="1">
      <c r="A593" s="5" t="s">
        <v>3071</v>
      </c>
      <c r="B593" s="6" t="s">
        <v>3072</v>
      </c>
      <c r="C593" s="6">
        <v>211392</v>
      </c>
      <c r="D593" s="6" t="s">
        <v>2859</v>
      </c>
      <c r="E593" s="6" t="s">
        <v>3073</v>
      </c>
      <c r="F593" s="6"/>
      <c r="G593" s="6" t="s">
        <v>3069</v>
      </c>
      <c r="H593" s="6" t="s">
        <v>215</v>
      </c>
      <c r="I593" s="6" t="s">
        <v>417</v>
      </c>
      <c r="J593" s="6" t="s">
        <v>3070</v>
      </c>
      <c r="K593" s="6" t="s">
        <v>3074</v>
      </c>
      <c r="L593" s="6" t="s">
        <v>54</v>
      </c>
      <c r="M593" s="6" t="s">
        <v>54</v>
      </c>
      <c r="N593" s="6" t="s">
        <v>2920</v>
      </c>
      <c r="O593" s="6" t="s">
        <v>3062</v>
      </c>
      <c r="P593" s="6" t="s">
        <v>2872</v>
      </c>
      <c r="Q593" s="8">
        <v>175</v>
      </c>
      <c r="R593" s="8">
        <v>175.52500000000001</v>
      </c>
      <c r="S593" s="8">
        <v>349.9</v>
      </c>
      <c r="T593" s="8">
        <v>14</v>
      </c>
      <c r="U593" s="8">
        <v>3</v>
      </c>
      <c r="V593" s="8">
        <f t="shared" si="4"/>
        <v>42</v>
      </c>
      <c r="W593" s="12">
        <f t="shared" si="5"/>
        <v>7372.05</v>
      </c>
      <c r="Y593">
        <v>3</v>
      </c>
    </row>
    <row r="594" spans="1:25" ht="40" customHeight="1">
      <c r="A594" s="5" t="s">
        <v>3075</v>
      </c>
      <c r="B594" s="6" t="s">
        <v>3076</v>
      </c>
      <c r="C594" s="6">
        <v>211403</v>
      </c>
      <c r="D594" s="6" t="s">
        <v>3077</v>
      </c>
      <c r="E594" s="6" t="s">
        <v>3078</v>
      </c>
      <c r="F594" s="6"/>
      <c r="G594" s="6" t="s">
        <v>3079</v>
      </c>
      <c r="H594" s="6" t="s">
        <v>3080</v>
      </c>
      <c r="I594" s="6" t="s">
        <v>417</v>
      </c>
      <c r="J594" s="6" t="s">
        <v>3020</v>
      </c>
      <c r="K594" s="6" t="s">
        <v>3081</v>
      </c>
      <c r="L594" s="6" t="s">
        <v>54</v>
      </c>
      <c r="M594" s="6" t="s">
        <v>54</v>
      </c>
      <c r="N594" s="6" t="s">
        <v>2920</v>
      </c>
      <c r="O594" s="6" t="s">
        <v>3082</v>
      </c>
      <c r="P594" s="6" t="s">
        <v>2899</v>
      </c>
      <c r="Q594" s="8">
        <v>200</v>
      </c>
      <c r="R594" s="8">
        <v>200.6</v>
      </c>
      <c r="S594" s="8">
        <v>399.9</v>
      </c>
      <c r="T594" s="8">
        <v>14</v>
      </c>
      <c r="U594" s="8">
        <v>3</v>
      </c>
      <c r="V594" s="8">
        <f t="shared" si="4"/>
        <v>42</v>
      </c>
      <c r="W594" s="12">
        <f t="shared" si="5"/>
        <v>8425.2000000000007</v>
      </c>
      <c r="X594">
        <f>VLOOKUP(E594,[1]Sheet2!$A:$C,3,FALSE)</f>
        <v>1</v>
      </c>
      <c r="Y594">
        <v>4</v>
      </c>
    </row>
    <row r="595" spans="1:25" ht="40" customHeight="1">
      <c r="A595" s="5" t="s">
        <v>3083</v>
      </c>
      <c r="B595" s="6" t="s">
        <v>3084</v>
      </c>
      <c r="C595" s="6">
        <v>211448</v>
      </c>
      <c r="D595" s="6" t="s">
        <v>27</v>
      </c>
      <c r="E595" s="6" t="s">
        <v>3085</v>
      </c>
      <c r="F595" s="6"/>
      <c r="G595" s="6" t="s">
        <v>2945</v>
      </c>
      <c r="H595" s="6" t="s">
        <v>3086</v>
      </c>
      <c r="I595" s="6" t="s">
        <v>417</v>
      </c>
      <c r="J595" s="6" t="s">
        <v>3087</v>
      </c>
      <c r="K595" s="6" t="s">
        <v>3048</v>
      </c>
      <c r="L595" s="6" t="s">
        <v>54</v>
      </c>
      <c r="M595" s="6" t="s">
        <v>54</v>
      </c>
      <c r="N595" s="6" t="s">
        <v>2920</v>
      </c>
      <c r="O595" s="6" t="s">
        <v>3062</v>
      </c>
      <c r="P595" s="6" t="s">
        <v>2872</v>
      </c>
      <c r="Q595" s="8">
        <v>200</v>
      </c>
      <c r="R595" s="8">
        <v>200.6</v>
      </c>
      <c r="S595" s="8">
        <v>399.9</v>
      </c>
      <c r="T595" s="8">
        <v>14</v>
      </c>
      <c r="U595" s="8">
        <v>2</v>
      </c>
      <c r="V595" s="8">
        <f t="shared" si="4"/>
        <v>28</v>
      </c>
      <c r="W595" s="12">
        <f t="shared" si="5"/>
        <v>5616.8</v>
      </c>
      <c r="Y595">
        <v>2</v>
      </c>
    </row>
    <row r="596" spans="1:25" ht="40" customHeight="1">
      <c r="A596" s="5" t="s">
        <v>3088</v>
      </c>
      <c r="B596" s="6" t="s">
        <v>3089</v>
      </c>
      <c r="C596" s="6">
        <v>211448</v>
      </c>
      <c r="D596" s="6" t="s">
        <v>3090</v>
      </c>
      <c r="E596" s="6" t="s">
        <v>3091</v>
      </c>
      <c r="F596" s="6"/>
      <c r="G596" s="6" t="s">
        <v>2945</v>
      </c>
      <c r="H596" s="6" t="s">
        <v>3086</v>
      </c>
      <c r="I596" s="6" t="s">
        <v>417</v>
      </c>
      <c r="J596" s="6" t="s">
        <v>3087</v>
      </c>
      <c r="K596" s="6" t="s">
        <v>3092</v>
      </c>
      <c r="L596" s="6" t="s">
        <v>54</v>
      </c>
      <c r="M596" s="6" t="s">
        <v>54</v>
      </c>
      <c r="N596" s="6" t="s">
        <v>2920</v>
      </c>
      <c r="O596" s="6" t="s">
        <v>3062</v>
      </c>
      <c r="P596" s="6" t="s">
        <v>2872</v>
      </c>
      <c r="Q596" s="8">
        <v>200</v>
      </c>
      <c r="R596" s="8">
        <v>200.6</v>
      </c>
      <c r="S596" s="8">
        <v>399.9</v>
      </c>
      <c r="T596" s="8">
        <v>14</v>
      </c>
      <c r="U596" s="8">
        <v>3</v>
      </c>
      <c r="V596" s="8">
        <f t="shared" si="4"/>
        <v>42</v>
      </c>
      <c r="W596" s="12">
        <f t="shared" si="5"/>
        <v>8425.2000000000007</v>
      </c>
      <c r="Y596">
        <v>3</v>
      </c>
    </row>
    <row r="597" spans="1:25" ht="40" customHeight="1">
      <c r="A597" s="5" t="s">
        <v>3093</v>
      </c>
      <c r="B597" s="6" t="s">
        <v>3094</v>
      </c>
      <c r="C597" s="6">
        <v>216354</v>
      </c>
      <c r="D597" s="6" t="s">
        <v>27</v>
      </c>
      <c r="E597" s="6" t="s">
        <v>3095</v>
      </c>
      <c r="F597" s="6"/>
      <c r="G597" s="6" t="s">
        <v>665</v>
      </c>
      <c r="H597" s="6" t="s">
        <v>3096</v>
      </c>
      <c r="I597" s="6" t="s">
        <v>417</v>
      </c>
      <c r="J597" s="6" t="s">
        <v>779</v>
      </c>
      <c r="K597" s="6" t="s">
        <v>978</v>
      </c>
      <c r="L597" s="6" t="s">
        <v>668</v>
      </c>
      <c r="M597" s="6" t="s">
        <v>3097</v>
      </c>
      <c r="N597" s="6" t="s">
        <v>3098</v>
      </c>
      <c r="O597" s="6" t="s">
        <v>670</v>
      </c>
      <c r="P597" s="6"/>
      <c r="Q597" s="8">
        <v>175</v>
      </c>
      <c r="R597" s="8">
        <v>175.52500000000001</v>
      </c>
      <c r="S597" s="8">
        <v>349.9</v>
      </c>
      <c r="T597" s="8">
        <v>14</v>
      </c>
      <c r="U597" s="8"/>
      <c r="V597" s="8">
        <f t="shared" si="4"/>
        <v>0</v>
      </c>
      <c r="W597" s="12">
        <f t="shared" si="5"/>
        <v>0</v>
      </c>
      <c r="Y597">
        <v>0</v>
      </c>
    </row>
    <row r="598" spans="1:25" ht="40" customHeight="1">
      <c r="A598" s="5" t="s">
        <v>3099</v>
      </c>
      <c r="B598" s="6" t="s">
        <v>3100</v>
      </c>
      <c r="C598" s="6">
        <v>216354</v>
      </c>
      <c r="D598" s="6" t="s">
        <v>3101</v>
      </c>
      <c r="E598" s="6" t="s">
        <v>3102</v>
      </c>
      <c r="F598" s="6"/>
      <c r="G598" s="6" t="s">
        <v>665</v>
      </c>
      <c r="H598" s="6" t="s">
        <v>3096</v>
      </c>
      <c r="I598" s="6" t="s">
        <v>417</v>
      </c>
      <c r="J598" s="6" t="s">
        <v>779</v>
      </c>
      <c r="K598" s="6" t="s">
        <v>3103</v>
      </c>
      <c r="L598" s="6" t="s">
        <v>668</v>
      </c>
      <c r="M598" s="6" t="s">
        <v>3097</v>
      </c>
      <c r="N598" s="6" t="s">
        <v>3098</v>
      </c>
      <c r="O598" s="6" t="s">
        <v>670</v>
      </c>
      <c r="P598" s="6"/>
      <c r="Q598" s="8">
        <v>175</v>
      </c>
      <c r="R598" s="8">
        <v>175.52500000000001</v>
      </c>
      <c r="S598" s="8">
        <v>349.9</v>
      </c>
      <c r="T598" s="8">
        <v>14</v>
      </c>
      <c r="U598" s="8"/>
      <c r="V598" s="8">
        <f t="shared" si="4"/>
        <v>0</v>
      </c>
      <c r="W598" s="12">
        <f t="shared" si="5"/>
        <v>0</v>
      </c>
      <c r="Y598">
        <v>0</v>
      </c>
    </row>
    <row r="599" spans="1:25" ht="40" customHeight="1">
      <c r="A599" s="5" t="s">
        <v>3104</v>
      </c>
      <c r="B599" s="6" t="s">
        <v>3105</v>
      </c>
      <c r="C599" s="6">
        <v>216373</v>
      </c>
      <c r="D599" s="6" t="s">
        <v>27</v>
      </c>
      <c r="E599" s="6" t="s">
        <v>3106</v>
      </c>
      <c r="F599" s="6"/>
      <c r="G599" s="6" t="s">
        <v>687</v>
      </c>
      <c r="H599" s="6" t="s">
        <v>3107</v>
      </c>
      <c r="I599" s="6" t="s">
        <v>417</v>
      </c>
      <c r="J599" s="6" t="s">
        <v>3108</v>
      </c>
      <c r="K599" s="6" t="s">
        <v>3109</v>
      </c>
      <c r="L599" s="6" t="s">
        <v>3110</v>
      </c>
      <c r="M599" s="6" t="s">
        <v>3111</v>
      </c>
      <c r="N599" s="6" t="s">
        <v>3098</v>
      </c>
      <c r="O599" s="6" t="s">
        <v>3112</v>
      </c>
      <c r="P599" s="6"/>
      <c r="Q599" s="8">
        <v>140</v>
      </c>
      <c r="R599" s="8">
        <v>140.41999999999999</v>
      </c>
      <c r="S599" s="8">
        <v>279.89999999999998</v>
      </c>
      <c r="T599" s="8">
        <v>14</v>
      </c>
      <c r="U599" s="8"/>
      <c r="V599" s="8">
        <f t="shared" si="4"/>
        <v>0</v>
      </c>
      <c r="W599" s="12">
        <f t="shared" si="5"/>
        <v>0</v>
      </c>
      <c r="Y599">
        <v>0</v>
      </c>
    </row>
    <row r="600" spans="1:25" ht="40" customHeight="1">
      <c r="A600" s="6" t="s">
        <v>3113</v>
      </c>
      <c r="B600" s="6" t="s">
        <v>3114</v>
      </c>
      <c r="C600" s="6">
        <v>216373</v>
      </c>
      <c r="D600" s="6" t="s">
        <v>147</v>
      </c>
      <c r="E600" s="6" t="s">
        <v>3115</v>
      </c>
      <c r="F600" s="6"/>
      <c r="G600" s="6" t="s">
        <v>687</v>
      </c>
      <c r="H600" s="6" t="s">
        <v>3107</v>
      </c>
      <c r="I600" s="6" t="s">
        <v>417</v>
      </c>
      <c r="J600" s="6" t="s">
        <v>3108</v>
      </c>
      <c r="K600" s="6" t="s">
        <v>978</v>
      </c>
      <c r="L600" s="6" t="s">
        <v>3110</v>
      </c>
      <c r="M600" s="6" t="s">
        <v>3111</v>
      </c>
      <c r="N600" s="6" t="s">
        <v>3098</v>
      </c>
      <c r="O600" s="6" t="s">
        <v>3112</v>
      </c>
      <c r="P600" s="6"/>
      <c r="Q600" s="8">
        <v>140</v>
      </c>
      <c r="R600" s="8">
        <v>140.41999999999999</v>
      </c>
      <c r="S600" s="8">
        <v>279.89999999999998</v>
      </c>
      <c r="T600" s="8">
        <v>14</v>
      </c>
      <c r="U600" s="8"/>
      <c r="V600" s="8">
        <f t="shared" si="4"/>
        <v>0</v>
      </c>
      <c r="W600" s="12">
        <f t="shared" si="5"/>
        <v>0</v>
      </c>
      <c r="Y600">
        <v>0</v>
      </c>
    </row>
    <row r="601" spans="1:25" ht="40" customHeight="1">
      <c r="A601" s="6" t="s">
        <v>3116</v>
      </c>
      <c r="B601" s="6" t="s">
        <v>3117</v>
      </c>
      <c r="C601" s="6">
        <v>216373</v>
      </c>
      <c r="D601" s="6" t="s">
        <v>40</v>
      </c>
      <c r="E601" s="6" t="s">
        <v>3118</v>
      </c>
      <c r="F601" s="6"/>
      <c r="G601" s="6" t="s">
        <v>687</v>
      </c>
      <c r="H601" s="6" t="s">
        <v>3107</v>
      </c>
      <c r="I601" s="6" t="s">
        <v>417</v>
      </c>
      <c r="J601" s="6" t="s">
        <v>3108</v>
      </c>
      <c r="K601" s="6" t="s">
        <v>983</v>
      </c>
      <c r="L601" s="6" t="s">
        <v>3110</v>
      </c>
      <c r="M601" s="6" t="s">
        <v>3111</v>
      </c>
      <c r="N601" s="6" t="s">
        <v>3098</v>
      </c>
      <c r="O601" s="6" t="s">
        <v>3112</v>
      </c>
      <c r="P601" s="6"/>
      <c r="Q601" s="8">
        <v>140</v>
      </c>
      <c r="R601" s="8">
        <v>140.41999999999999</v>
      </c>
      <c r="S601" s="8">
        <v>279.89999999999998</v>
      </c>
      <c r="T601" s="8">
        <v>14</v>
      </c>
      <c r="U601" s="8"/>
      <c r="V601" s="8">
        <f t="shared" si="4"/>
        <v>0</v>
      </c>
      <c r="W601" s="12">
        <f t="shared" si="5"/>
        <v>0</v>
      </c>
      <c r="Y601">
        <v>0</v>
      </c>
    </row>
    <row r="602" spans="1:25" ht="40" customHeight="1">
      <c r="A602" s="5" t="s">
        <v>3119</v>
      </c>
      <c r="B602" s="6" t="s">
        <v>3120</v>
      </c>
      <c r="C602" s="6">
        <v>216373</v>
      </c>
      <c r="D602" s="6" t="s">
        <v>109</v>
      </c>
      <c r="E602" s="6" t="s">
        <v>3121</v>
      </c>
      <c r="F602" s="6"/>
      <c r="G602" s="6" t="s">
        <v>687</v>
      </c>
      <c r="H602" s="6" t="s">
        <v>3107</v>
      </c>
      <c r="I602" s="6" t="s">
        <v>417</v>
      </c>
      <c r="J602" s="6" t="s">
        <v>3108</v>
      </c>
      <c r="K602" s="6" t="s">
        <v>1254</v>
      </c>
      <c r="L602" s="6" t="s">
        <v>3110</v>
      </c>
      <c r="M602" s="6" t="s">
        <v>3111</v>
      </c>
      <c r="N602" s="6" t="s">
        <v>3098</v>
      </c>
      <c r="O602" s="6" t="s">
        <v>3112</v>
      </c>
      <c r="P602" s="6"/>
      <c r="Q602" s="8">
        <v>140</v>
      </c>
      <c r="R602" s="8">
        <v>140.41999999999999</v>
      </c>
      <c r="S602" s="8">
        <v>279.89999999999998</v>
      </c>
      <c r="T602" s="8">
        <v>14</v>
      </c>
      <c r="U602" s="8"/>
      <c r="V602" s="8">
        <f t="shared" si="4"/>
        <v>0</v>
      </c>
      <c r="W602" s="12">
        <f t="shared" si="5"/>
        <v>0</v>
      </c>
      <c r="Y602">
        <v>0</v>
      </c>
    </row>
    <row r="603" spans="1:25" ht="40" customHeight="1">
      <c r="A603" s="6" t="s">
        <v>3122</v>
      </c>
      <c r="B603" s="6" t="s">
        <v>3123</v>
      </c>
      <c r="C603" s="6">
        <v>216373</v>
      </c>
      <c r="D603" s="6" t="s">
        <v>45</v>
      </c>
      <c r="E603" s="6" t="s">
        <v>3124</v>
      </c>
      <c r="F603" s="6"/>
      <c r="G603" s="6" t="s">
        <v>687</v>
      </c>
      <c r="H603" s="6" t="s">
        <v>3107</v>
      </c>
      <c r="I603" s="6" t="s">
        <v>417</v>
      </c>
      <c r="J603" s="6" t="s">
        <v>3108</v>
      </c>
      <c r="K603" s="6" t="s">
        <v>991</v>
      </c>
      <c r="L603" s="6" t="s">
        <v>3110</v>
      </c>
      <c r="M603" s="6" t="s">
        <v>3111</v>
      </c>
      <c r="N603" s="6" t="s">
        <v>3098</v>
      </c>
      <c r="O603" s="6" t="s">
        <v>3112</v>
      </c>
      <c r="P603" s="6"/>
      <c r="Q603" s="8">
        <v>140</v>
      </c>
      <c r="R603" s="8">
        <v>140.41999999999999</v>
      </c>
      <c r="S603" s="8">
        <v>279.89999999999998</v>
      </c>
      <c r="T603" s="8">
        <v>14</v>
      </c>
      <c r="U603" s="8"/>
      <c r="V603" s="8">
        <f t="shared" si="4"/>
        <v>0</v>
      </c>
      <c r="W603" s="12">
        <f t="shared" si="5"/>
        <v>0</v>
      </c>
      <c r="Y603">
        <v>0</v>
      </c>
    </row>
    <row r="604" spans="1:25" ht="40" customHeight="1">
      <c r="A604" s="5" t="s">
        <v>3125</v>
      </c>
      <c r="B604" s="6" t="s">
        <v>3126</v>
      </c>
      <c r="C604" s="6">
        <v>216660</v>
      </c>
      <c r="D604" s="6" t="s">
        <v>142</v>
      </c>
      <c r="E604" s="6" t="s">
        <v>3127</v>
      </c>
      <c r="F604" s="6"/>
      <c r="G604" s="6" t="s">
        <v>574</v>
      </c>
      <c r="H604" s="6" t="s">
        <v>3128</v>
      </c>
      <c r="I604" s="6" t="s">
        <v>417</v>
      </c>
      <c r="J604" s="6" t="s">
        <v>3129</v>
      </c>
      <c r="K604" s="6" t="s">
        <v>3130</v>
      </c>
      <c r="L604" s="6" t="s">
        <v>3131</v>
      </c>
      <c r="M604" s="6" t="s">
        <v>3132</v>
      </c>
      <c r="N604" s="6" t="s">
        <v>3098</v>
      </c>
      <c r="O604" s="6" t="s">
        <v>3133</v>
      </c>
      <c r="P604" s="6"/>
      <c r="Q604" s="8">
        <v>200</v>
      </c>
      <c r="R604" s="8">
        <v>200.6</v>
      </c>
      <c r="S604" s="8">
        <v>399.9</v>
      </c>
      <c r="T604" s="8">
        <v>14</v>
      </c>
      <c r="U604" s="8"/>
      <c r="V604" s="8">
        <f t="shared" si="4"/>
        <v>0</v>
      </c>
      <c r="W604" s="12">
        <f t="shared" si="5"/>
        <v>0</v>
      </c>
      <c r="Y604">
        <v>0</v>
      </c>
    </row>
    <row r="605" spans="1:25" ht="40" customHeight="1">
      <c r="A605" s="6" t="s">
        <v>3134</v>
      </c>
      <c r="B605" s="6" t="s">
        <v>3135</v>
      </c>
      <c r="C605" s="6">
        <v>216660</v>
      </c>
      <c r="D605" s="6" t="s">
        <v>109</v>
      </c>
      <c r="E605" s="6" t="s">
        <v>3136</v>
      </c>
      <c r="F605" s="6"/>
      <c r="G605" s="6" t="s">
        <v>574</v>
      </c>
      <c r="H605" s="6" t="s">
        <v>3128</v>
      </c>
      <c r="I605" s="6" t="s">
        <v>417</v>
      </c>
      <c r="J605" s="6" t="s">
        <v>3129</v>
      </c>
      <c r="K605" s="6" t="s">
        <v>3137</v>
      </c>
      <c r="L605" s="6" t="s">
        <v>3131</v>
      </c>
      <c r="M605" s="6" t="s">
        <v>3132</v>
      </c>
      <c r="N605" s="6" t="s">
        <v>3098</v>
      </c>
      <c r="O605" s="6" t="s">
        <v>3133</v>
      </c>
      <c r="P605" s="6"/>
      <c r="Q605" s="8">
        <v>200</v>
      </c>
      <c r="R605" s="8">
        <v>200.6</v>
      </c>
      <c r="S605" s="8">
        <v>399.9</v>
      </c>
      <c r="T605" s="8">
        <v>14</v>
      </c>
      <c r="U605" s="8"/>
      <c r="V605" s="8">
        <f t="shared" si="4"/>
        <v>0</v>
      </c>
      <c r="W605" s="12">
        <f t="shared" si="5"/>
        <v>0</v>
      </c>
      <c r="Y605">
        <v>0</v>
      </c>
    </row>
    <row r="606" spans="1:25" ht="40" customHeight="1">
      <c r="A606" s="6" t="s">
        <v>3138</v>
      </c>
      <c r="B606" s="8" t="s">
        <v>3139</v>
      </c>
      <c r="C606" s="13" t="s">
        <v>3140</v>
      </c>
      <c r="D606" s="6" t="s">
        <v>27</v>
      </c>
      <c r="E606" s="6" t="s">
        <v>3141</v>
      </c>
      <c r="F606" s="6" t="s">
        <v>5</v>
      </c>
      <c r="G606" s="6" t="s">
        <v>574</v>
      </c>
      <c r="H606" s="6" t="s">
        <v>3128</v>
      </c>
      <c r="I606" s="6" t="s">
        <v>417</v>
      </c>
      <c r="J606" s="6" t="s">
        <v>3142</v>
      </c>
      <c r="K606" s="6" t="s">
        <v>3143</v>
      </c>
      <c r="L606" s="6" t="s">
        <v>3131</v>
      </c>
      <c r="M606" s="6" t="s">
        <v>3132</v>
      </c>
      <c r="N606" s="6" t="s">
        <v>3098</v>
      </c>
      <c r="O606" s="6" t="s">
        <v>3144</v>
      </c>
      <c r="P606" s="6"/>
      <c r="Q606" s="8">
        <v>200</v>
      </c>
      <c r="R606" s="8">
        <v>200.6</v>
      </c>
      <c r="S606" s="8">
        <v>399.9</v>
      </c>
      <c r="T606" s="8">
        <v>14</v>
      </c>
      <c r="U606" s="8"/>
      <c r="V606" s="8">
        <f t="shared" si="4"/>
        <v>0</v>
      </c>
      <c r="W606" s="12">
        <f t="shared" si="5"/>
        <v>0</v>
      </c>
      <c r="Y606">
        <v>0</v>
      </c>
    </row>
    <row r="607" spans="1:25" ht="40" customHeight="1">
      <c r="A607" s="5" t="s">
        <v>3145</v>
      </c>
      <c r="B607" s="6" t="s">
        <v>3146</v>
      </c>
      <c r="C607" s="6">
        <v>216741</v>
      </c>
      <c r="D607" s="6" t="s">
        <v>27</v>
      </c>
      <c r="E607" s="6" t="s">
        <v>3147</v>
      </c>
      <c r="F607" s="6"/>
      <c r="G607" s="6" t="s">
        <v>665</v>
      </c>
      <c r="H607" s="6" t="s">
        <v>3148</v>
      </c>
      <c r="I607" s="6" t="s">
        <v>417</v>
      </c>
      <c r="J607" s="6" t="s">
        <v>3149</v>
      </c>
      <c r="K607" s="6" t="s">
        <v>3109</v>
      </c>
      <c r="L607" s="6" t="s">
        <v>54</v>
      </c>
      <c r="M607" s="6" t="s">
        <v>54</v>
      </c>
      <c r="N607" s="6" t="s">
        <v>3098</v>
      </c>
      <c r="O607" s="6" t="s">
        <v>3150</v>
      </c>
      <c r="P607" s="6"/>
      <c r="Q607" s="8">
        <v>200</v>
      </c>
      <c r="R607" s="8">
        <v>200.6</v>
      </c>
      <c r="S607" s="8">
        <v>399.9</v>
      </c>
      <c r="T607" s="8">
        <v>14</v>
      </c>
      <c r="U607" s="8">
        <v>2</v>
      </c>
      <c r="V607" s="8">
        <f t="shared" si="4"/>
        <v>28</v>
      </c>
      <c r="W607" s="12">
        <f t="shared" si="5"/>
        <v>5616.8</v>
      </c>
      <c r="Y607">
        <v>2</v>
      </c>
    </row>
    <row r="608" spans="1:25" ht="40" customHeight="1">
      <c r="A608" s="5" t="s">
        <v>3151</v>
      </c>
      <c r="B608" s="6" t="s">
        <v>3152</v>
      </c>
      <c r="C608" s="6">
        <v>216741</v>
      </c>
      <c r="D608" s="6" t="s">
        <v>1564</v>
      </c>
      <c r="E608" s="6" t="s">
        <v>3153</v>
      </c>
      <c r="F608" s="6"/>
      <c r="G608" s="6" t="s">
        <v>665</v>
      </c>
      <c r="H608" s="6" t="s">
        <v>3148</v>
      </c>
      <c r="I608" s="6" t="s">
        <v>417</v>
      </c>
      <c r="J608" s="6" t="s">
        <v>3149</v>
      </c>
      <c r="K608" s="6" t="s">
        <v>3154</v>
      </c>
      <c r="L608" s="6" t="s">
        <v>54</v>
      </c>
      <c r="M608" s="6" t="s">
        <v>54</v>
      </c>
      <c r="N608" s="6" t="s">
        <v>3098</v>
      </c>
      <c r="O608" s="6" t="s">
        <v>3150</v>
      </c>
      <c r="P608" s="6"/>
      <c r="Q608" s="8">
        <v>200</v>
      </c>
      <c r="R608" s="8">
        <v>200.6</v>
      </c>
      <c r="S608" s="8">
        <v>399.9</v>
      </c>
      <c r="T608" s="8">
        <v>14</v>
      </c>
      <c r="U608" s="8">
        <v>3</v>
      </c>
      <c r="V608" s="8">
        <f t="shared" si="4"/>
        <v>42</v>
      </c>
      <c r="W608" s="12">
        <f t="shared" si="5"/>
        <v>8425.2000000000007</v>
      </c>
      <c r="Y608">
        <v>3</v>
      </c>
    </row>
    <row r="609" spans="1:25" ht="40" customHeight="1">
      <c r="A609" s="5" t="s">
        <v>3155</v>
      </c>
      <c r="B609" s="6" t="s">
        <v>3156</v>
      </c>
      <c r="C609" s="6">
        <v>216777</v>
      </c>
      <c r="D609" s="6" t="s">
        <v>27</v>
      </c>
      <c r="E609" s="6" t="s">
        <v>3157</v>
      </c>
      <c r="F609" s="6"/>
      <c r="G609" s="6" t="s">
        <v>777</v>
      </c>
      <c r="H609" s="6" t="s">
        <v>3158</v>
      </c>
      <c r="I609" s="6" t="s">
        <v>417</v>
      </c>
      <c r="J609" s="6" t="s">
        <v>3159</v>
      </c>
      <c r="K609" s="6" t="s">
        <v>3109</v>
      </c>
      <c r="L609" s="6" t="s">
        <v>3160</v>
      </c>
      <c r="M609" s="6" t="s">
        <v>3161</v>
      </c>
      <c r="N609" s="6" t="s">
        <v>3098</v>
      </c>
      <c r="O609" s="6" t="s">
        <v>3162</v>
      </c>
      <c r="P609" s="6"/>
      <c r="Q609" s="8">
        <v>165</v>
      </c>
      <c r="R609" s="8">
        <v>165.495</v>
      </c>
      <c r="S609" s="8">
        <v>329.9</v>
      </c>
      <c r="T609" s="8">
        <v>14</v>
      </c>
      <c r="U609" s="8"/>
      <c r="V609" s="8">
        <f t="shared" si="4"/>
        <v>0</v>
      </c>
      <c r="W609" s="12">
        <f t="shared" si="5"/>
        <v>0</v>
      </c>
      <c r="Y609">
        <v>0</v>
      </c>
    </row>
    <row r="610" spans="1:25" ht="40" customHeight="1">
      <c r="A610" s="5" t="s">
        <v>3163</v>
      </c>
      <c r="B610" s="6" t="s">
        <v>3164</v>
      </c>
      <c r="C610" s="6">
        <v>216777</v>
      </c>
      <c r="D610" s="6" t="s">
        <v>89</v>
      </c>
      <c r="E610" s="6" t="s">
        <v>3165</v>
      </c>
      <c r="F610" s="6"/>
      <c r="G610" s="6" t="s">
        <v>777</v>
      </c>
      <c r="H610" s="6" t="s">
        <v>3158</v>
      </c>
      <c r="I610" s="6" t="s">
        <v>417</v>
      </c>
      <c r="J610" s="6" t="s">
        <v>3159</v>
      </c>
      <c r="K610" s="6" t="s">
        <v>832</v>
      </c>
      <c r="L610" s="6" t="s">
        <v>3160</v>
      </c>
      <c r="M610" s="6" t="s">
        <v>3161</v>
      </c>
      <c r="N610" s="6" t="s">
        <v>3098</v>
      </c>
      <c r="O610" s="6" t="s">
        <v>3162</v>
      </c>
      <c r="P610" s="6"/>
      <c r="Q610" s="8">
        <v>165</v>
      </c>
      <c r="R610" s="8">
        <v>165.495</v>
      </c>
      <c r="S610" s="8">
        <v>329.9</v>
      </c>
      <c r="T610" s="8">
        <v>14</v>
      </c>
      <c r="U610" s="8"/>
      <c r="V610" s="8">
        <f t="shared" si="4"/>
        <v>0</v>
      </c>
      <c r="W610" s="12">
        <f t="shared" si="5"/>
        <v>0</v>
      </c>
      <c r="Y610">
        <v>0</v>
      </c>
    </row>
    <row r="611" spans="1:25" ht="40" customHeight="1">
      <c r="A611" s="5" t="s">
        <v>3166</v>
      </c>
      <c r="B611" s="6" t="s">
        <v>3167</v>
      </c>
      <c r="C611" s="6">
        <v>216782</v>
      </c>
      <c r="D611" s="6" t="s">
        <v>27</v>
      </c>
      <c r="E611" s="6" t="s">
        <v>3168</v>
      </c>
      <c r="F611" s="6"/>
      <c r="G611" s="6" t="s">
        <v>777</v>
      </c>
      <c r="H611" s="6" t="s">
        <v>3169</v>
      </c>
      <c r="I611" s="6" t="s">
        <v>417</v>
      </c>
      <c r="J611" s="6" t="s">
        <v>3170</v>
      </c>
      <c r="K611" s="6" t="s">
        <v>996</v>
      </c>
      <c r="L611" s="6" t="s">
        <v>3171</v>
      </c>
      <c r="M611" s="6" t="s">
        <v>3172</v>
      </c>
      <c r="N611" s="6" t="s">
        <v>3098</v>
      </c>
      <c r="O611" s="6" t="s">
        <v>3173</v>
      </c>
      <c r="P611" s="6"/>
      <c r="Q611" s="8">
        <v>165</v>
      </c>
      <c r="R611" s="8">
        <v>165.495</v>
      </c>
      <c r="S611" s="8">
        <v>329.9</v>
      </c>
      <c r="T611" s="8">
        <v>14</v>
      </c>
      <c r="U611" s="8"/>
      <c r="V611" s="8">
        <f t="shared" si="4"/>
        <v>0</v>
      </c>
      <c r="W611" s="12">
        <f t="shared" si="5"/>
        <v>0</v>
      </c>
      <c r="Y611">
        <v>0</v>
      </c>
    </row>
    <row r="612" spans="1:25" ht="40" customHeight="1">
      <c r="A612" s="5" t="s">
        <v>3174</v>
      </c>
      <c r="B612" s="6" t="s">
        <v>3175</v>
      </c>
      <c r="C612" s="6">
        <v>216782</v>
      </c>
      <c r="D612" s="6" t="s">
        <v>3176</v>
      </c>
      <c r="E612" s="6" t="s">
        <v>3177</v>
      </c>
      <c r="F612" s="6"/>
      <c r="G612" s="6" t="s">
        <v>777</v>
      </c>
      <c r="H612" s="6" t="s">
        <v>3169</v>
      </c>
      <c r="I612" s="6" t="s">
        <v>417</v>
      </c>
      <c r="J612" s="6" t="s">
        <v>3170</v>
      </c>
      <c r="K612" s="6" t="s">
        <v>3178</v>
      </c>
      <c r="L612" s="6" t="s">
        <v>3171</v>
      </c>
      <c r="M612" s="6" t="s">
        <v>3172</v>
      </c>
      <c r="N612" s="6" t="s">
        <v>3098</v>
      </c>
      <c r="O612" s="6" t="s">
        <v>3173</v>
      </c>
      <c r="P612" s="6"/>
      <c r="Q612" s="8">
        <v>165</v>
      </c>
      <c r="R612" s="8">
        <v>165.495</v>
      </c>
      <c r="S612" s="8">
        <v>329.9</v>
      </c>
      <c r="T612" s="8">
        <v>14</v>
      </c>
      <c r="U612" s="8"/>
      <c r="V612" s="8">
        <f t="shared" si="4"/>
        <v>0</v>
      </c>
      <c r="W612" s="12">
        <f t="shared" si="5"/>
        <v>0</v>
      </c>
      <c r="Y612">
        <v>0</v>
      </c>
    </row>
    <row r="613" spans="1:25" ht="40" customHeight="1">
      <c r="A613" s="5" t="s">
        <v>3179</v>
      </c>
      <c r="B613" s="6" t="s">
        <v>3180</v>
      </c>
      <c r="C613" s="6" t="s">
        <v>3181</v>
      </c>
      <c r="D613" s="6" t="s">
        <v>64</v>
      </c>
      <c r="E613" s="6" t="s">
        <v>3182</v>
      </c>
      <c r="F613" s="6" t="s">
        <v>5</v>
      </c>
      <c r="G613" s="6" t="s">
        <v>777</v>
      </c>
      <c r="H613" s="6" t="s">
        <v>3169</v>
      </c>
      <c r="I613" s="6" t="s">
        <v>417</v>
      </c>
      <c r="J613" s="6" t="s">
        <v>3183</v>
      </c>
      <c r="K613" s="6" t="s">
        <v>598</v>
      </c>
      <c r="L613" s="6" t="s">
        <v>3171</v>
      </c>
      <c r="M613" s="6" t="s">
        <v>3172</v>
      </c>
      <c r="N613" s="6" t="s">
        <v>3098</v>
      </c>
      <c r="O613" s="6" t="s">
        <v>3184</v>
      </c>
      <c r="P613" s="6"/>
      <c r="Q613" s="8">
        <v>165</v>
      </c>
      <c r="R613" s="8">
        <v>165.495</v>
      </c>
      <c r="S613" s="8">
        <v>329.9</v>
      </c>
      <c r="T613" s="8">
        <v>14</v>
      </c>
      <c r="U613" s="8"/>
      <c r="V613" s="8">
        <f t="shared" si="4"/>
        <v>0</v>
      </c>
      <c r="W613" s="12">
        <f t="shared" si="5"/>
        <v>0</v>
      </c>
      <c r="Y613">
        <v>0</v>
      </c>
    </row>
    <row r="614" spans="1:25" ht="40" customHeight="1">
      <c r="A614" s="5" t="s">
        <v>3185</v>
      </c>
      <c r="B614" s="6" t="s">
        <v>3186</v>
      </c>
      <c r="C614" s="6">
        <v>216789</v>
      </c>
      <c r="D614" s="6" t="s">
        <v>27</v>
      </c>
      <c r="E614" s="6" t="s">
        <v>3187</v>
      </c>
      <c r="F614" s="6"/>
      <c r="G614" s="6" t="s">
        <v>777</v>
      </c>
      <c r="H614" s="6" t="s">
        <v>215</v>
      </c>
      <c r="I614" s="6" t="s">
        <v>417</v>
      </c>
      <c r="J614" s="6" t="s">
        <v>3188</v>
      </c>
      <c r="K614" s="6" t="s">
        <v>3109</v>
      </c>
      <c r="L614" s="6" t="s">
        <v>54</v>
      </c>
      <c r="M614" s="6" t="s">
        <v>54</v>
      </c>
      <c r="N614" s="6" t="s">
        <v>3098</v>
      </c>
      <c r="O614" s="6" t="s">
        <v>3189</v>
      </c>
      <c r="P614" s="6"/>
      <c r="Q614" s="8">
        <v>185</v>
      </c>
      <c r="R614" s="8">
        <v>185.55500000000001</v>
      </c>
      <c r="S614" s="8">
        <v>369.9</v>
      </c>
      <c r="T614" s="8">
        <v>14</v>
      </c>
      <c r="U614" s="8">
        <v>1</v>
      </c>
      <c r="V614" s="8">
        <f t="shared" si="4"/>
        <v>14</v>
      </c>
      <c r="W614" s="12">
        <f t="shared" si="5"/>
        <v>2597.77</v>
      </c>
      <c r="Y614">
        <v>1</v>
      </c>
    </row>
    <row r="615" spans="1:25" ht="40" customHeight="1">
      <c r="A615" s="5" t="s">
        <v>3190</v>
      </c>
      <c r="B615" s="6" t="s">
        <v>3191</v>
      </c>
      <c r="C615" s="6">
        <v>216789</v>
      </c>
      <c r="D615" s="6" t="s">
        <v>147</v>
      </c>
      <c r="E615" s="6" t="s">
        <v>3192</v>
      </c>
      <c r="F615" s="6"/>
      <c r="G615" s="6" t="s">
        <v>777</v>
      </c>
      <c r="H615" s="6" t="s">
        <v>215</v>
      </c>
      <c r="I615" s="6" t="s">
        <v>417</v>
      </c>
      <c r="J615" s="6" t="s">
        <v>3188</v>
      </c>
      <c r="K615" s="6" t="s">
        <v>744</v>
      </c>
      <c r="L615" s="6" t="s">
        <v>54</v>
      </c>
      <c r="M615" s="6" t="s">
        <v>54</v>
      </c>
      <c r="N615" s="6" t="s">
        <v>3098</v>
      </c>
      <c r="O615" s="6" t="s">
        <v>3189</v>
      </c>
      <c r="P615" s="6"/>
      <c r="Q615" s="8">
        <v>185</v>
      </c>
      <c r="R615" s="8">
        <v>185.55500000000001</v>
      </c>
      <c r="S615" s="8">
        <v>369.9</v>
      </c>
      <c r="T615" s="8">
        <v>14</v>
      </c>
      <c r="U615" s="8">
        <v>1</v>
      </c>
      <c r="V615" s="8">
        <f t="shared" ref="V615:V678" si="6">T615*U615</f>
        <v>14</v>
      </c>
      <c r="W615" s="12">
        <f t="shared" ref="W615:W678" si="7">R615*V615</f>
        <v>2597.77</v>
      </c>
      <c r="Y615">
        <v>1</v>
      </c>
    </row>
    <row r="616" spans="1:25" ht="40" customHeight="1">
      <c r="A616" s="5" t="s">
        <v>3193</v>
      </c>
      <c r="B616" s="6" t="s">
        <v>3194</v>
      </c>
      <c r="C616" s="6">
        <v>216789</v>
      </c>
      <c r="D616" s="6" t="s">
        <v>89</v>
      </c>
      <c r="E616" s="6" t="s">
        <v>3195</v>
      </c>
      <c r="F616" s="6"/>
      <c r="G616" s="6" t="s">
        <v>777</v>
      </c>
      <c r="H616" s="6" t="s">
        <v>215</v>
      </c>
      <c r="I616" s="6" t="s">
        <v>417</v>
      </c>
      <c r="J616" s="6" t="s">
        <v>3188</v>
      </c>
      <c r="K616" s="6" t="s">
        <v>832</v>
      </c>
      <c r="L616" s="6" t="s">
        <v>54</v>
      </c>
      <c r="M616" s="6" t="s">
        <v>54</v>
      </c>
      <c r="N616" s="6" t="s">
        <v>3098</v>
      </c>
      <c r="O616" s="6" t="s">
        <v>3189</v>
      </c>
      <c r="P616" s="6"/>
      <c r="Q616" s="8">
        <v>185</v>
      </c>
      <c r="R616" s="8">
        <v>185.55500000000001</v>
      </c>
      <c r="S616" s="8">
        <v>369.9</v>
      </c>
      <c r="T616" s="8">
        <v>14</v>
      </c>
      <c r="U616" s="8">
        <v>1</v>
      </c>
      <c r="V616" s="8">
        <f t="shared" si="6"/>
        <v>14</v>
      </c>
      <c r="W616" s="12">
        <f t="shared" si="7"/>
        <v>2597.77</v>
      </c>
      <c r="Y616">
        <v>1</v>
      </c>
    </row>
    <row r="617" spans="1:25" ht="40" customHeight="1">
      <c r="A617" s="5" t="s">
        <v>3196</v>
      </c>
      <c r="B617" s="6" t="s">
        <v>3197</v>
      </c>
      <c r="C617" s="6">
        <v>216789</v>
      </c>
      <c r="D617" s="6" t="s">
        <v>109</v>
      </c>
      <c r="E617" s="6" t="s">
        <v>3198</v>
      </c>
      <c r="F617" s="6"/>
      <c r="G617" s="6" t="s">
        <v>777</v>
      </c>
      <c r="H617" s="6" t="s">
        <v>215</v>
      </c>
      <c r="I617" s="6" t="s">
        <v>417</v>
      </c>
      <c r="J617" s="6" t="s">
        <v>3188</v>
      </c>
      <c r="K617" s="6" t="s">
        <v>1254</v>
      </c>
      <c r="L617" s="6" t="s">
        <v>54</v>
      </c>
      <c r="M617" s="6" t="s">
        <v>54</v>
      </c>
      <c r="N617" s="6" t="s">
        <v>3098</v>
      </c>
      <c r="O617" s="6" t="s">
        <v>3189</v>
      </c>
      <c r="P617" s="6"/>
      <c r="Q617" s="8">
        <v>185</v>
      </c>
      <c r="R617" s="8">
        <v>185.55500000000001</v>
      </c>
      <c r="S617" s="8">
        <v>369.9</v>
      </c>
      <c r="T617" s="8">
        <v>14</v>
      </c>
      <c r="U617" s="8">
        <v>1</v>
      </c>
      <c r="V617" s="8">
        <f t="shared" si="6"/>
        <v>14</v>
      </c>
      <c r="W617" s="12">
        <f t="shared" si="7"/>
        <v>2597.77</v>
      </c>
      <c r="X617">
        <f>VLOOKUP(E617,[1]Sheet2!$A:$C,3,FALSE)</f>
        <v>1</v>
      </c>
      <c r="Y617">
        <v>2</v>
      </c>
    </row>
    <row r="618" spans="1:25" ht="40" customHeight="1">
      <c r="A618" s="5" t="s">
        <v>3199</v>
      </c>
      <c r="B618" s="6" t="s">
        <v>3200</v>
      </c>
      <c r="C618" s="7">
        <v>216812</v>
      </c>
      <c r="D618" s="6" t="s">
        <v>64</v>
      </c>
      <c r="E618" s="7" t="s">
        <v>3201</v>
      </c>
      <c r="F618" s="6"/>
      <c r="G618" s="6" t="s">
        <v>589</v>
      </c>
      <c r="H618" s="6" t="s">
        <v>3202</v>
      </c>
      <c r="I618" s="6" t="s">
        <v>417</v>
      </c>
      <c r="J618" s="6" t="s">
        <v>3203</v>
      </c>
      <c r="K618" s="6" t="s">
        <v>598</v>
      </c>
      <c r="L618" s="6" t="s">
        <v>592</v>
      </c>
      <c r="M618" s="6" t="s">
        <v>3204</v>
      </c>
      <c r="N618" s="6" t="s">
        <v>3098</v>
      </c>
      <c r="O618" s="6" t="s">
        <v>3205</v>
      </c>
      <c r="P618" s="6"/>
      <c r="Q618" s="8">
        <v>200</v>
      </c>
      <c r="R618" s="8">
        <v>200.6</v>
      </c>
      <c r="S618" s="8">
        <v>399.9</v>
      </c>
      <c r="T618" s="8">
        <v>14</v>
      </c>
      <c r="U618" s="8">
        <v>1</v>
      </c>
      <c r="V618" s="8">
        <f t="shared" si="6"/>
        <v>14</v>
      </c>
      <c r="W618" s="12">
        <f t="shared" si="7"/>
        <v>2808.4</v>
      </c>
      <c r="Y618">
        <v>1</v>
      </c>
    </row>
    <row r="619" spans="1:25" ht="40" customHeight="1">
      <c r="A619" s="5" t="s">
        <v>3206</v>
      </c>
      <c r="B619" s="6" t="s">
        <v>3207</v>
      </c>
      <c r="C619" s="6">
        <v>216812</v>
      </c>
      <c r="D619" s="6" t="s">
        <v>1426</v>
      </c>
      <c r="E619" s="6" t="s">
        <v>3208</v>
      </c>
      <c r="F619" s="6"/>
      <c r="G619" s="6" t="s">
        <v>589</v>
      </c>
      <c r="H619" s="6" t="s">
        <v>3202</v>
      </c>
      <c r="I619" s="6" t="s">
        <v>417</v>
      </c>
      <c r="J619" s="6" t="s">
        <v>3203</v>
      </c>
      <c r="K619" s="6" t="s">
        <v>1430</v>
      </c>
      <c r="L619" s="6" t="s">
        <v>592</v>
      </c>
      <c r="M619" s="6" t="s">
        <v>3204</v>
      </c>
      <c r="N619" s="6" t="s">
        <v>3098</v>
      </c>
      <c r="O619" s="6" t="s">
        <v>3205</v>
      </c>
      <c r="P619" s="6"/>
      <c r="Q619" s="8">
        <v>200</v>
      </c>
      <c r="R619" s="8">
        <v>200.6</v>
      </c>
      <c r="S619" s="8">
        <v>399.9</v>
      </c>
      <c r="T619" s="8">
        <v>14</v>
      </c>
      <c r="U619" s="8">
        <v>1</v>
      </c>
      <c r="V619" s="8">
        <f t="shared" si="6"/>
        <v>14</v>
      </c>
      <c r="W619" s="12">
        <f t="shared" si="7"/>
        <v>2808.4</v>
      </c>
      <c r="Y619">
        <v>1</v>
      </c>
    </row>
    <row r="620" spans="1:25" ht="40" customHeight="1">
      <c r="A620" s="5" t="s">
        <v>3209</v>
      </c>
      <c r="B620" s="6" t="s">
        <v>3210</v>
      </c>
      <c r="C620" s="6">
        <v>216812</v>
      </c>
      <c r="D620" s="6" t="s">
        <v>1759</v>
      </c>
      <c r="E620" s="6" t="s">
        <v>3211</v>
      </c>
      <c r="F620" s="6"/>
      <c r="G620" s="6" t="s">
        <v>589</v>
      </c>
      <c r="H620" s="6" t="s">
        <v>3202</v>
      </c>
      <c r="I620" s="6" t="s">
        <v>417</v>
      </c>
      <c r="J620" s="6" t="s">
        <v>3203</v>
      </c>
      <c r="K620" s="6" t="s">
        <v>3212</v>
      </c>
      <c r="L620" s="6" t="s">
        <v>592</v>
      </c>
      <c r="M620" s="6" t="s">
        <v>3204</v>
      </c>
      <c r="N620" s="6" t="s">
        <v>3098</v>
      </c>
      <c r="O620" s="6" t="s">
        <v>3205</v>
      </c>
      <c r="P620" s="6"/>
      <c r="Q620" s="8">
        <v>200</v>
      </c>
      <c r="R620" s="8">
        <v>200.6</v>
      </c>
      <c r="S620" s="8">
        <v>399.9</v>
      </c>
      <c r="T620" s="8">
        <v>14</v>
      </c>
      <c r="U620" s="8">
        <v>1</v>
      </c>
      <c r="V620" s="8">
        <f t="shared" si="6"/>
        <v>14</v>
      </c>
      <c r="W620" s="12">
        <f t="shared" si="7"/>
        <v>2808.4</v>
      </c>
      <c r="Y620">
        <v>1</v>
      </c>
    </row>
    <row r="621" spans="1:25" ht="40" customHeight="1">
      <c r="A621" s="5" t="s">
        <v>3213</v>
      </c>
      <c r="B621" s="14" t="s">
        <v>3214</v>
      </c>
      <c r="C621" s="8" t="s">
        <v>3215</v>
      </c>
      <c r="D621" s="6" t="s">
        <v>27</v>
      </c>
      <c r="E621" s="8" t="s">
        <v>3216</v>
      </c>
      <c r="F621" s="6" t="s">
        <v>5</v>
      </c>
      <c r="G621" s="6" t="s">
        <v>589</v>
      </c>
      <c r="H621" s="6" t="s">
        <v>3202</v>
      </c>
      <c r="I621" s="6" t="s">
        <v>417</v>
      </c>
      <c r="J621" s="6" t="s">
        <v>3203</v>
      </c>
      <c r="K621" s="6" t="s">
        <v>996</v>
      </c>
      <c r="L621" s="6" t="s">
        <v>592</v>
      </c>
      <c r="M621" s="6" t="s">
        <v>3204</v>
      </c>
      <c r="N621" s="6" t="s">
        <v>3098</v>
      </c>
      <c r="O621" s="6" t="s">
        <v>3205</v>
      </c>
      <c r="P621" s="6"/>
      <c r="Q621" s="8">
        <v>200</v>
      </c>
      <c r="R621" s="8">
        <v>200.6</v>
      </c>
      <c r="S621" s="8">
        <v>399.9</v>
      </c>
      <c r="T621" s="8">
        <v>14</v>
      </c>
      <c r="U621" s="8"/>
      <c r="V621" s="8">
        <f t="shared" si="6"/>
        <v>0</v>
      </c>
      <c r="W621" s="12">
        <f t="shared" si="7"/>
        <v>0</v>
      </c>
      <c r="Y621">
        <v>0</v>
      </c>
    </row>
    <row r="622" spans="1:25" ht="40" customHeight="1">
      <c r="A622" s="5" t="s">
        <v>3217</v>
      </c>
      <c r="B622" s="6" t="s">
        <v>3218</v>
      </c>
      <c r="C622" s="6">
        <v>216816</v>
      </c>
      <c r="D622" s="6" t="s">
        <v>27</v>
      </c>
      <c r="E622" s="6" t="s">
        <v>3219</v>
      </c>
      <c r="F622" s="6"/>
      <c r="G622" s="6" t="s">
        <v>589</v>
      </c>
      <c r="H622" s="6" t="s">
        <v>3220</v>
      </c>
      <c r="I622" s="6" t="s">
        <v>417</v>
      </c>
      <c r="J622" s="6" t="s">
        <v>3221</v>
      </c>
      <c r="K622" s="6" t="s">
        <v>3109</v>
      </c>
      <c r="L622" s="6" t="s">
        <v>3222</v>
      </c>
      <c r="M622" s="6" t="s">
        <v>3223</v>
      </c>
      <c r="N622" s="6" t="s">
        <v>3098</v>
      </c>
      <c r="O622" s="6" t="s">
        <v>3224</v>
      </c>
      <c r="P622" s="6"/>
      <c r="Q622" s="8">
        <v>175</v>
      </c>
      <c r="R622" s="8">
        <v>175.52500000000001</v>
      </c>
      <c r="S622" s="8">
        <v>349.9</v>
      </c>
      <c r="T622" s="8">
        <v>14</v>
      </c>
      <c r="U622" s="8">
        <v>2</v>
      </c>
      <c r="V622" s="8">
        <f t="shared" si="6"/>
        <v>28</v>
      </c>
      <c r="W622" s="12">
        <f t="shared" si="7"/>
        <v>4914.7</v>
      </c>
      <c r="Y622">
        <v>2</v>
      </c>
    </row>
    <row r="623" spans="1:25" ht="40" customHeight="1">
      <c r="A623" s="5" t="s">
        <v>3225</v>
      </c>
      <c r="B623" s="6" t="s">
        <v>3226</v>
      </c>
      <c r="C623" s="6">
        <v>216816</v>
      </c>
      <c r="D623" s="6" t="s">
        <v>64</v>
      </c>
      <c r="E623" s="6" t="s">
        <v>3227</v>
      </c>
      <c r="F623" s="6"/>
      <c r="G623" s="6" t="s">
        <v>589</v>
      </c>
      <c r="H623" s="6" t="s">
        <v>3220</v>
      </c>
      <c r="I623" s="6" t="s">
        <v>417</v>
      </c>
      <c r="J623" s="6" t="s">
        <v>3221</v>
      </c>
      <c r="K623" s="6" t="s">
        <v>598</v>
      </c>
      <c r="L623" s="6" t="s">
        <v>3222</v>
      </c>
      <c r="M623" s="6" t="s">
        <v>3223</v>
      </c>
      <c r="N623" s="6" t="s">
        <v>3098</v>
      </c>
      <c r="O623" s="6" t="s">
        <v>3224</v>
      </c>
      <c r="P623" s="6"/>
      <c r="Q623" s="8">
        <v>175</v>
      </c>
      <c r="R623" s="8">
        <v>175.52500000000001</v>
      </c>
      <c r="S623" s="8">
        <v>349.9</v>
      </c>
      <c r="T623" s="8">
        <v>14</v>
      </c>
      <c r="U623" s="8"/>
      <c r="V623" s="8">
        <f t="shared" si="6"/>
        <v>0</v>
      </c>
      <c r="W623" s="12">
        <f t="shared" si="7"/>
        <v>0</v>
      </c>
      <c r="Y623">
        <v>0</v>
      </c>
    </row>
    <row r="624" spans="1:25" ht="40" customHeight="1">
      <c r="A624" s="5" t="s">
        <v>3228</v>
      </c>
      <c r="B624" s="6" t="s">
        <v>3229</v>
      </c>
      <c r="C624" s="6">
        <v>217017</v>
      </c>
      <c r="D624" s="6" t="s">
        <v>27</v>
      </c>
      <c r="E624" s="6" t="s">
        <v>3230</v>
      </c>
      <c r="F624" s="6"/>
      <c r="G624" s="6" t="s">
        <v>574</v>
      </c>
      <c r="H624" s="6" t="s">
        <v>3231</v>
      </c>
      <c r="I624" s="6" t="s">
        <v>417</v>
      </c>
      <c r="J624" s="6" t="s">
        <v>3232</v>
      </c>
      <c r="K624" s="6" t="s">
        <v>3109</v>
      </c>
      <c r="L624" s="6" t="s">
        <v>578</v>
      </c>
      <c r="M624" s="6" t="s">
        <v>3233</v>
      </c>
      <c r="N624" s="6" t="s">
        <v>3098</v>
      </c>
      <c r="O624" s="6" t="s">
        <v>581</v>
      </c>
      <c r="P624" s="6"/>
      <c r="Q624" s="8">
        <v>200</v>
      </c>
      <c r="R624" s="8">
        <v>200.6</v>
      </c>
      <c r="S624" s="8">
        <v>399.9</v>
      </c>
      <c r="T624" s="8">
        <v>14</v>
      </c>
      <c r="U624" s="8">
        <v>1</v>
      </c>
      <c r="V624" s="8">
        <f t="shared" si="6"/>
        <v>14</v>
      </c>
      <c r="W624" s="12">
        <f t="shared" si="7"/>
        <v>2808.4</v>
      </c>
      <c r="Y624">
        <v>1</v>
      </c>
    </row>
    <row r="625" spans="1:25" ht="40" customHeight="1">
      <c r="A625" s="5" t="s">
        <v>3234</v>
      </c>
      <c r="B625" s="6" t="s">
        <v>3235</v>
      </c>
      <c r="C625" s="6">
        <v>217017</v>
      </c>
      <c r="D625" s="6" t="s">
        <v>64</v>
      </c>
      <c r="E625" s="6" t="s">
        <v>3236</v>
      </c>
      <c r="F625" s="6"/>
      <c r="G625" s="6" t="s">
        <v>574</v>
      </c>
      <c r="H625" s="6" t="s">
        <v>3231</v>
      </c>
      <c r="I625" s="6" t="s">
        <v>417</v>
      </c>
      <c r="J625" s="6" t="s">
        <v>3232</v>
      </c>
      <c r="K625" s="6" t="s">
        <v>598</v>
      </c>
      <c r="L625" s="6" t="s">
        <v>578</v>
      </c>
      <c r="M625" s="6" t="s">
        <v>3233</v>
      </c>
      <c r="N625" s="6" t="s">
        <v>3098</v>
      </c>
      <c r="O625" s="6" t="s">
        <v>581</v>
      </c>
      <c r="P625" s="6"/>
      <c r="Q625" s="8">
        <v>200</v>
      </c>
      <c r="R625" s="8">
        <v>200.6</v>
      </c>
      <c r="S625" s="8">
        <v>399.9</v>
      </c>
      <c r="T625" s="8">
        <v>14</v>
      </c>
      <c r="U625" s="8">
        <v>1</v>
      </c>
      <c r="V625" s="8">
        <f t="shared" si="6"/>
        <v>14</v>
      </c>
      <c r="W625" s="12">
        <f t="shared" si="7"/>
        <v>2808.4</v>
      </c>
      <c r="Y625">
        <v>1</v>
      </c>
    </row>
    <row r="626" spans="1:25" ht="40" customHeight="1">
      <c r="A626" s="5" t="s">
        <v>3237</v>
      </c>
      <c r="B626" s="6" t="s">
        <v>3238</v>
      </c>
      <c r="C626" s="6">
        <v>217017</v>
      </c>
      <c r="D626" s="6" t="s">
        <v>3239</v>
      </c>
      <c r="E626" s="6" t="s">
        <v>3240</v>
      </c>
      <c r="F626" s="6"/>
      <c r="G626" s="6" t="s">
        <v>574</v>
      </c>
      <c r="H626" s="6" t="s">
        <v>3231</v>
      </c>
      <c r="I626" s="6" t="s">
        <v>417</v>
      </c>
      <c r="J626" s="6" t="s">
        <v>3232</v>
      </c>
      <c r="K626" s="6" t="s">
        <v>3241</v>
      </c>
      <c r="L626" s="6" t="s">
        <v>578</v>
      </c>
      <c r="M626" s="6" t="s">
        <v>3233</v>
      </c>
      <c r="N626" s="6" t="s">
        <v>3098</v>
      </c>
      <c r="O626" s="6" t="s">
        <v>581</v>
      </c>
      <c r="P626" s="6"/>
      <c r="Q626" s="8">
        <v>200</v>
      </c>
      <c r="R626" s="8">
        <v>200.6</v>
      </c>
      <c r="S626" s="8">
        <v>399.9</v>
      </c>
      <c r="T626" s="8">
        <v>14</v>
      </c>
      <c r="U626" s="8">
        <v>1</v>
      </c>
      <c r="V626" s="8">
        <f t="shared" si="6"/>
        <v>14</v>
      </c>
      <c r="W626" s="12">
        <f t="shared" si="7"/>
        <v>2808.4</v>
      </c>
      <c r="Y626">
        <v>1</v>
      </c>
    </row>
    <row r="627" spans="1:25" ht="40" customHeight="1">
      <c r="A627" s="5" t="s">
        <v>3242</v>
      </c>
      <c r="B627" s="6" t="s">
        <v>3243</v>
      </c>
      <c r="C627" s="6">
        <v>217020</v>
      </c>
      <c r="D627" s="6" t="s">
        <v>27</v>
      </c>
      <c r="E627" s="6" t="s">
        <v>3244</v>
      </c>
      <c r="F627" s="6"/>
      <c r="G627" s="6" t="s">
        <v>574</v>
      </c>
      <c r="H627" s="6" t="s">
        <v>3245</v>
      </c>
      <c r="I627" s="6" t="s">
        <v>417</v>
      </c>
      <c r="J627" s="6" t="s">
        <v>3246</v>
      </c>
      <c r="K627" s="6" t="s">
        <v>744</v>
      </c>
      <c r="L627" s="6" t="s">
        <v>3247</v>
      </c>
      <c r="M627" s="6" t="s">
        <v>3248</v>
      </c>
      <c r="N627" s="6" t="s">
        <v>3098</v>
      </c>
      <c r="O627" s="6" t="s">
        <v>3249</v>
      </c>
      <c r="P627" s="6"/>
      <c r="Q627" s="8">
        <v>175</v>
      </c>
      <c r="R627" s="8">
        <v>175.52500000000001</v>
      </c>
      <c r="S627" s="8">
        <v>349.9</v>
      </c>
      <c r="T627" s="8">
        <v>14</v>
      </c>
      <c r="U627" s="8">
        <v>1</v>
      </c>
      <c r="V627" s="8">
        <f t="shared" si="6"/>
        <v>14</v>
      </c>
      <c r="W627" s="12">
        <f t="shared" si="7"/>
        <v>2457.35</v>
      </c>
      <c r="Y627">
        <v>1</v>
      </c>
    </row>
    <row r="628" spans="1:25" ht="40" customHeight="1">
      <c r="A628" s="5" t="s">
        <v>3250</v>
      </c>
      <c r="B628" s="6" t="s">
        <v>3251</v>
      </c>
      <c r="C628" s="6">
        <v>217020</v>
      </c>
      <c r="D628" s="6" t="s">
        <v>64</v>
      </c>
      <c r="E628" s="6" t="s">
        <v>3252</v>
      </c>
      <c r="F628" s="6"/>
      <c r="G628" s="6" t="s">
        <v>574</v>
      </c>
      <c r="H628" s="6" t="s">
        <v>3245</v>
      </c>
      <c r="I628" s="6" t="s">
        <v>417</v>
      </c>
      <c r="J628" s="6" t="s">
        <v>3246</v>
      </c>
      <c r="K628" s="6" t="s">
        <v>598</v>
      </c>
      <c r="L628" s="6" t="s">
        <v>3247</v>
      </c>
      <c r="M628" s="6" t="s">
        <v>3248</v>
      </c>
      <c r="N628" s="6" t="s">
        <v>3098</v>
      </c>
      <c r="O628" s="6" t="s">
        <v>3249</v>
      </c>
      <c r="P628" s="6"/>
      <c r="Q628" s="8">
        <v>175</v>
      </c>
      <c r="R628" s="8">
        <v>175.52500000000001</v>
      </c>
      <c r="S628" s="8">
        <v>349.9</v>
      </c>
      <c r="T628" s="8">
        <v>14</v>
      </c>
      <c r="U628" s="8">
        <v>1</v>
      </c>
      <c r="V628" s="8">
        <f t="shared" si="6"/>
        <v>14</v>
      </c>
      <c r="W628" s="12">
        <f t="shared" si="7"/>
        <v>2457.35</v>
      </c>
      <c r="Y628">
        <v>1</v>
      </c>
    </row>
    <row r="629" spans="1:25" ht="40" customHeight="1">
      <c r="A629" s="5" t="s">
        <v>3253</v>
      </c>
      <c r="B629" s="6" t="s">
        <v>3254</v>
      </c>
      <c r="C629" s="6">
        <v>217020</v>
      </c>
      <c r="D629" s="6" t="s">
        <v>142</v>
      </c>
      <c r="E629" s="6" t="s">
        <v>3255</v>
      </c>
      <c r="F629" s="6"/>
      <c r="G629" s="6" t="s">
        <v>574</v>
      </c>
      <c r="H629" s="6" t="s">
        <v>3245</v>
      </c>
      <c r="I629" s="6" t="s">
        <v>417</v>
      </c>
      <c r="J629" s="6" t="s">
        <v>3246</v>
      </c>
      <c r="K629" s="6" t="s">
        <v>3256</v>
      </c>
      <c r="L629" s="6" t="s">
        <v>3247</v>
      </c>
      <c r="M629" s="6" t="s">
        <v>3248</v>
      </c>
      <c r="N629" s="6" t="s">
        <v>3098</v>
      </c>
      <c r="O629" s="6" t="s">
        <v>3249</v>
      </c>
      <c r="P629" s="6"/>
      <c r="Q629" s="8">
        <v>175</v>
      </c>
      <c r="R629" s="8">
        <v>175.52500000000001</v>
      </c>
      <c r="S629" s="8">
        <v>349.9</v>
      </c>
      <c r="T629" s="8">
        <v>14</v>
      </c>
      <c r="U629" s="8">
        <v>1</v>
      </c>
      <c r="V629" s="8">
        <f t="shared" si="6"/>
        <v>14</v>
      </c>
      <c r="W629" s="12">
        <f t="shared" si="7"/>
        <v>2457.35</v>
      </c>
      <c r="Y629">
        <v>1</v>
      </c>
    </row>
    <row r="630" spans="1:25" ht="40" customHeight="1">
      <c r="A630" s="5" t="s">
        <v>3257</v>
      </c>
      <c r="B630" s="6" t="s">
        <v>3258</v>
      </c>
      <c r="C630" s="6">
        <v>217020</v>
      </c>
      <c r="D630" s="6" t="s">
        <v>3239</v>
      </c>
      <c r="E630" s="6" t="s">
        <v>3259</v>
      </c>
      <c r="F630" s="6"/>
      <c r="G630" s="6" t="s">
        <v>574</v>
      </c>
      <c r="H630" s="6" t="s">
        <v>3245</v>
      </c>
      <c r="I630" s="6" t="s">
        <v>417</v>
      </c>
      <c r="J630" s="6" t="s">
        <v>3246</v>
      </c>
      <c r="K630" s="6" t="s">
        <v>3241</v>
      </c>
      <c r="L630" s="6" t="s">
        <v>3247</v>
      </c>
      <c r="M630" s="6" t="s">
        <v>3248</v>
      </c>
      <c r="N630" s="6" t="s">
        <v>3098</v>
      </c>
      <c r="O630" s="6" t="s">
        <v>3249</v>
      </c>
      <c r="P630" s="6"/>
      <c r="Q630" s="8">
        <v>175</v>
      </c>
      <c r="R630" s="8">
        <v>175.52500000000001</v>
      </c>
      <c r="S630" s="8">
        <v>349.9</v>
      </c>
      <c r="T630" s="8">
        <v>14</v>
      </c>
      <c r="U630" s="8">
        <v>1</v>
      </c>
      <c r="V630" s="8">
        <f t="shared" si="6"/>
        <v>14</v>
      </c>
      <c r="W630" s="12">
        <f t="shared" si="7"/>
        <v>2457.35</v>
      </c>
      <c r="Y630">
        <v>1</v>
      </c>
    </row>
    <row r="631" spans="1:25" ht="40" customHeight="1">
      <c r="A631" s="5" t="s">
        <v>3260</v>
      </c>
      <c r="B631" s="6" t="s">
        <v>3261</v>
      </c>
      <c r="C631" s="6">
        <v>217020</v>
      </c>
      <c r="D631" s="6" t="s">
        <v>126</v>
      </c>
      <c r="E631" s="6" t="s">
        <v>3262</v>
      </c>
      <c r="F631" s="6"/>
      <c r="G631" s="6" t="s">
        <v>574</v>
      </c>
      <c r="H631" s="6" t="s">
        <v>3245</v>
      </c>
      <c r="I631" s="6" t="s">
        <v>417</v>
      </c>
      <c r="J631" s="6" t="s">
        <v>3246</v>
      </c>
      <c r="K631" s="6" t="s">
        <v>682</v>
      </c>
      <c r="L631" s="6" t="s">
        <v>3247</v>
      </c>
      <c r="M631" s="6" t="s">
        <v>3248</v>
      </c>
      <c r="N631" s="6" t="s">
        <v>3098</v>
      </c>
      <c r="O631" s="6" t="s">
        <v>3249</v>
      </c>
      <c r="P631" s="6"/>
      <c r="Q631" s="8">
        <v>175</v>
      </c>
      <c r="R631" s="8">
        <v>175.52500000000001</v>
      </c>
      <c r="S631" s="8">
        <v>349.9</v>
      </c>
      <c r="T631" s="8">
        <v>14</v>
      </c>
      <c r="U631" s="8"/>
      <c r="V631" s="8">
        <f t="shared" si="6"/>
        <v>0</v>
      </c>
      <c r="W631" s="12">
        <f t="shared" si="7"/>
        <v>0</v>
      </c>
      <c r="Y631">
        <v>0</v>
      </c>
    </row>
    <row r="632" spans="1:25" ht="40" customHeight="1">
      <c r="A632" s="5" t="s">
        <v>3263</v>
      </c>
      <c r="B632" s="6" t="s">
        <v>3264</v>
      </c>
      <c r="C632" s="6">
        <v>217086</v>
      </c>
      <c r="D632" s="6" t="s">
        <v>27</v>
      </c>
      <c r="E632" s="6" t="s">
        <v>3265</v>
      </c>
      <c r="F632" s="6"/>
      <c r="G632" s="6" t="s">
        <v>705</v>
      </c>
      <c r="H632" s="6" t="s">
        <v>215</v>
      </c>
      <c r="I632" s="6" t="s">
        <v>417</v>
      </c>
      <c r="J632" s="6" t="s">
        <v>3266</v>
      </c>
      <c r="K632" s="6" t="s">
        <v>3109</v>
      </c>
      <c r="L632" s="6" t="s">
        <v>54</v>
      </c>
      <c r="M632" s="6" t="s">
        <v>54</v>
      </c>
      <c r="N632" s="6" t="s">
        <v>3098</v>
      </c>
      <c r="O632" s="6" t="s">
        <v>3267</v>
      </c>
      <c r="P632" s="6"/>
      <c r="Q632" s="8">
        <v>125</v>
      </c>
      <c r="R632" s="8">
        <v>125.375</v>
      </c>
      <c r="S632" s="8">
        <v>249.9</v>
      </c>
      <c r="T632" s="8">
        <v>14</v>
      </c>
      <c r="U632" s="8">
        <v>2</v>
      </c>
      <c r="V632" s="8">
        <f t="shared" si="6"/>
        <v>28</v>
      </c>
      <c r="W632" s="12">
        <f t="shared" si="7"/>
        <v>3510.5</v>
      </c>
      <c r="Y632">
        <v>2</v>
      </c>
    </row>
    <row r="633" spans="1:25" ht="40" customHeight="1">
      <c r="A633" s="5" t="s">
        <v>3268</v>
      </c>
      <c r="B633" s="6" t="s">
        <v>3269</v>
      </c>
      <c r="C633" s="6">
        <v>217086</v>
      </c>
      <c r="D633" s="6" t="s">
        <v>445</v>
      </c>
      <c r="E633" s="6" t="s">
        <v>3270</v>
      </c>
      <c r="F633" s="6"/>
      <c r="G633" s="6" t="s">
        <v>705</v>
      </c>
      <c r="H633" s="6" t="s">
        <v>215</v>
      </c>
      <c r="I633" s="6" t="s">
        <v>417</v>
      </c>
      <c r="J633" s="6" t="s">
        <v>3266</v>
      </c>
      <c r="K633" s="6" t="s">
        <v>3271</v>
      </c>
      <c r="L633" s="6" t="s">
        <v>54</v>
      </c>
      <c r="M633" s="6" t="s">
        <v>54</v>
      </c>
      <c r="N633" s="6" t="s">
        <v>3098</v>
      </c>
      <c r="O633" s="6" t="s">
        <v>3267</v>
      </c>
      <c r="P633" s="6"/>
      <c r="Q633" s="8">
        <v>125</v>
      </c>
      <c r="R633" s="8">
        <v>125.375</v>
      </c>
      <c r="S633" s="8">
        <v>249.9</v>
      </c>
      <c r="T633" s="8">
        <v>14</v>
      </c>
      <c r="U633" s="8">
        <v>2</v>
      </c>
      <c r="V633" s="8">
        <f t="shared" si="6"/>
        <v>28</v>
      </c>
      <c r="W633" s="12">
        <f t="shared" si="7"/>
        <v>3510.5</v>
      </c>
      <c r="Y633">
        <v>2</v>
      </c>
    </row>
    <row r="634" spans="1:25" ht="40" customHeight="1">
      <c r="A634" s="5" t="s">
        <v>3272</v>
      </c>
      <c r="B634" s="6" t="s">
        <v>3273</v>
      </c>
      <c r="C634" s="6">
        <v>217086</v>
      </c>
      <c r="D634" s="6" t="s">
        <v>45</v>
      </c>
      <c r="E634" s="6" t="s">
        <v>3274</v>
      </c>
      <c r="F634" s="6"/>
      <c r="G634" s="6" t="s">
        <v>705</v>
      </c>
      <c r="H634" s="6" t="s">
        <v>215</v>
      </c>
      <c r="I634" s="6" t="s">
        <v>417</v>
      </c>
      <c r="J634" s="6" t="s">
        <v>3266</v>
      </c>
      <c r="K634" s="6" t="s">
        <v>819</v>
      </c>
      <c r="L634" s="6" t="s">
        <v>54</v>
      </c>
      <c r="M634" s="6" t="s">
        <v>54</v>
      </c>
      <c r="N634" s="6" t="s">
        <v>3098</v>
      </c>
      <c r="O634" s="6" t="s">
        <v>3267</v>
      </c>
      <c r="P634" s="6"/>
      <c r="Q634" s="8">
        <v>125</v>
      </c>
      <c r="R634" s="8">
        <v>125.375</v>
      </c>
      <c r="S634" s="8">
        <v>249.9</v>
      </c>
      <c r="T634" s="8">
        <v>14</v>
      </c>
      <c r="U634" s="8"/>
      <c r="V634" s="8">
        <f t="shared" si="6"/>
        <v>0</v>
      </c>
      <c r="W634" s="12">
        <f t="shared" si="7"/>
        <v>0</v>
      </c>
      <c r="Y634">
        <v>0</v>
      </c>
    </row>
    <row r="635" spans="1:25" ht="40" customHeight="1">
      <c r="A635" s="5" t="s">
        <v>3275</v>
      </c>
      <c r="B635" s="6" t="s">
        <v>3276</v>
      </c>
      <c r="C635" s="6">
        <v>217087</v>
      </c>
      <c r="D635" s="6" t="s">
        <v>27</v>
      </c>
      <c r="E635" s="6" t="s">
        <v>3277</v>
      </c>
      <c r="F635" s="6"/>
      <c r="G635" s="6" t="s">
        <v>705</v>
      </c>
      <c r="H635" s="6" t="s">
        <v>3278</v>
      </c>
      <c r="I635" s="6" t="s">
        <v>417</v>
      </c>
      <c r="J635" s="6" t="s">
        <v>616</v>
      </c>
      <c r="K635" s="6" t="s">
        <v>3109</v>
      </c>
      <c r="L635" s="6" t="s">
        <v>54</v>
      </c>
      <c r="M635" s="6" t="s">
        <v>54</v>
      </c>
      <c r="N635" s="6" t="s">
        <v>3098</v>
      </c>
      <c r="O635" s="6" t="s">
        <v>3279</v>
      </c>
      <c r="P635" s="6"/>
      <c r="Q635" s="8">
        <v>150</v>
      </c>
      <c r="R635" s="8">
        <v>150.44999999999999</v>
      </c>
      <c r="S635" s="8">
        <v>299.89999999999998</v>
      </c>
      <c r="T635" s="8">
        <v>14</v>
      </c>
      <c r="U635" s="8"/>
      <c r="V635" s="8">
        <f t="shared" si="6"/>
        <v>0</v>
      </c>
      <c r="W635" s="12">
        <f t="shared" si="7"/>
        <v>0</v>
      </c>
      <c r="Y635">
        <v>0</v>
      </c>
    </row>
    <row r="636" spans="1:25" ht="40" customHeight="1">
      <c r="A636" s="5" t="s">
        <v>3280</v>
      </c>
      <c r="B636" s="6" t="s">
        <v>3281</v>
      </c>
      <c r="C636" s="6">
        <v>217087</v>
      </c>
      <c r="D636" s="6" t="s">
        <v>64</v>
      </c>
      <c r="E636" s="6" t="s">
        <v>3282</v>
      </c>
      <c r="F636" s="6"/>
      <c r="G636" s="6" t="s">
        <v>705</v>
      </c>
      <c r="H636" s="6" t="s">
        <v>3278</v>
      </c>
      <c r="I636" s="6" t="s">
        <v>417</v>
      </c>
      <c r="J636" s="6" t="s">
        <v>616</v>
      </c>
      <c r="K636" s="6" t="s">
        <v>598</v>
      </c>
      <c r="L636" s="6" t="s">
        <v>54</v>
      </c>
      <c r="M636" s="6" t="s">
        <v>54</v>
      </c>
      <c r="N636" s="6" t="s">
        <v>3098</v>
      </c>
      <c r="O636" s="6" t="s">
        <v>3279</v>
      </c>
      <c r="P636" s="6"/>
      <c r="Q636" s="8">
        <v>150</v>
      </c>
      <c r="R636" s="8">
        <v>150.44999999999999</v>
      </c>
      <c r="S636" s="8">
        <v>299.89999999999998</v>
      </c>
      <c r="T636" s="8">
        <v>14</v>
      </c>
      <c r="U636" s="8">
        <v>1</v>
      </c>
      <c r="V636" s="8">
        <f t="shared" si="6"/>
        <v>14</v>
      </c>
      <c r="W636" s="12">
        <f t="shared" si="7"/>
        <v>2106.3000000000002</v>
      </c>
      <c r="Y636">
        <v>1</v>
      </c>
    </row>
    <row r="637" spans="1:25" ht="40" customHeight="1">
      <c r="A637" s="5" t="s">
        <v>3283</v>
      </c>
      <c r="B637" s="6" t="s">
        <v>3284</v>
      </c>
      <c r="C637" s="6">
        <v>217087</v>
      </c>
      <c r="D637" s="6" t="s">
        <v>1699</v>
      </c>
      <c r="E637" s="6" t="s">
        <v>3285</v>
      </c>
      <c r="F637" s="6"/>
      <c r="G637" s="6" t="s">
        <v>705</v>
      </c>
      <c r="H637" s="6" t="s">
        <v>3278</v>
      </c>
      <c r="I637" s="6" t="s">
        <v>417</v>
      </c>
      <c r="J637" s="6" t="s">
        <v>616</v>
      </c>
      <c r="K637" s="6" t="s">
        <v>3286</v>
      </c>
      <c r="L637" s="6" t="s">
        <v>54</v>
      </c>
      <c r="M637" s="6" t="s">
        <v>54</v>
      </c>
      <c r="N637" s="6" t="s">
        <v>3098</v>
      </c>
      <c r="O637" s="6" t="s">
        <v>3279</v>
      </c>
      <c r="P637" s="6"/>
      <c r="Q637" s="8">
        <v>150</v>
      </c>
      <c r="R637" s="8">
        <v>150.44999999999999</v>
      </c>
      <c r="S637" s="8">
        <v>299.89999999999998</v>
      </c>
      <c r="T637" s="8">
        <v>14</v>
      </c>
      <c r="U637" s="8">
        <v>1</v>
      </c>
      <c r="V637" s="8">
        <f t="shared" si="6"/>
        <v>14</v>
      </c>
      <c r="W637" s="12">
        <f t="shared" si="7"/>
        <v>2106.3000000000002</v>
      </c>
      <c r="Y637">
        <v>1</v>
      </c>
    </row>
    <row r="638" spans="1:25" ht="40" customHeight="1">
      <c r="A638" s="5" t="s">
        <v>3287</v>
      </c>
      <c r="B638" s="6" t="s">
        <v>3288</v>
      </c>
      <c r="C638" s="6">
        <v>217113</v>
      </c>
      <c r="D638" s="6" t="s">
        <v>27</v>
      </c>
      <c r="E638" s="6" t="s">
        <v>3289</v>
      </c>
      <c r="F638" s="6"/>
      <c r="G638" s="6" t="s">
        <v>848</v>
      </c>
      <c r="H638" s="6" t="s">
        <v>3290</v>
      </c>
      <c r="I638" s="6" t="s">
        <v>417</v>
      </c>
      <c r="J638" s="6" t="s">
        <v>3291</v>
      </c>
      <c r="K638" s="6" t="s">
        <v>3109</v>
      </c>
      <c r="L638" s="6" t="s">
        <v>3292</v>
      </c>
      <c r="M638" s="6" t="s">
        <v>3293</v>
      </c>
      <c r="N638" s="6" t="s">
        <v>3098</v>
      </c>
      <c r="O638" s="6" t="s">
        <v>3294</v>
      </c>
      <c r="P638" s="6"/>
      <c r="Q638" s="8">
        <v>150</v>
      </c>
      <c r="R638" s="8">
        <v>150.44999999999999</v>
      </c>
      <c r="S638" s="8">
        <v>299.89999999999998</v>
      </c>
      <c r="T638" s="8">
        <v>14</v>
      </c>
      <c r="U638" s="8"/>
      <c r="V638" s="8">
        <f t="shared" si="6"/>
        <v>0</v>
      </c>
      <c r="W638" s="12">
        <f t="shared" si="7"/>
        <v>0</v>
      </c>
      <c r="Y638">
        <v>0</v>
      </c>
    </row>
    <row r="639" spans="1:25" ht="40" customHeight="1">
      <c r="A639" s="6" t="s">
        <v>3295</v>
      </c>
      <c r="B639" s="6" t="s">
        <v>3296</v>
      </c>
      <c r="C639" s="6">
        <v>217113</v>
      </c>
      <c r="D639" s="6" t="s">
        <v>64</v>
      </c>
      <c r="E639" s="6" t="s">
        <v>3297</v>
      </c>
      <c r="F639" s="6"/>
      <c r="G639" s="6" t="s">
        <v>848</v>
      </c>
      <c r="H639" s="6" t="s">
        <v>3290</v>
      </c>
      <c r="I639" s="6" t="s">
        <v>417</v>
      </c>
      <c r="J639" s="6" t="s">
        <v>3291</v>
      </c>
      <c r="K639" s="6" t="s">
        <v>598</v>
      </c>
      <c r="L639" s="6" t="s">
        <v>3292</v>
      </c>
      <c r="M639" s="6" t="s">
        <v>3293</v>
      </c>
      <c r="N639" s="6" t="s">
        <v>3098</v>
      </c>
      <c r="O639" s="6" t="s">
        <v>3294</v>
      </c>
      <c r="P639" s="6"/>
      <c r="Q639" s="8">
        <v>150</v>
      </c>
      <c r="R639" s="8">
        <v>150.44999999999999</v>
      </c>
      <c r="S639" s="8">
        <v>299.89999999999998</v>
      </c>
      <c r="T639" s="8">
        <v>14</v>
      </c>
      <c r="U639" s="8"/>
      <c r="V639" s="8">
        <f t="shared" si="6"/>
        <v>0</v>
      </c>
      <c r="W639" s="12">
        <f t="shared" si="7"/>
        <v>0</v>
      </c>
      <c r="Y639">
        <v>0</v>
      </c>
    </row>
    <row r="640" spans="1:25" ht="40" customHeight="1">
      <c r="A640" s="5" t="s">
        <v>3298</v>
      </c>
      <c r="B640" s="6" t="s">
        <v>3299</v>
      </c>
      <c r="C640" s="6">
        <v>217113</v>
      </c>
      <c r="D640" s="6" t="s">
        <v>45</v>
      </c>
      <c r="E640" s="6" t="s">
        <v>3300</v>
      </c>
      <c r="F640" s="6"/>
      <c r="G640" s="6" t="s">
        <v>848</v>
      </c>
      <c r="H640" s="6" t="s">
        <v>3290</v>
      </c>
      <c r="I640" s="6" t="s">
        <v>417</v>
      </c>
      <c r="J640" s="6" t="s">
        <v>3291</v>
      </c>
      <c r="K640" s="6" t="s">
        <v>819</v>
      </c>
      <c r="L640" s="6" t="s">
        <v>3292</v>
      </c>
      <c r="M640" s="6" t="s">
        <v>3293</v>
      </c>
      <c r="N640" s="6" t="s">
        <v>3098</v>
      </c>
      <c r="O640" s="6" t="s">
        <v>3294</v>
      </c>
      <c r="P640" s="6"/>
      <c r="Q640" s="8">
        <v>150</v>
      </c>
      <c r="R640" s="8">
        <v>150.44999999999999</v>
      </c>
      <c r="S640" s="8">
        <v>299.89999999999998</v>
      </c>
      <c r="T640" s="8">
        <v>14</v>
      </c>
      <c r="U640" s="8"/>
      <c r="V640" s="8">
        <f t="shared" si="6"/>
        <v>0</v>
      </c>
      <c r="W640" s="12">
        <f t="shared" si="7"/>
        <v>0</v>
      </c>
      <c r="Y640">
        <v>0</v>
      </c>
    </row>
    <row r="641" spans="1:25" ht="40" customHeight="1">
      <c r="A641" s="6" t="s">
        <v>3301</v>
      </c>
      <c r="B641" s="6" t="s">
        <v>3302</v>
      </c>
      <c r="C641" s="6">
        <v>217113</v>
      </c>
      <c r="D641" s="6" t="s">
        <v>126</v>
      </c>
      <c r="E641" s="6" t="s">
        <v>3303</v>
      </c>
      <c r="F641" s="6"/>
      <c r="G641" s="6" t="s">
        <v>848</v>
      </c>
      <c r="H641" s="6" t="s">
        <v>3290</v>
      </c>
      <c r="I641" s="6" t="s">
        <v>417</v>
      </c>
      <c r="J641" s="6" t="s">
        <v>3291</v>
      </c>
      <c r="K641" s="6" t="s">
        <v>682</v>
      </c>
      <c r="L641" s="6" t="s">
        <v>3292</v>
      </c>
      <c r="M641" s="6" t="s">
        <v>3293</v>
      </c>
      <c r="N641" s="6" t="s">
        <v>3098</v>
      </c>
      <c r="O641" s="6" t="s">
        <v>3294</v>
      </c>
      <c r="P641" s="6"/>
      <c r="Q641" s="8">
        <v>150</v>
      </c>
      <c r="R641" s="8">
        <v>150.44999999999999</v>
      </c>
      <c r="S641" s="8">
        <v>299.89999999999998</v>
      </c>
      <c r="T641" s="8">
        <v>14</v>
      </c>
      <c r="U641" s="8"/>
      <c r="V641" s="8">
        <f t="shared" si="6"/>
        <v>0</v>
      </c>
      <c r="W641" s="12">
        <f t="shared" si="7"/>
        <v>0</v>
      </c>
      <c r="Y641">
        <v>0</v>
      </c>
    </row>
    <row r="642" spans="1:25" ht="40" customHeight="1">
      <c r="A642" s="5" t="s">
        <v>3304</v>
      </c>
      <c r="B642" s="6" t="s">
        <v>3305</v>
      </c>
      <c r="C642" s="7">
        <v>217128</v>
      </c>
      <c r="D642" s="6" t="s">
        <v>64</v>
      </c>
      <c r="E642" s="7" t="s">
        <v>3306</v>
      </c>
      <c r="F642" s="6"/>
      <c r="G642" s="6" t="s">
        <v>749</v>
      </c>
      <c r="H642" s="6" t="s">
        <v>3307</v>
      </c>
      <c r="I642" s="6" t="s">
        <v>417</v>
      </c>
      <c r="J642" s="6" t="s">
        <v>3308</v>
      </c>
      <c r="K642" s="6" t="s">
        <v>598</v>
      </c>
      <c r="L642" s="6" t="s">
        <v>3309</v>
      </c>
      <c r="M642" s="6" t="s">
        <v>3310</v>
      </c>
      <c r="N642" s="6" t="s">
        <v>3098</v>
      </c>
      <c r="O642" s="6" t="s">
        <v>3311</v>
      </c>
      <c r="P642" s="6"/>
      <c r="Q642" s="8">
        <v>185</v>
      </c>
      <c r="R642" s="8">
        <v>185.55500000000001</v>
      </c>
      <c r="S642" s="8">
        <v>369.9</v>
      </c>
      <c r="T642" s="8">
        <v>14</v>
      </c>
      <c r="U642" s="8">
        <v>1</v>
      </c>
      <c r="V642" s="8">
        <f t="shared" si="6"/>
        <v>14</v>
      </c>
      <c r="W642" s="12">
        <f t="shared" si="7"/>
        <v>2597.77</v>
      </c>
      <c r="Y642">
        <v>1</v>
      </c>
    </row>
    <row r="643" spans="1:25" ht="40" customHeight="1">
      <c r="A643" s="5" t="s">
        <v>3312</v>
      </c>
      <c r="B643" s="6" t="s">
        <v>3313</v>
      </c>
      <c r="C643" s="6">
        <v>217128</v>
      </c>
      <c r="D643" s="6" t="s">
        <v>3314</v>
      </c>
      <c r="E643" s="6" t="s">
        <v>3315</v>
      </c>
      <c r="F643" s="6"/>
      <c r="G643" s="6" t="s">
        <v>749</v>
      </c>
      <c r="H643" s="6" t="s">
        <v>3307</v>
      </c>
      <c r="I643" s="6" t="s">
        <v>417</v>
      </c>
      <c r="J643" s="6" t="s">
        <v>3308</v>
      </c>
      <c r="K643" s="6" t="s">
        <v>3316</v>
      </c>
      <c r="L643" s="6" t="s">
        <v>3309</v>
      </c>
      <c r="M643" s="6" t="s">
        <v>3310</v>
      </c>
      <c r="N643" s="6" t="s">
        <v>3098</v>
      </c>
      <c r="O643" s="6" t="s">
        <v>3311</v>
      </c>
      <c r="P643" s="6"/>
      <c r="Q643" s="8">
        <v>185</v>
      </c>
      <c r="R643" s="8">
        <v>185.55500000000001</v>
      </c>
      <c r="S643" s="8">
        <v>369.9</v>
      </c>
      <c r="T643" s="8">
        <v>14</v>
      </c>
      <c r="U643" s="8"/>
      <c r="V643" s="8">
        <f t="shared" si="6"/>
        <v>0</v>
      </c>
      <c r="W643" s="12">
        <f t="shared" si="7"/>
        <v>0</v>
      </c>
      <c r="Y643">
        <v>0</v>
      </c>
    </row>
    <row r="644" spans="1:25" ht="40" customHeight="1">
      <c r="A644" s="5" t="s">
        <v>3317</v>
      </c>
      <c r="B644" s="8" t="s">
        <v>3318</v>
      </c>
      <c r="C644" s="8" t="s">
        <v>3319</v>
      </c>
      <c r="D644" s="6" t="s">
        <v>27</v>
      </c>
      <c r="E644" s="8" t="s">
        <v>3320</v>
      </c>
      <c r="F644" s="6" t="s">
        <v>5</v>
      </c>
      <c r="G644" s="6" t="s">
        <v>749</v>
      </c>
      <c r="H644" s="6" t="s">
        <v>3307</v>
      </c>
      <c r="I644" s="6" t="s">
        <v>417</v>
      </c>
      <c r="J644" s="6" t="s">
        <v>3308</v>
      </c>
      <c r="K644" s="6" t="s">
        <v>744</v>
      </c>
      <c r="L644" s="6" t="s">
        <v>3309</v>
      </c>
      <c r="M644" s="6" t="s">
        <v>3310</v>
      </c>
      <c r="N644" s="6" t="s">
        <v>3098</v>
      </c>
      <c r="O644" s="6" t="s">
        <v>3311</v>
      </c>
      <c r="P644" s="6"/>
      <c r="Q644" s="8">
        <v>185</v>
      </c>
      <c r="R644" s="8">
        <v>185.55500000000001</v>
      </c>
      <c r="S644" s="8">
        <v>369.9</v>
      </c>
      <c r="T644" s="8">
        <v>14</v>
      </c>
      <c r="U644" s="8">
        <v>1</v>
      </c>
      <c r="V644" s="8">
        <f t="shared" si="6"/>
        <v>14</v>
      </c>
      <c r="W644" s="12">
        <f t="shared" si="7"/>
        <v>2597.77</v>
      </c>
      <c r="Y644">
        <v>1</v>
      </c>
    </row>
    <row r="645" spans="1:25" ht="40" customHeight="1">
      <c r="A645" s="5" t="s">
        <v>3321</v>
      </c>
      <c r="B645" s="6" t="s">
        <v>3322</v>
      </c>
      <c r="C645" s="6">
        <v>220382</v>
      </c>
      <c r="D645" s="6" t="s">
        <v>445</v>
      </c>
      <c r="E645" s="6" t="s">
        <v>3323</v>
      </c>
      <c r="F645" s="6"/>
      <c r="G645" s="6" t="s">
        <v>1046</v>
      </c>
      <c r="H645" s="6" t="s">
        <v>3324</v>
      </c>
      <c r="I645" s="6" t="s">
        <v>417</v>
      </c>
      <c r="J645" s="6" t="s">
        <v>1047</v>
      </c>
      <c r="K645" s="6" t="s">
        <v>3325</v>
      </c>
      <c r="L645" s="6" t="s">
        <v>1054</v>
      </c>
      <c r="M645" s="6" t="s">
        <v>3326</v>
      </c>
      <c r="N645" s="6" t="s">
        <v>3327</v>
      </c>
      <c r="O645" s="6" t="s">
        <v>934</v>
      </c>
      <c r="P645" s="6"/>
      <c r="Q645" s="8">
        <v>140</v>
      </c>
      <c r="R645" s="8">
        <v>140.41999999999999</v>
      </c>
      <c r="S645" s="8">
        <v>279.89999999999998</v>
      </c>
      <c r="T645" s="8">
        <v>14</v>
      </c>
      <c r="U645" s="8"/>
      <c r="V645" s="8">
        <f t="shared" si="6"/>
        <v>0</v>
      </c>
      <c r="W645" s="12">
        <f t="shared" si="7"/>
        <v>0</v>
      </c>
      <c r="Y645">
        <v>0</v>
      </c>
    </row>
    <row r="646" spans="1:25" ht="40" customHeight="1">
      <c r="A646" s="6" t="s">
        <v>3328</v>
      </c>
      <c r="B646" s="6" t="s">
        <v>3329</v>
      </c>
      <c r="C646" s="6">
        <v>220382</v>
      </c>
      <c r="D646" s="6" t="s">
        <v>64</v>
      </c>
      <c r="E646" s="6" t="s">
        <v>3330</v>
      </c>
      <c r="F646" s="6"/>
      <c r="G646" s="6" t="s">
        <v>1046</v>
      </c>
      <c r="H646" s="6" t="s">
        <v>3324</v>
      </c>
      <c r="I646" s="6" t="s">
        <v>417</v>
      </c>
      <c r="J646" s="6" t="s">
        <v>1047</v>
      </c>
      <c r="K646" s="6" t="s">
        <v>3331</v>
      </c>
      <c r="L646" s="6" t="s">
        <v>1054</v>
      </c>
      <c r="M646" s="6" t="s">
        <v>3326</v>
      </c>
      <c r="N646" s="6" t="s">
        <v>3327</v>
      </c>
      <c r="O646" s="6" t="s">
        <v>934</v>
      </c>
      <c r="P646" s="6"/>
      <c r="Q646" s="8">
        <v>140</v>
      </c>
      <c r="R646" s="8">
        <v>140.41999999999999</v>
      </c>
      <c r="S646" s="8">
        <v>279.89999999999998</v>
      </c>
      <c r="T646" s="8">
        <v>14</v>
      </c>
      <c r="U646" s="8"/>
      <c r="V646" s="8">
        <f t="shared" si="6"/>
        <v>0</v>
      </c>
      <c r="W646" s="12">
        <f t="shared" si="7"/>
        <v>0</v>
      </c>
      <c r="Y646">
        <v>0</v>
      </c>
    </row>
    <row r="647" spans="1:25" ht="40" customHeight="1">
      <c r="A647" s="6" t="s">
        <v>3332</v>
      </c>
      <c r="B647" s="6" t="s">
        <v>3333</v>
      </c>
      <c r="C647" s="6">
        <v>220382</v>
      </c>
      <c r="D647" s="6" t="s">
        <v>3101</v>
      </c>
      <c r="E647" s="6" t="s">
        <v>3334</v>
      </c>
      <c r="F647" s="6"/>
      <c r="G647" s="6" t="s">
        <v>1046</v>
      </c>
      <c r="H647" s="6" t="s">
        <v>3324</v>
      </c>
      <c r="I647" s="6" t="s">
        <v>417</v>
      </c>
      <c r="J647" s="6" t="s">
        <v>1047</v>
      </c>
      <c r="K647" s="6" t="s">
        <v>3103</v>
      </c>
      <c r="L647" s="6" t="s">
        <v>1054</v>
      </c>
      <c r="M647" s="6" t="s">
        <v>3326</v>
      </c>
      <c r="N647" s="6" t="s">
        <v>3327</v>
      </c>
      <c r="O647" s="6" t="s">
        <v>934</v>
      </c>
      <c r="P647" s="6"/>
      <c r="Q647" s="8">
        <v>140</v>
      </c>
      <c r="R647" s="8">
        <v>140.41999999999999</v>
      </c>
      <c r="S647" s="8">
        <v>279.89999999999998</v>
      </c>
      <c r="T647" s="8">
        <v>14</v>
      </c>
      <c r="U647" s="8"/>
      <c r="V647" s="8">
        <f t="shared" si="6"/>
        <v>0</v>
      </c>
      <c r="W647" s="12">
        <f t="shared" si="7"/>
        <v>0</v>
      </c>
      <c r="Y647">
        <v>0</v>
      </c>
    </row>
    <row r="648" spans="1:25" ht="40" customHeight="1">
      <c r="A648" s="6" t="s">
        <v>3335</v>
      </c>
      <c r="B648" s="6" t="s">
        <v>3336</v>
      </c>
      <c r="C648" s="6">
        <v>220382</v>
      </c>
      <c r="D648" s="6" t="s">
        <v>74</v>
      </c>
      <c r="E648" s="6" t="s">
        <v>3337</v>
      </c>
      <c r="F648" s="6"/>
      <c r="G648" s="6" t="s">
        <v>1046</v>
      </c>
      <c r="H648" s="6" t="s">
        <v>3324</v>
      </c>
      <c r="I648" s="6" t="s">
        <v>417</v>
      </c>
      <c r="J648" s="6" t="s">
        <v>1047</v>
      </c>
      <c r="K648" s="6" t="s">
        <v>3338</v>
      </c>
      <c r="L648" s="6" t="s">
        <v>1054</v>
      </c>
      <c r="M648" s="6" t="s">
        <v>3326</v>
      </c>
      <c r="N648" s="6" t="s">
        <v>3327</v>
      </c>
      <c r="O648" s="6" t="s">
        <v>934</v>
      </c>
      <c r="P648" s="6"/>
      <c r="Q648" s="8">
        <v>140</v>
      </c>
      <c r="R648" s="8">
        <v>140.41999999999999</v>
      </c>
      <c r="S648" s="8">
        <v>279.89999999999998</v>
      </c>
      <c r="T648" s="8">
        <v>14</v>
      </c>
      <c r="U648" s="8"/>
      <c r="V648" s="8">
        <f t="shared" si="6"/>
        <v>0</v>
      </c>
      <c r="W648" s="12">
        <f t="shared" si="7"/>
        <v>0</v>
      </c>
      <c r="Y648">
        <v>0</v>
      </c>
    </row>
    <row r="649" spans="1:25" ht="40" customHeight="1">
      <c r="A649" s="6" t="s">
        <v>3339</v>
      </c>
      <c r="B649" s="6" t="s">
        <v>3340</v>
      </c>
      <c r="C649" s="6">
        <v>220382</v>
      </c>
      <c r="D649" s="6" t="s">
        <v>89</v>
      </c>
      <c r="E649" s="6" t="s">
        <v>3341</v>
      </c>
      <c r="F649" s="6"/>
      <c r="G649" s="6" t="s">
        <v>1046</v>
      </c>
      <c r="H649" s="6" t="s">
        <v>3324</v>
      </c>
      <c r="I649" s="6" t="s">
        <v>417</v>
      </c>
      <c r="J649" s="6" t="s">
        <v>1047</v>
      </c>
      <c r="K649" s="6" t="s">
        <v>987</v>
      </c>
      <c r="L649" s="6" t="s">
        <v>1054</v>
      </c>
      <c r="M649" s="6" t="s">
        <v>3326</v>
      </c>
      <c r="N649" s="6" t="s">
        <v>3327</v>
      </c>
      <c r="O649" s="6" t="s">
        <v>934</v>
      </c>
      <c r="P649" s="6"/>
      <c r="Q649" s="8">
        <v>140</v>
      </c>
      <c r="R649" s="8">
        <v>140.41999999999999</v>
      </c>
      <c r="S649" s="8">
        <v>279.89999999999998</v>
      </c>
      <c r="T649" s="8">
        <v>14</v>
      </c>
      <c r="U649" s="8"/>
      <c r="V649" s="8">
        <f t="shared" si="6"/>
        <v>0</v>
      </c>
      <c r="W649" s="12">
        <f t="shared" si="7"/>
        <v>0</v>
      </c>
      <c r="Y649">
        <v>0</v>
      </c>
    </row>
    <row r="650" spans="1:25" ht="40" customHeight="1">
      <c r="A650" s="6" t="s">
        <v>3342</v>
      </c>
      <c r="B650" s="6" t="s">
        <v>3343</v>
      </c>
      <c r="C650" s="6">
        <v>220382</v>
      </c>
      <c r="D650" s="6" t="s">
        <v>126</v>
      </c>
      <c r="E650" s="6" t="s">
        <v>3344</v>
      </c>
      <c r="F650" s="6"/>
      <c r="G650" s="6" t="s">
        <v>1046</v>
      </c>
      <c r="H650" s="6" t="s">
        <v>3324</v>
      </c>
      <c r="I650" s="6" t="s">
        <v>417</v>
      </c>
      <c r="J650" s="6" t="s">
        <v>1047</v>
      </c>
      <c r="K650" s="6" t="s">
        <v>3345</v>
      </c>
      <c r="L650" s="6" t="s">
        <v>1054</v>
      </c>
      <c r="M650" s="6" t="s">
        <v>3326</v>
      </c>
      <c r="N650" s="6" t="s">
        <v>3327</v>
      </c>
      <c r="O650" s="6" t="s">
        <v>934</v>
      </c>
      <c r="P650" s="6"/>
      <c r="Q650" s="8">
        <v>140</v>
      </c>
      <c r="R650" s="8">
        <v>140.41999999999999</v>
      </c>
      <c r="S650" s="8">
        <v>279.89999999999998</v>
      </c>
      <c r="T650" s="8">
        <v>14</v>
      </c>
      <c r="U650" s="8"/>
      <c r="V650" s="8">
        <f t="shared" si="6"/>
        <v>0</v>
      </c>
      <c r="W650" s="12">
        <f t="shared" si="7"/>
        <v>0</v>
      </c>
      <c r="Y650">
        <v>0</v>
      </c>
    </row>
    <row r="651" spans="1:25" ht="40" customHeight="1">
      <c r="A651" s="5" t="s">
        <v>3346</v>
      </c>
      <c r="B651" s="6" t="s">
        <v>3347</v>
      </c>
      <c r="C651" s="6">
        <v>220392</v>
      </c>
      <c r="D651" s="6" t="s">
        <v>27</v>
      </c>
      <c r="E651" s="6" t="s">
        <v>3348</v>
      </c>
      <c r="F651" s="6"/>
      <c r="G651" s="6" t="s">
        <v>1046</v>
      </c>
      <c r="H651" s="6" t="s">
        <v>1076</v>
      </c>
      <c r="I651" s="6" t="s">
        <v>417</v>
      </c>
      <c r="J651" s="6" t="s">
        <v>3349</v>
      </c>
      <c r="K651" s="6" t="s">
        <v>996</v>
      </c>
      <c r="L651" s="6" t="s">
        <v>54</v>
      </c>
      <c r="M651" s="6" t="s">
        <v>54</v>
      </c>
      <c r="N651" s="6" t="s">
        <v>3327</v>
      </c>
      <c r="O651" s="6" t="s">
        <v>1078</v>
      </c>
      <c r="P651" s="6"/>
      <c r="Q651" s="8">
        <v>165</v>
      </c>
      <c r="R651" s="8">
        <v>165.495</v>
      </c>
      <c r="S651" s="8">
        <v>329.9</v>
      </c>
      <c r="T651" s="8">
        <v>14</v>
      </c>
      <c r="U651" s="8"/>
      <c r="V651" s="8">
        <f t="shared" si="6"/>
        <v>0</v>
      </c>
      <c r="W651" s="12">
        <f t="shared" si="7"/>
        <v>0</v>
      </c>
      <c r="Y651">
        <v>0</v>
      </c>
    </row>
    <row r="652" spans="1:25" ht="40" customHeight="1">
      <c r="A652" s="6" t="s">
        <v>3350</v>
      </c>
      <c r="B652" s="6" t="s">
        <v>3351</v>
      </c>
      <c r="C652" s="6">
        <v>220392</v>
      </c>
      <c r="D652" s="6" t="s">
        <v>3352</v>
      </c>
      <c r="E652" s="6" t="s">
        <v>3353</v>
      </c>
      <c r="F652" s="6"/>
      <c r="G652" s="6" t="s">
        <v>1046</v>
      </c>
      <c r="H652" s="6" t="s">
        <v>1076</v>
      </c>
      <c r="I652" s="6" t="s">
        <v>417</v>
      </c>
      <c r="J652" s="6" t="s">
        <v>3349</v>
      </c>
      <c r="K652" s="6" t="s">
        <v>3354</v>
      </c>
      <c r="L652" s="6" t="s">
        <v>54</v>
      </c>
      <c r="M652" s="6" t="s">
        <v>54</v>
      </c>
      <c r="N652" s="6" t="s">
        <v>3327</v>
      </c>
      <c r="O652" s="6" t="s">
        <v>1078</v>
      </c>
      <c r="P652" s="6"/>
      <c r="Q652" s="8">
        <v>165</v>
      </c>
      <c r="R652" s="8">
        <v>165.495</v>
      </c>
      <c r="S652" s="8">
        <v>329.9</v>
      </c>
      <c r="T652" s="8">
        <v>14</v>
      </c>
      <c r="U652" s="8"/>
      <c r="V652" s="8">
        <f t="shared" si="6"/>
        <v>0</v>
      </c>
      <c r="W652" s="12">
        <f t="shared" si="7"/>
        <v>0</v>
      </c>
      <c r="Y652">
        <v>0</v>
      </c>
    </row>
    <row r="653" spans="1:25" ht="40" customHeight="1">
      <c r="A653" s="6" t="s">
        <v>3355</v>
      </c>
      <c r="B653" s="6" t="s">
        <v>3356</v>
      </c>
      <c r="C653" s="6">
        <v>220392</v>
      </c>
      <c r="D653" s="6" t="s">
        <v>3101</v>
      </c>
      <c r="E653" s="6" t="s">
        <v>3357</v>
      </c>
      <c r="F653" s="6"/>
      <c r="G653" s="6" t="s">
        <v>1046</v>
      </c>
      <c r="H653" s="6" t="s">
        <v>1076</v>
      </c>
      <c r="I653" s="6" t="s">
        <v>417</v>
      </c>
      <c r="J653" s="6" t="s">
        <v>3349</v>
      </c>
      <c r="K653" s="6" t="s">
        <v>3358</v>
      </c>
      <c r="L653" s="6" t="s">
        <v>54</v>
      </c>
      <c r="M653" s="6" t="s">
        <v>54</v>
      </c>
      <c r="N653" s="6" t="s">
        <v>3327</v>
      </c>
      <c r="O653" s="6" t="s">
        <v>1078</v>
      </c>
      <c r="P653" s="6"/>
      <c r="Q653" s="8">
        <v>165</v>
      </c>
      <c r="R653" s="8">
        <v>165.495</v>
      </c>
      <c r="S653" s="8">
        <v>329.9</v>
      </c>
      <c r="T653" s="8">
        <v>14</v>
      </c>
      <c r="U653" s="8"/>
      <c r="V653" s="8">
        <f t="shared" si="6"/>
        <v>0</v>
      </c>
      <c r="W653" s="12">
        <f t="shared" si="7"/>
        <v>0</v>
      </c>
      <c r="Y653">
        <v>0</v>
      </c>
    </row>
    <row r="654" spans="1:25" ht="40" customHeight="1">
      <c r="A654" s="6" t="s">
        <v>3359</v>
      </c>
      <c r="B654" s="6" t="s">
        <v>3360</v>
      </c>
      <c r="C654" s="6">
        <v>220392</v>
      </c>
      <c r="D654" s="6" t="s">
        <v>89</v>
      </c>
      <c r="E654" s="6" t="s">
        <v>3361</v>
      </c>
      <c r="F654" s="6"/>
      <c r="G654" s="6" t="s">
        <v>1046</v>
      </c>
      <c r="H654" s="6" t="s">
        <v>1076</v>
      </c>
      <c r="I654" s="6" t="s">
        <v>417</v>
      </c>
      <c r="J654" s="6" t="s">
        <v>3349</v>
      </c>
      <c r="K654" s="6" t="s">
        <v>1009</v>
      </c>
      <c r="L654" s="6" t="s">
        <v>54</v>
      </c>
      <c r="M654" s="6" t="s">
        <v>54</v>
      </c>
      <c r="N654" s="6" t="s">
        <v>3327</v>
      </c>
      <c r="O654" s="6" t="s">
        <v>1078</v>
      </c>
      <c r="P654" s="6"/>
      <c r="Q654" s="8">
        <v>165</v>
      </c>
      <c r="R654" s="8">
        <v>165.495</v>
      </c>
      <c r="S654" s="8">
        <v>329.9</v>
      </c>
      <c r="T654" s="8">
        <v>14</v>
      </c>
      <c r="U654" s="8"/>
      <c r="V654" s="8">
        <f t="shared" si="6"/>
        <v>0</v>
      </c>
      <c r="W654" s="12">
        <f t="shared" si="7"/>
        <v>0</v>
      </c>
      <c r="Y654">
        <v>0</v>
      </c>
    </row>
    <row r="655" spans="1:25" ht="40" customHeight="1">
      <c r="A655" s="5" t="s">
        <v>3362</v>
      </c>
      <c r="B655" s="6" t="s">
        <v>3363</v>
      </c>
      <c r="C655" s="6">
        <v>220397</v>
      </c>
      <c r="D655" s="6" t="s">
        <v>64</v>
      </c>
      <c r="E655" s="6" t="s">
        <v>3364</v>
      </c>
      <c r="F655" s="6"/>
      <c r="G655" s="6" t="s">
        <v>1046</v>
      </c>
      <c r="H655" s="6" t="s">
        <v>3365</v>
      </c>
      <c r="I655" s="6" t="s">
        <v>417</v>
      </c>
      <c r="J655" s="6" t="s">
        <v>1292</v>
      </c>
      <c r="K655" s="6" t="s">
        <v>996</v>
      </c>
      <c r="L655" s="6" t="s">
        <v>54</v>
      </c>
      <c r="M655" s="6" t="s">
        <v>54</v>
      </c>
      <c r="N655" s="6" t="s">
        <v>3327</v>
      </c>
      <c r="O655" s="6" t="s">
        <v>1056</v>
      </c>
      <c r="P655" s="6"/>
      <c r="Q655" s="8">
        <v>150</v>
      </c>
      <c r="R655" s="8">
        <v>150.44999999999999</v>
      </c>
      <c r="S655" s="8">
        <v>299.89999999999998</v>
      </c>
      <c r="T655" s="8">
        <v>14</v>
      </c>
      <c r="U655" s="8"/>
      <c r="V655" s="8">
        <f t="shared" si="6"/>
        <v>0</v>
      </c>
      <c r="W655" s="12">
        <f t="shared" si="7"/>
        <v>0</v>
      </c>
      <c r="Y655">
        <v>0</v>
      </c>
    </row>
    <row r="656" spans="1:25" ht="40" customHeight="1">
      <c r="A656" s="6" t="s">
        <v>3366</v>
      </c>
      <c r="B656" s="6" t="s">
        <v>3367</v>
      </c>
      <c r="C656" s="6">
        <v>220397</v>
      </c>
      <c r="D656" s="6" t="s">
        <v>40</v>
      </c>
      <c r="E656" s="6" t="s">
        <v>3368</v>
      </c>
      <c r="F656" s="6"/>
      <c r="G656" s="6" t="s">
        <v>1046</v>
      </c>
      <c r="H656" s="6" t="s">
        <v>3365</v>
      </c>
      <c r="I656" s="6" t="s">
        <v>417</v>
      </c>
      <c r="J656" s="6" t="s">
        <v>1292</v>
      </c>
      <c r="K656" s="6" t="s">
        <v>1437</v>
      </c>
      <c r="L656" s="6" t="s">
        <v>54</v>
      </c>
      <c r="M656" s="6" t="s">
        <v>54</v>
      </c>
      <c r="N656" s="6" t="s">
        <v>3327</v>
      </c>
      <c r="O656" s="6" t="s">
        <v>1056</v>
      </c>
      <c r="P656" s="6"/>
      <c r="Q656" s="8">
        <v>150</v>
      </c>
      <c r="R656" s="8">
        <v>150.44999999999999</v>
      </c>
      <c r="S656" s="8">
        <v>299.89999999999998</v>
      </c>
      <c r="T656" s="8">
        <v>14</v>
      </c>
      <c r="U656" s="8"/>
      <c r="V656" s="8">
        <f t="shared" si="6"/>
        <v>0</v>
      </c>
      <c r="W656" s="12">
        <f t="shared" si="7"/>
        <v>0</v>
      </c>
      <c r="Y656">
        <v>0</v>
      </c>
    </row>
    <row r="657" spans="1:25" ht="40" customHeight="1">
      <c r="A657" s="5" t="s">
        <v>3369</v>
      </c>
      <c r="B657" s="6" t="s">
        <v>3370</v>
      </c>
      <c r="C657" s="6">
        <v>220415</v>
      </c>
      <c r="D657" s="6" t="s">
        <v>64</v>
      </c>
      <c r="E657" s="6" t="s">
        <v>3371</v>
      </c>
      <c r="F657" s="6"/>
      <c r="G657" s="6" t="s">
        <v>1098</v>
      </c>
      <c r="H657" s="6" t="s">
        <v>215</v>
      </c>
      <c r="I657" s="6" t="s">
        <v>417</v>
      </c>
      <c r="J657" s="6" t="s">
        <v>3372</v>
      </c>
      <c r="K657" s="6" t="s">
        <v>996</v>
      </c>
      <c r="L657" s="6" t="s">
        <v>54</v>
      </c>
      <c r="M657" s="6" t="s">
        <v>54</v>
      </c>
      <c r="N657" s="6" t="s">
        <v>3327</v>
      </c>
      <c r="O657" s="6" t="s">
        <v>3373</v>
      </c>
      <c r="P657" s="6"/>
      <c r="Q657" s="8">
        <v>215</v>
      </c>
      <c r="R657" s="8">
        <v>215.64500000000001</v>
      </c>
      <c r="S657" s="8">
        <v>429.9</v>
      </c>
      <c r="T657" s="8">
        <v>14</v>
      </c>
      <c r="U657" s="8">
        <v>1</v>
      </c>
      <c r="V657" s="8">
        <f t="shared" si="6"/>
        <v>14</v>
      </c>
      <c r="W657" s="12">
        <f t="shared" si="7"/>
        <v>3019.03</v>
      </c>
      <c r="Y657">
        <v>1</v>
      </c>
    </row>
    <row r="658" spans="1:25" ht="40" customHeight="1">
      <c r="A658" s="5" t="s">
        <v>3374</v>
      </c>
      <c r="B658" s="6" t="s">
        <v>3375</v>
      </c>
      <c r="C658" s="6">
        <v>220415</v>
      </c>
      <c r="D658" s="6" t="s">
        <v>747</v>
      </c>
      <c r="E658" s="6" t="s">
        <v>3376</v>
      </c>
      <c r="F658" s="6"/>
      <c r="G658" s="6" t="s">
        <v>1098</v>
      </c>
      <c r="H658" s="6" t="s">
        <v>215</v>
      </c>
      <c r="I658" s="6" t="s">
        <v>417</v>
      </c>
      <c r="J658" s="6" t="s">
        <v>3372</v>
      </c>
      <c r="K658" s="6" t="s">
        <v>3377</v>
      </c>
      <c r="L658" s="6" t="s">
        <v>54</v>
      </c>
      <c r="M658" s="6" t="s">
        <v>54</v>
      </c>
      <c r="N658" s="6" t="s">
        <v>3327</v>
      </c>
      <c r="O658" s="6" t="s">
        <v>3373</v>
      </c>
      <c r="P658" s="6"/>
      <c r="Q658" s="8">
        <v>215</v>
      </c>
      <c r="R658" s="8">
        <v>215.64500000000001</v>
      </c>
      <c r="S658" s="8">
        <v>429.9</v>
      </c>
      <c r="T658" s="8">
        <v>14</v>
      </c>
      <c r="U658" s="8">
        <v>1</v>
      </c>
      <c r="V658" s="8">
        <f t="shared" si="6"/>
        <v>14</v>
      </c>
      <c r="W658" s="12">
        <f t="shared" si="7"/>
        <v>3019.03</v>
      </c>
      <c r="Y658">
        <v>1</v>
      </c>
    </row>
    <row r="659" spans="1:25" ht="40" customHeight="1">
      <c r="A659" s="5" t="s">
        <v>3378</v>
      </c>
      <c r="B659" s="6" t="s">
        <v>3379</v>
      </c>
      <c r="C659" s="6">
        <v>220415</v>
      </c>
      <c r="D659" s="6" t="s">
        <v>45</v>
      </c>
      <c r="E659" s="6" t="s">
        <v>3380</v>
      </c>
      <c r="F659" s="6"/>
      <c r="G659" s="6" t="s">
        <v>1098</v>
      </c>
      <c r="H659" s="6" t="s">
        <v>215</v>
      </c>
      <c r="I659" s="6" t="s">
        <v>417</v>
      </c>
      <c r="J659" s="6" t="s">
        <v>3372</v>
      </c>
      <c r="K659" s="6" t="s">
        <v>1017</v>
      </c>
      <c r="L659" s="6" t="s">
        <v>54</v>
      </c>
      <c r="M659" s="6" t="s">
        <v>54</v>
      </c>
      <c r="N659" s="6" t="s">
        <v>3327</v>
      </c>
      <c r="O659" s="6" t="s">
        <v>3373</v>
      </c>
      <c r="P659" s="6"/>
      <c r="Q659" s="8">
        <v>215</v>
      </c>
      <c r="R659" s="8">
        <v>215.64500000000001</v>
      </c>
      <c r="S659" s="8">
        <v>429.9</v>
      </c>
      <c r="T659" s="8">
        <v>14</v>
      </c>
      <c r="U659" s="8">
        <v>1</v>
      </c>
      <c r="V659" s="8">
        <f t="shared" si="6"/>
        <v>14</v>
      </c>
      <c r="W659" s="12">
        <f t="shared" si="7"/>
        <v>3019.03</v>
      </c>
      <c r="Y659">
        <v>1</v>
      </c>
    </row>
    <row r="660" spans="1:25" ht="40" customHeight="1">
      <c r="A660" s="5" t="s">
        <v>3381</v>
      </c>
      <c r="B660" s="6" t="s">
        <v>3382</v>
      </c>
      <c r="C660" s="6">
        <v>220415</v>
      </c>
      <c r="D660" s="6" t="s">
        <v>126</v>
      </c>
      <c r="E660" s="6" t="s">
        <v>3383</v>
      </c>
      <c r="F660" s="6"/>
      <c r="G660" s="6" t="s">
        <v>1098</v>
      </c>
      <c r="H660" s="6" t="s">
        <v>215</v>
      </c>
      <c r="I660" s="6" t="s">
        <v>417</v>
      </c>
      <c r="J660" s="6" t="s">
        <v>3372</v>
      </c>
      <c r="K660" s="6" t="s">
        <v>1453</v>
      </c>
      <c r="L660" s="6" t="s">
        <v>54</v>
      </c>
      <c r="M660" s="6" t="s">
        <v>54</v>
      </c>
      <c r="N660" s="6" t="s">
        <v>3327</v>
      </c>
      <c r="O660" s="6" t="s">
        <v>3373</v>
      </c>
      <c r="P660" s="6"/>
      <c r="Q660" s="8">
        <v>215</v>
      </c>
      <c r="R660" s="8">
        <v>215.64500000000001</v>
      </c>
      <c r="S660" s="8">
        <v>429.9</v>
      </c>
      <c r="T660" s="8">
        <v>14</v>
      </c>
      <c r="U660" s="8"/>
      <c r="V660" s="8">
        <f t="shared" si="6"/>
        <v>0</v>
      </c>
      <c r="W660" s="12">
        <f t="shared" si="7"/>
        <v>0</v>
      </c>
      <c r="Y660">
        <v>0</v>
      </c>
    </row>
    <row r="661" spans="1:25" ht="40" customHeight="1">
      <c r="A661" s="5" t="s">
        <v>3384</v>
      </c>
      <c r="B661" s="6" t="s">
        <v>3385</v>
      </c>
      <c r="C661" s="6">
        <v>220427</v>
      </c>
      <c r="D661" s="6" t="s">
        <v>27</v>
      </c>
      <c r="E661" s="6" t="s">
        <v>3386</v>
      </c>
      <c r="F661" s="6"/>
      <c r="G661" s="6" t="s">
        <v>1098</v>
      </c>
      <c r="H661" s="6" t="s">
        <v>3387</v>
      </c>
      <c r="I661" s="6" t="s">
        <v>417</v>
      </c>
      <c r="J661" s="6" t="s">
        <v>3388</v>
      </c>
      <c r="K661" s="6" t="s">
        <v>978</v>
      </c>
      <c r="L661" s="6" t="s">
        <v>54</v>
      </c>
      <c r="M661" s="6" t="s">
        <v>54</v>
      </c>
      <c r="N661" s="6" t="s">
        <v>3327</v>
      </c>
      <c r="O661" s="6" t="s">
        <v>3389</v>
      </c>
      <c r="P661" s="6"/>
      <c r="Q661" s="8">
        <v>190</v>
      </c>
      <c r="R661" s="8">
        <v>190.57</v>
      </c>
      <c r="S661" s="8">
        <v>379.9</v>
      </c>
      <c r="T661" s="8">
        <v>14</v>
      </c>
      <c r="U661" s="8"/>
      <c r="V661" s="8">
        <f t="shared" si="6"/>
        <v>0</v>
      </c>
      <c r="W661" s="12">
        <f t="shared" si="7"/>
        <v>0</v>
      </c>
      <c r="Y661">
        <v>0</v>
      </c>
    </row>
    <row r="662" spans="1:25" ht="40" customHeight="1">
      <c r="A662" s="5" t="s">
        <v>3390</v>
      </c>
      <c r="B662" s="6" t="s">
        <v>3391</v>
      </c>
      <c r="C662" s="6">
        <v>220427</v>
      </c>
      <c r="D662" s="6" t="s">
        <v>1286</v>
      </c>
      <c r="E662" s="6" t="s">
        <v>3392</v>
      </c>
      <c r="F662" s="6"/>
      <c r="G662" s="6" t="s">
        <v>1098</v>
      </c>
      <c r="H662" s="6" t="s">
        <v>3387</v>
      </c>
      <c r="I662" s="6" t="s">
        <v>417</v>
      </c>
      <c r="J662" s="6" t="s">
        <v>3388</v>
      </c>
      <c r="K662" s="6" t="s">
        <v>3393</v>
      </c>
      <c r="L662" s="6" t="s">
        <v>54</v>
      </c>
      <c r="M662" s="6" t="s">
        <v>54</v>
      </c>
      <c r="N662" s="6" t="s">
        <v>3327</v>
      </c>
      <c r="O662" s="6" t="s">
        <v>3389</v>
      </c>
      <c r="P662" s="6"/>
      <c r="Q662" s="8">
        <v>190</v>
      </c>
      <c r="R662" s="8">
        <v>190.57</v>
      </c>
      <c r="S662" s="8">
        <v>379.9</v>
      </c>
      <c r="T662" s="8">
        <v>14</v>
      </c>
      <c r="U662" s="8"/>
      <c r="V662" s="8">
        <f t="shared" si="6"/>
        <v>0</v>
      </c>
      <c r="W662" s="12">
        <f t="shared" si="7"/>
        <v>0</v>
      </c>
      <c r="Y662">
        <v>0</v>
      </c>
    </row>
    <row r="663" spans="1:25" ht="40" customHeight="1">
      <c r="A663" s="5" t="s">
        <v>3394</v>
      </c>
      <c r="B663" s="6" t="s">
        <v>3395</v>
      </c>
      <c r="C663" s="6">
        <v>220509</v>
      </c>
      <c r="D663" s="6" t="s">
        <v>64</v>
      </c>
      <c r="E663" s="6" t="s">
        <v>3396</v>
      </c>
      <c r="F663" s="6"/>
      <c r="G663" s="6" t="s">
        <v>3397</v>
      </c>
      <c r="H663" s="6" t="s">
        <v>215</v>
      </c>
      <c r="I663" s="6" t="s">
        <v>417</v>
      </c>
      <c r="J663" s="6" t="s">
        <v>3398</v>
      </c>
      <c r="K663" s="6" t="s">
        <v>3331</v>
      </c>
      <c r="L663" s="6" t="s">
        <v>3399</v>
      </c>
      <c r="M663" s="6" t="s">
        <v>3400</v>
      </c>
      <c r="N663" s="6" t="s">
        <v>3327</v>
      </c>
      <c r="O663" s="6" t="s">
        <v>3401</v>
      </c>
      <c r="P663" s="6"/>
      <c r="Q663" s="8">
        <v>225</v>
      </c>
      <c r="R663" s="8">
        <v>225.67500000000001</v>
      </c>
      <c r="S663" s="8">
        <v>449.9</v>
      </c>
      <c r="T663" s="8">
        <v>14</v>
      </c>
      <c r="U663" s="8"/>
      <c r="V663" s="8">
        <f t="shared" si="6"/>
        <v>0</v>
      </c>
      <c r="W663" s="12">
        <f t="shared" si="7"/>
        <v>0</v>
      </c>
      <c r="Y663">
        <v>0</v>
      </c>
    </row>
    <row r="664" spans="1:25" ht="40" customHeight="1">
      <c r="A664" s="6" t="s">
        <v>3402</v>
      </c>
      <c r="B664" s="6" t="s">
        <v>3403</v>
      </c>
      <c r="C664" s="6">
        <v>220509</v>
      </c>
      <c r="D664" s="6" t="s">
        <v>147</v>
      </c>
      <c r="E664" s="6" t="s">
        <v>3404</v>
      </c>
      <c r="F664" s="6"/>
      <c r="G664" s="6" t="s">
        <v>3397</v>
      </c>
      <c r="H664" s="6" t="s">
        <v>215</v>
      </c>
      <c r="I664" s="6" t="s">
        <v>417</v>
      </c>
      <c r="J664" s="6" t="s">
        <v>3398</v>
      </c>
      <c r="K664" s="6" t="s">
        <v>978</v>
      </c>
      <c r="L664" s="6" t="s">
        <v>3399</v>
      </c>
      <c r="M664" s="6" t="s">
        <v>3400</v>
      </c>
      <c r="N664" s="6" t="s">
        <v>3327</v>
      </c>
      <c r="O664" s="6" t="s">
        <v>3401</v>
      </c>
      <c r="P664" s="6"/>
      <c r="Q664" s="8">
        <v>225</v>
      </c>
      <c r="R664" s="8">
        <v>225.67500000000001</v>
      </c>
      <c r="S664" s="8">
        <v>449.9</v>
      </c>
      <c r="T664" s="8">
        <v>14</v>
      </c>
      <c r="U664" s="8"/>
      <c r="V664" s="8">
        <f t="shared" si="6"/>
        <v>0</v>
      </c>
      <c r="W664" s="12">
        <f t="shared" si="7"/>
        <v>0</v>
      </c>
      <c r="Y664">
        <v>0</v>
      </c>
    </row>
    <row r="665" spans="1:25" ht="40" customHeight="1">
      <c r="A665" s="6" t="s">
        <v>3405</v>
      </c>
      <c r="B665" s="6" t="s">
        <v>3406</v>
      </c>
      <c r="C665" s="6">
        <v>220509</v>
      </c>
      <c r="D665" s="6" t="s">
        <v>45</v>
      </c>
      <c r="E665" s="6" t="s">
        <v>3407</v>
      </c>
      <c r="F665" s="6"/>
      <c r="G665" s="6" t="s">
        <v>3397</v>
      </c>
      <c r="H665" s="6" t="s">
        <v>215</v>
      </c>
      <c r="I665" s="6" t="s">
        <v>417</v>
      </c>
      <c r="J665" s="6" t="s">
        <v>3398</v>
      </c>
      <c r="K665" s="6" t="s">
        <v>991</v>
      </c>
      <c r="L665" s="6" t="s">
        <v>3399</v>
      </c>
      <c r="M665" s="6" t="s">
        <v>3400</v>
      </c>
      <c r="N665" s="6" t="s">
        <v>3327</v>
      </c>
      <c r="O665" s="6" t="s">
        <v>3401</v>
      </c>
      <c r="P665" s="6"/>
      <c r="Q665" s="8">
        <v>225</v>
      </c>
      <c r="R665" s="8">
        <v>225.67500000000001</v>
      </c>
      <c r="S665" s="8">
        <v>449.9</v>
      </c>
      <c r="T665" s="8">
        <v>14</v>
      </c>
      <c r="U665" s="8"/>
      <c r="V665" s="8">
        <f t="shared" si="6"/>
        <v>0</v>
      </c>
      <c r="W665" s="12">
        <f t="shared" si="7"/>
        <v>0</v>
      </c>
      <c r="X665">
        <f>VLOOKUP(E665,[1]Sheet2!$A:$C,3,FALSE)</f>
        <v>1</v>
      </c>
      <c r="Y665">
        <v>1</v>
      </c>
    </row>
    <row r="666" spans="1:25" ht="40" customHeight="1">
      <c r="A666" s="5" t="s">
        <v>3408</v>
      </c>
      <c r="B666" s="6" t="s">
        <v>3409</v>
      </c>
      <c r="C666" s="6">
        <v>220607</v>
      </c>
      <c r="D666" s="6" t="s">
        <v>27</v>
      </c>
      <c r="E666" s="6" t="s">
        <v>3410</v>
      </c>
      <c r="F666" s="6"/>
      <c r="G666" s="6" t="s">
        <v>1128</v>
      </c>
      <c r="H666" s="6" t="s">
        <v>3411</v>
      </c>
      <c r="I666" s="6" t="s">
        <v>417</v>
      </c>
      <c r="J666" s="6" t="s">
        <v>1219</v>
      </c>
      <c r="K666" s="6" t="s">
        <v>978</v>
      </c>
      <c r="L666" s="6" t="s">
        <v>54</v>
      </c>
      <c r="M666" s="6" t="s">
        <v>54</v>
      </c>
      <c r="N666" s="6" t="s">
        <v>3327</v>
      </c>
      <c r="O666" s="6" t="s">
        <v>1220</v>
      </c>
      <c r="P666" s="6"/>
      <c r="Q666" s="8">
        <v>185</v>
      </c>
      <c r="R666" s="8">
        <v>185.55500000000001</v>
      </c>
      <c r="S666" s="8">
        <v>369.9</v>
      </c>
      <c r="T666" s="8">
        <v>14</v>
      </c>
      <c r="U666" s="8">
        <v>1</v>
      </c>
      <c r="V666" s="8">
        <f t="shared" si="6"/>
        <v>14</v>
      </c>
      <c r="W666" s="12">
        <f t="shared" si="7"/>
        <v>2597.77</v>
      </c>
      <c r="Y666">
        <v>1</v>
      </c>
    </row>
    <row r="667" spans="1:25" ht="40" customHeight="1">
      <c r="A667" s="5" t="s">
        <v>3412</v>
      </c>
      <c r="B667" s="6" t="s">
        <v>3413</v>
      </c>
      <c r="C667" s="6">
        <v>220607</v>
      </c>
      <c r="D667" s="6" t="s">
        <v>147</v>
      </c>
      <c r="E667" s="6" t="s">
        <v>3414</v>
      </c>
      <c r="F667" s="6"/>
      <c r="G667" s="6" t="s">
        <v>1128</v>
      </c>
      <c r="H667" s="6" t="s">
        <v>3411</v>
      </c>
      <c r="I667" s="6" t="s">
        <v>417</v>
      </c>
      <c r="J667" s="6" t="s">
        <v>1219</v>
      </c>
      <c r="K667" s="6" t="s">
        <v>978</v>
      </c>
      <c r="L667" s="6" t="s">
        <v>54</v>
      </c>
      <c r="M667" s="6" t="s">
        <v>54</v>
      </c>
      <c r="N667" s="6" t="s">
        <v>3327</v>
      </c>
      <c r="O667" s="6" t="s">
        <v>1220</v>
      </c>
      <c r="P667" s="6"/>
      <c r="Q667" s="8">
        <v>185</v>
      </c>
      <c r="R667" s="8">
        <v>185.55500000000001</v>
      </c>
      <c r="S667" s="8">
        <v>369.9</v>
      </c>
      <c r="T667" s="8">
        <v>14</v>
      </c>
      <c r="U667" s="8">
        <v>1</v>
      </c>
      <c r="V667" s="8">
        <f t="shared" si="6"/>
        <v>14</v>
      </c>
      <c r="W667" s="12">
        <f t="shared" si="7"/>
        <v>2597.77</v>
      </c>
      <c r="Y667">
        <v>1</v>
      </c>
    </row>
    <row r="668" spans="1:25" ht="40" customHeight="1">
      <c r="A668" s="5" t="s">
        <v>3415</v>
      </c>
      <c r="B668" s="6" t="s">
        <v>3416</v>
      </c>
      <c r="C668" s="6">
        <v>220607</v>
      </c>
      <c r="D668" s="6" t="s">
        <v>40</v>
      </c>
      <c r="E668" s="6" t="s">
        <v>3417</v>
      </c>
      <c r="F668" s="6"/>
      <c r="G668" s="6" t="s">
        <v>1128</v>
      </c>
      <c r="H668" s="6" t="s">
        <v>3411</v>
      </c>
      <c r="I668" s="6" t="s">
        <v>417</v>
      </c>
      <c r="J668" s="6" t="s">
        <v>1219</v>
      </c>
      <c r="K668" s="6" t="s">
        <v>983</v>
      </c>
      <c r="L668" s="6" t="s">
        <v>54</v>
      </c>
      <c r="M668" s="6" t="s">
        <v>54</v>
      </c>
      <c r="N668" s="6" t="s">
        <v>3327</v>
      </c>
      <c r="O668" s="6" t="s">
        <v>1220</v>
      </c>
      <c r="P668" s="6"/>
      <c r="Q668" s="8">
        <v>185</v>
      </c>
      <c r="R668" s="8">
        <v>185.55500000000001</v>
      </c>
      <c r="S668" s="8">
        <v>369.9</v>
      </c>
      <c r="T668" s="8">
        <v>14</v>
      </c>
      <c r="U668" s="8">
        <v>1</v>
      </c>
      <c r="V668" s="8">
        <f t="shared" si="6"/>
        <v>14</v>
      </c>
      <c r="W668" s="12">
        <f t="shared" si="7"/>
        <v>2597.77</v>
      </c>
      <c r="Y668">
        <v>1</v>
      </c>
    </row>
    <row r="669" spans="1:25" ht="40" customHeight="1">
      <c r="A669" s="5" t="s">
        <v>3418</v>
      </c>
      <c r="B669" s="6" t="s">
        <v>3419</v>
      </c>
      <c r="C669" s="6">
        <v>220607</v>
      </c>
      <c r="D669" s="6" t="s">
        <v>89</v>
      </c>
      <c r="E669" s="6" t="s">
        <v>3420</v>
      </c>
      <c r="F669" s="6"/>
      <c r="G669" s="6" t="s">
        <v>1128</v>
      </c>
      <c r="H669" s="6" t="s">
        <v>3411</v>
      </c>
      <c r="I669" s="6" t="s">
        <v>417</v>
      </c>
      <c r="J669" s="6" t="s">
        <v>1219</v>
      </c>
      <c r="K669" s="6" t="s">
        <v>987</v>
      </c>
      <c r="L669" s="6" t="s">
        <v>54</v>
      </c>
      <c r="M669" s="6" t="s">
        <v>54</v>
      </c>
      <c r="N669" s="6" t="s">
        <v>3327</v>
      </c>
      <c r="O669" s="6" t="s">
        <v>1220</v>
      </c>
      <c r="P669" s="6"/>
      <c r="Q669" s="8">
        <v>185</v>
      </c>
      <c r="R669" s="8">
        <v>185.55500000000001</v>
      </c>
      <c r="S669" s="8">
        <v>369.9</v>
      </c>
      <c r="T669" s="8">
        <v>14</v>
      </c>
      <c r="U669" s="8"/>
      <c r="V669" s="8">
        <f t="shared" si="6"/>
        <v>0</v>
      </c>
      <c r="W669" s="12">
        <f t="shared" si="7"/>
        <v>0</v>
      </c>
      <c r="Y669">
        <v>0</v>
      </c>
    </row>
    <row r="670" spans="1:25" ht="40" customHeight="1">
      <c r="A670" s="5" t="s">
        <v>3421</v>
      </c>
      <c r="B670" s="6" t="s">
        <v>3422</v>
      </c>
      <c r="C670" s="6">
        <v>220609</v>
      </c>
      <c r="D670" s="6" t="s">
        <v>937</v>
      </c>
      <c r="E670" s="6" t="s">
        <v>3423</v>
      </c>
      <c r="F670" s="6"/>
      <c r="G670" s="6" t="s">
        <v>1128</v>
      </c>
      <c r="H670" s="6" t="s">
        <v>3424</v>
      </c>
      <c r="I670" s="6" t="s">
        <v>417</v>
      </c>
      <c r="J670" s="6" t="s">
        <v>3425</v>
      </c>
      <c r="K670" s="8"/>
      <c r="L670" s="8"/>
      <c r="M670" s="8"/>
      <c r="N670" s="8"/>
      <c r="O670" s="8"/>
      <c r="P670" s="8"/>
      <c r="Q670" s="8">
        <v>160</v>
      </c>
      <c r="R670" s="8">
        <v>160.47999999999999</v>
      </c>
      <c r="S670" s="8">
        <v>319.89999999999998</v>
      </c>
      <c r="T670" s="8">
        <v>14</v>
      </c>
      <c r="U670" s="8"/>
      <c r="V670" s="8">
        <f t="shared" si="6"/>
        <v>0</v>
      </c>
      <c r="W670" s="12">
        <f t="shared" si="7"/>
        <v>0</v>
      </c>
      <c r="Y670">
        <v>0</v>
      </c>
    </row>
    <row r="671" spans="1:25" ht="40.5" customHeight="1">
      <c r="A671" s="5" t="s">
        <v>3426</v>
      </c>
      <c r="B671" s="6" t="s">
        <v>3427</v>
      </c>
      <c r="C671" s="6">
        <v>220609</v>
      </c>
      <c r="D671" s="6" t="s">
        <v>3352</v>
      </c>
      <c r="E671" s="6" t="s">
        <v>3428</v>
      </c>
      <c r="F671" s="6"/>
      <c r="G671" s="6" t="s">
        <v>1128</v>
      </c>
      <c r="H671" s="6" t="s">
        <v>3424</v>
      </c>
      <c r="I671" s="6" t="s">
        <v>417</v>
      </c>
      <c r="J671" s="6" t="s">
        <v>3425</v>
      </c>
      <c r="K671" s="6" t="s">
        <v>3429</v>
      </c>
      <c r="L671" s="6" t="s">
        <v>3430</v>
      </c>
      <c r="M671" s="6" t="s">
        <v>3431</v>
      </c>
      <c r="N671" s="6" t="s">
        <v>3327</v>
      </c>
      <c r="O671" s="6" t="s">
        <v>1133</v>
      </c>
      <c r="P671" s="6"/>
      <c r="Q671" s="8">
        <v>160</v>
      </c>
      <c r="R671" s="8">
        <v>160.47999999999999</v>
      </c>
      <c r="S671" s="8">
        <v>319.89999999999998</v>
      </c>
      <c r="T671" s="8">
        <v>14</v>
      </c>
      <c r="U671" s="8">
        <v>1</v>
      </c>
      <c r="V671" s="8">
        <f t="shared" si="6"/>
        <v>14</v>
      </c>
      <c r="W671" s="12">
        <f t="shared" si="7"/>
        <v>2246.7199999999998</v>
      </c>
      <c r="Y671">
        <v>1</v>
      </c>
    </row>
    <row r="672" spans="1:25" ht="40" customHeight="1">
      <c r="A672" s="5" t="s">
        <v>3432</v>
      </c>
      <c r="B672" s="6" t="s">
        <v>3433</v>
      </c>
      <c r="C672" s="6">
        <v>220609</v>
      </c>
      <c r="D672" s="6" t="s">
        <v>747</v>
      </c>
      <c r="E672" s="6" t="s">
        <v>3434</v>
      </c>
      <c r="F672" s="6"/>
      <c r="G672" s="6" t="s">
        <v>1128</v>
      </c>
      <c r="H672" s="6" t="s">
        <v>3424</v>
      </c>
      <c r="I672" s="6" t="s">
        <v>417</v>
      </c>
      <c r="J672" s="6" t="s">
        <v>3425</v>
      </c>
      <c r="K672" s="6" t="s">
        <v>3435</v>
      </c>
      <c r="L672" s="6" t="s">
        <v>3430</v>
      </c>
      <c r="M672" s="6" t="s">
        <v>3431</v>
      </c>
      <c r="N672" s="6" t="s">
        <v>3327</v>
      </c>
      <c r="O672" s="6" t="s">
        <v>1133</v>
      </c>
      <c r="P672" s="6"/>
      <c r="Q672" s="8">
        <v>160</v>
      </c>
      <c r="R672" s="8">
        <v>160.47999999999999</v>
      </c>
      <c r="S672" s="8">
        <v>319.89999999999998</v>
      </c>
      <c r="T672" s="8">
        <v>14</v>
      </c>
      <c r="U672" s="8"/>
      <c r="V672" s="8">
        <f t="shared" si="6"/>
        <v>0</v>
      </c>
      <c r="W672" s="12">
        <f t="shared" si="7"/>
        <v>0</v>
      </c>
      <c r="Y672">
        <v>0</v>
      </c>
    </row>
    <row r="673" spans="1:25" ht="40" customHeight="1">
      <c r="A673" s="5" t="s">
        <v>3436</v>
      </c>
      <c r="B673" s="6" t="s">
        <v>3437</v>
      </c>
      <c r="C673" s="6">
        <v>220610</v>
      </c>
      <c r="D673" s="6" t="s">
        <v>27</v>
      </c>
      <c r="E673" s="6" t="s">
        <v>3438</v>
      </c>
      <c r="F673" s="6"/>
      <c r="G673" s="6" t="s">
        <v>1128</v>
      </c>
      <c r="H673" s="6" t="s">
        <v>3439</v>
      </c>
      <c r="I673" s="6" t="s">
        <v>417</v>
      </c>
      <c r="J673" s="6" t="s">
        <v>3440</v>
      </c>
      <c r="K673" s="6" t="s">
        <v>996</v>
      </c>
      <c r="L673" s="6" t="s">
        <v>3441</v>
      </c>
      <c r="M673" s="6" t="s">
        <v>3442</v>
      </c>
      <c r="N673" s="6" t="s">
        <v>3327</v>
      </c>
      <c r="O673" s="6" t="s">
        <v>3443</v>
      </c>
      <c r="P673" s="6"/>
      <c r="Q673" s="8">
        <v>175</v>
      </c>
      <c r="R673" s="8">
        <v>175.52500000000001</v>
      </c>
      <c r="S673" s="8">
        <v>349.9</v>
      </c>
      <c r="T673" s="8">
        <v>14</v>
      </c>
      <c r="U673" s="8"/>
      <c r="V673" s="8">
        <f t="shared" si="6"/>
        <v>0</v>
      </c>
      <c r="W673" s="12">
        <f t="shared" si="7"/>
        <v>0</v>
      </c>
      <c r="Y673">
        <v>0</v>
      </c>
    </row>
    <row r="674" spans="1:25" ht="40" customHeight="1">
      <c r="A674" s="5" t="s">
        <v>3444</v>
      </c>
      <c r="B674" s="6" t="s">
        <v>3445</v>
      </c>
      <c r="C674" s="6">
        <v>220610</v>
      </c>
      <c r="D674" s="6" t="s">
        <v>147</v>
      </c>
      <c r="E674" s="6" t="s">
        <v>3446</v>
      </c>
      <c r="F674" s="6"/>
      <c r="G674" s="6" t="s">
        <v>1128</v>
      </c>
      <c r="H674" s="6" t="s">
        <v>3439</v>
      </c>
      <c r="I674" s="6" t="s">
        <v>417</v>
      </c>
      <c r="J674" s="6" t="s">
        <v>3440</v>
      </c>
      <c r="K674" s="6" t="s">
        <v>996</v>
      </c>
      <c r="L674" s="6" t="s">
        <v>3441</v>
      </c>
      <c r="M674" s="6" t="s">
        <v>3442</v>
      </c>
      <c r="N674" s="6" t="s">
        <v>3327</v>
      </c>
      <c r="O674" s="6" t="s">
        <v>3443</v>
      </c>
      <c r="P674" s="6"/>
      <c r="Q674" s="8">
        <v>175</v>
      </c>
      <c r="R674" s="8">
        <v>175.52500000000001</v>
      </c>
      <c r="S674" s="8">
        <v>349.9</v>
      </c>
      <c r="T674" s="8">
        <v>14</v>
      </c>
      <c r="U674" s="8"/>
      <c r="V674" s="8">
        <f t="shared" si="6"/>
        <v>0</v>
      </c>
      <c r="W674" s="12">
        <f t="shared" si="7"/>
        <v>0</v>
      </c>
      <c r="Y674">
        <v>0</v>
      </c>
    </row>
    <row r="675" spans="1:25" ht="40" customHeight="1">
      <c r="A675" s="5" t="s">
        <v>3447</v>
      </c>
      <c r="B675" s="6" t="s">
        <v>3448</v>
      </c>
      <c r="C675" s="6">
        <v>220610</v>
      </c>
      <c r="D675" s="6" t="s">
        <v>3077</v>
      </c>
      <c r="E675" s="6" t="s">
        <v>3449</v>
      </c>
      <c r="F675" s="6"/>
      <c r="G675" s="6" t="s">
        <v>1128</v>
      </c>
      <c r="H675" s="6" t="s">
        <v>3439</v>
      </c>
      <c r="I675" s="6" t="s">
        <v>417</v>
      </c>
      <c r="J675" s="6" t="s">
        <v>3440</v>
      </c>
      <c r="K675" s="6" t="s">
        <v>3450</v>
      </c>
      <c r="L675" s="6" t="s">
        <v>3441</v>
      </c>
      <c r="M675" s="6" t="s">
        <v>3442</v>
      </c>
      <c r="N675" s="6" t="s">
        <v>3327</v>
      </c>
      <c r="O675" s="6" t="s">
        <v>3443</v>
      </c>
      <c r="P675" s="6"/>
      <c r="Q675" s="8">
        <v>175</v>
      </c>
      <c r="R675" s="8">
        <v>175.52500000000001</v>
      </c>
      <c r="S675" s="8">
        <v>349.9</v>
      </c>
      <c r="T675" s="8">
        <v>14</v>
      </c>
      <c r="U675" s="8">
        <v>1</v>
      </c>
      <c r="V675" s="8">
        <f t="shared" si="6"/>
        <v>14</v>
      </c>
      <c r="W675" s="12">
        <f t="shared" si="7"/>
        <v>2457.35</v>
      </c>
      <c r="Y675">
        <v>1</v>
      </c>
    </row>
    <row r="676" spans="1:25" ht="40" customHeight="1">
      <c r="A676" s="5" t="s">
        <v>3451</v>
      </c>
      <c r="B676" s="6" t="s">
        <v>3452</v>
      </c>
      <c r="C676" s="7">
        <v>220613</v>
      </c>
      <c r="D676" s="6" t="s">
        <v>445</v>
      </c>
      <c r="E676" s="7" t="s">
        <v>3453</v>
      </c>
      <c r="F676" s="6"/>
      <c r="G676" s="6" t="s">
        <v>1128</v>
      </c>
      <c r="H676" s="6" t="s">
        <v>215</v>
      </c>
      <c r="I676" s="6" t="s">
        <v>417</v>
      </c>
      <c r="J676" s="6" t="s">
        <v>1129</v>
      </c>
      <c r="K676" s="6" t="s">
        <v>3454</v>
      </c>
      <c r="L676" s="6" t="s">
        <v>3455</v>
      </c>
      <c r="M676" s="6" t="s">
        <v>3456</v>
      </c>
      <c r="N676" s="6" t="s">
        <v>3327</v>
      </c>
      <c r="O676" s="6" t="s">
        <v>1133</v>
      </c>
      <c r="P676" s="6"/>
      <c r="Q676" s="8">
        <v>160</v>
      </c>
      <c r="R676" s="8">
        <v>160.47999999999999</v>
      </c>
      <c r="S676" s="8">
        <v>319.89999999999998</v>
      </c>
      <c r="T676" s="8">
        <v>14</v>
      </c>
      <c r="U676" s="8">
        <v>1</v>
      </c>
      <c r="V676" s="8">
        <f t="shared" si="6"/>
        <v>14</v>
      </c>
      <c r="W676" s="12">
        <f t="shared" si="7"/>
        <v>2246.7199999999998</v>
      </c>
      <c r="Y676">
        <v>1</v>
      </c>
    </row>
    <row r="677" spans="1:25" ht="40" customHeight="1">
      <c r="A677" s="5" t="s">
        <v>3457</v>
      </c>
      <c r="B677" s="6" t="s">
        <v>3458</v>
      </c>
      <c r="C677" s="6">
        <v>220613</v>
      </c>
      <c r="D677" s="6" t="s">
        <v>239</v>
      </c>
      <c r="E677" s="6" t="s">
        <v>3459</v>
      </c>
      <c r="F677" s="6"/>
      <c r="G677" s="6" t="s">
        <v>1128</v>
      </c>
      <c r="H677" s="6" t="s">
        <v>215</v>
      </c>
      <c r="I677" s="6" t="s">
        <v>417</v>
      </c>
      <c r="J677" s="6" t="s">
        <v>1129</v>
      </c>
      <c r="K677" s="6" t="s">
        <v>3460</v>
      </c>
      <c r="L677" s="6" t="s">
        <v>3455</v>
      </c>
      <c r="M677" s="6" t="s">
        <v>3456</v>
      </c>
      <c r="N677" s="6" t="s">
        <v>3327</v>
      </c>
      <c r="O677" s="6" t="s">
        <v>1133</v>
      </c>
      <c r="P677" s="6"/>
      <c r="Q677" s="8">
        <v>160</v>
      </c>
      <c r="R677" s="8">
        <v>160.47999999999999</v>
      </c>
      <c r="S677" s="8">
        <v>319.89999999999998</v>
      </c>
      <c r="T677" s="8">
        <v>14</v>
      </c>
      <c r="U677" s="8">
        <v>1</v>
      </c>
      <c r="V677" s="8">
        <f t="shared" si="6"/>
        <v>14</v>
      </c>
      <c r="W677" s="12">
        <f t="shared" si="7"/>
        <v>2246.7199999999998</v>
      </c>
      <c r="Y677">
        <v>1</v>
      </c>
    </row>
    <row r="678" spans="1:25" ht="40" customHeight="1">
      <c r="A678" s="5" t="s">
        <v>3461</v>
      </c>
      <c r="B678" s="6" t="s">
        <v>3462</v>
      </c>
      <c r="C678" s="7">
        <v>220613</v>
      </c>
      <c r="D678" s="6" t="s">
        <v>3463</v>
      </c>
      <c r="E678" s="7" t="s">
        <v>3464</v>
      </c>
      <c r="F678" s="6"/>
      <c r="G678" s="6" t="s">
        <v>1128</v>
      </c>
      <c r="H678" s="6" t="s">
        <v>215</v>
      </c>
      <c r="I678" s="6" t="s">
        <v>417</v>
      </c>
      <c r="J678" s="6" t="s">
        <v>1129</v>
      </c>
      <c r="K678" s="6" t="s">
        <v>3465</v>
      </c>
      <c r="L678" s="6" t="s">
        <v>3455</v>
      </c>
      <c r="M678" s="6" t="s">
        <v>3456</v>
      </c>
      <c r="N678" s="6" t="s">
        <v>3327</v>
      </c>
      <c r="O678" s="6" t="s">
        <v>1133</v>
      </c>
      <c r="P678" s="6"/>
      <c r="Q678" s="8">
        <v>160</v>
      </c>
      <c r="R678" s="8">
        <v>160.47999999999999</v>
      </c>
      <c r="S678" s="8">
        <v>319.89999999999998</v>
      </c>
      <c r="T678" s="8">
        <v>14</v>
      </c>
      <c r="U678" s="8"/>
      <c r="V678" s="8">
        <f t="shared" si="6"/>
        <v>0</v>
      </c>
      <c r="W678" s="12">
        <f t="shared" si="7"/>
        <v>0</v>
      </c>
      <c r="Y678">
        <v>0</v>
      </c>
    </row>
    <row r="679" spans="1:25" ht="40" customHeight="1">
      <c r="A679" s="5" t="s">
        <v>3466</v>
      </c>
      <c r="B679" s="6" t="s">
        <v>3467</v>
      </c>
      <c r="C679" s="7">
        <v>220613</v>
      </c>
      <c r="D679" s="6" t="s">
        <v>89</v>
      </c>
      <c r="E679" s="7" t="s">
        <v>3468</v>
      </c>
      <c r="F679" s="6"/>
      <c r="G679" s="6" t="s">
        <v>1128</v>
      </c>
      <c r="H679" s="6" t="s">
        <v>215</v>
      </c>
      <c r="I679" s="6" t="s">
        <v>417</v>
      </c>
      <c r="J679" s="6" t="s">
        <v>1129</v>
      </c>
      <c r="K679" s="6" t="s">
        <v>1383</v>
      </c>
      <c r="L679" s="6" t="s">
        <v>3455</v>
      </c>
      <c r="M679" s="6" t="s">
        <v>3456</v>
      </c>
      <c r="N679" s="6" t="s">
        <v>3327</v>
      </c>
      <c r="O679" s="6" t="s">
        <v>1133</v>
      </c>
      <c r="P679" s="6"/>
      <c r="Q679" s="8">
        <v>160</v>
      </c>
      <c r="R679" s="8">
        <v>160.47999999999999</v>
      </c>
      <c r="S679" s="8">
        <v>319.89999999999998</v>
      </c>
      <c r="T679" s="8">
        <v>14</v>
      </c>
      <c r="U679" s="8"/>
      <c r="V679" s="8">
        <f t="shared" ref="V679:V742" si="8">T679*U679</f>
        <v>0</v>
      </c>
      <c r="W679" s="12">
        <f t="shared" ref="W679:W742" si="9">R679*V679</f>
        <v>0</v>
      </c>
      <c r="Y679">
        <v>0</v>
      </c>
    </row>
    <row r="680" spans="1:25" ht="40" customHeight="1">
      <c r="A680" s="5" t="s">
        <v>3469</v>
      </c>
      <c r="B680" s="6" t="s">
        <v>3470</v>
      </c>
      <c r="C680" s="6">
        <v>220613</v>
      </c>
      <c r="D680" s="6" t="s">
        <v>3471</v>
      </c>
      <c r="E680" s="6" t="s">
        <v>3472</v>
      </c>
      <c r="F680" s="6"/>
      <c r="G680" s="6" t="s">
        <v>1128</v>
      </c>
      <c r="H680" s="6" t="s">
        <v>215</v>
      </c>
      <c r="I680" s="6" t="s">
        <v>417</v>
      </c>
      <c r="J680" s="6" t="s">
        <v>1129</v>
      </c>
      <c r="K680" s="6" t="s">
        <v>3473</v>
      </c>
      <c r="L680" s="6" t="s">
        <v>3455</v>
      </c>
      <c r="M680" s="6" t="s">
        <v>3456</v>
      </c>
      <c r="N680" s="6" t="s">
        <v>3327</v>
      </c>
      <c r="O680" s="6" t="s">
        <v>1133</v>
      </c>
      <c r="P680" s="6"/>
      <c r="Q680" s="8">
        <v>160</v>
      </c>
      <c r="R680" s="8">
        <v>160.47999999999999</v>
      </c>
      <c r="S680" s="8">
        <v>319.89999999999998</v>
      </c>
      <c r="T680" s="8">
        <v>14</v>
      </c>
      <c r="U680" s="8"/>
      <c r="V680" s="8">
        <f t="shared" si="8"/>
        <v>0</v>
      </c>
      <c r="W680" s="12">
        <f t="shared" si="9"/>
        <v>0</v>
      </c>
      <c r="Y680">
        <v>0</v>
      </c>
    </row>
    <row r="681" spans="1:25" ht="40" customHeight="1">
      <c r="A681" s="5" t="s">
        <v>3474</v>
      </c>
      <c r="B681" s="6" t="s">
        <v>3475</v>
      </c>
      <c r="C681" s="6">
        <v>220613</v>
      </c>
      <c r="D681" s="6" t="s">
        <v>3077</v>
      </c>
      <c r="E681" s="6" t="s">
        <v>3476</v>
      </c>
      <c r="F681" s="6"/>
      <c r="G681" s="6" t="s">
        <v>1128</v>
      </c>
      <c r="H681" s="6" t="s">
        <v>215</v>
      </c>
      <c r="I681" s="6" t="s">
        <v>417</v>
      </c>
      <c r="J681" s="6" t="s">
        <v>1129</v>
      </c>
      <c r="K681" s="6" t="s">
        <v>3477</v>
      </c>
      <c r="L681" s="6" t="s">
        <v>3455</v>
      </c>
      <c r="M681" s="6" t="s">
        <v>3456</v>
      </c>
      <c r="N681" s="6" t="s">
        <v>3327</v>
      </c>
      <c r="O681" s="6" t="s">
        <v>1133</v>
      </c>
      <c r="P681" s="6"/>
      <c r="Q681" s="8">
        <v>160</v>
      </c>
      <c r="R681" s="8">
        <v>160.47999999999999</v>
      </c>
      <c r="S681" s="8">
        <v>319.89999999999998</v>
      </c>
      <c r="T681" s="8">
        <v>14</v>
      </c>
      <c r="U681" s="8"/>
      <c r="V681" s="8">
        <f t="shared" si="8"/>
        <v>0</v>
      </c>
      <c r="W681" s="12">
        <f t="shared" si="9"/>
        <v>0</v>
      </c>
      <c r="Y681">
        <v>0</v>
      </c>
    </row>
    <row r="682" spans="1:25" ht="40" customHeight="1">
      <c r="A682" s="5" t="s">
        <v>3478</v>
      </c>
      <c r="B682" s="6" t="s">
        <v>3479</v>
      </c>
      <c r="C682" s="6">
        <v>220613</v>
      </c>
      <c r="D682" s="6" t="s">
        <v>94</v>
      </c>
      <c r="E682" s="6" t="s">
        <v>3480</v>
      </c>
      <c r="F682" s="6"/>
      <c r="G682" s="6" t="s">
        <v>1128</v>
      </c>
      <c r="H682" s="6" t="s">
        <v>215</v>
      </c>
      <c r="I682" s="6" t="s">
        <v>417</v>
      </c>
      <c r="J682" s="6" t="s">
        <v>1129</v>
      </c>
      <c r="K682" s="6" t="s">
        <v>3481</v>
      </c>
      <c r="L682" s="6" t="s">
        <v>3455</v>
      </c>
      <c r="M682" s="6" t="s">
        <v>3456</v>
      </c>
      <c r="N682" s="6" t="s">
        <v>3327</v>
      </c>
      <c r="O682" s="6" t="s">
        <v>1133</v>
      </c>
      <c r="P682" s="6"/>
      <c r="Q682" s="8">
        <v>160</v>
      </c>
      <c r="R682" s="8">
        <v>160.47999999999999</v>
      </c>
      <c r="S682" s="8">
        <v>319.89999999999998</v>
      </c>
      <c r="T682" s="8">
        <v>14</v>
      </c>
      <c r="U682" s="8"/>
      <c r="V682" s="8">
        <f t="shared" si="8"/>
        <v>0</v>
      </c>
      <c r="W682" s="12">
        <f t="shared" si="9"/>
        <v>0</v>
      </c>
      <c r="Y682">
        <v>0</v>
      </c>
    </row>
    <row r="683" spans="1:25" ht="40" customHeight="1">
      <c r="A683" s="5" t="s">
        <v>3482</v>
      </c>
      <c r="B683" s="6" t="s">
        <v>3483</v>
      </c>
      <c r="C683" s="6">
        <v>220613</v>
      </c>
      <c r="D683" s="6" t="s">
        <v>126</v>
      </c>
      <c r="E683" s="6" t="s">
        <v>3484</v>
      </c>
      <c r="F683" s="6"/>
      <c r="G683" s="6" t="s">
        <v>1128</v>
      </c>
      <c r="H683" s="6" t="s">
        <v>215</v>
      </c>
      <c r="I683" s="6" t="s">
        <v>417</v>
      </c>
      <c r="J683" s="6" t="s">
        <v>1129</v>
      </c>
      <c r="K683" s="6" t="s">
        <v>553</v>
      </c>
      <c r="L683" s="6" t="s">
        <v>3455</v>
      </c>
      <c r="M683" s="6" t="s">
        <v>3456</v>
      </c>
      <c r="N683" s="6" t="s">
        <v>3327</v>
      </c>
      <c r="O683" s="6" t="s">
        <v>1133</v>
      </c>
      <c r="P683" s="6"/>
      <c r="Q683" s="8">
        <v>160</v>
      </c>
      <c r="R683" s="8">
        <v>160.47999999999999</v>
      </c>
      <c r="S683" s="8">
        <v>319.89999999999998</v>
      </c>
      <c r="T683" s="8">
        <v>14</v>
      </c>
      <c r="U683" s="8">
        <v>1</v>
      </c>
      <c r="V683" s="8">
        <f t="shared" si="8"/>
        <v>14</v>
      </c>
      <c r="W683" s="12">
        <f t="shared" si="9"/>
        <v>2246.7199999999998</v>
      </c>
      <c r="Y683">
        <v>1</v>
      </c>
    </row>
    <row r="684" spans="1:25" ht="40" customHeight="1">
      <c r="A684" s="5" t="s">
        <v>3485</v>
      </c>
      <c r="B684" s="8" t="s">
        <v>3486</v>
      </c>
      <c r="C684" s="8" t="s">
        <v>3487</v>
      </c>
      <c r="D684" s="6" t="s">
        <v>27</v>
      </c>
      <c r="E684" s="8" t="s">
        <v>3488</v>
      </c>
      <c r="F684" s="6" t="s">
        <v>5</v>
      </c>
      <c r="G684" s="6" t="s">
        <v>1128</v>
      </c>
      <c r="H684" s="6" t="s">
        <v>215</v>
      </c>
      <c r="I684" s="6" t="s">
        <v>417</v>
      </c>
      <c r="J684" s="6" t="s">
        <v>1129</v>
      </c>
      <c r="K684" s="6" t="s">
        <v>365</v>
      </c>
      <c r="L684" s="6" t="s">
        <v>3455</v>
      </c>
      <c r="M684" s="6" t="s">
        <v>3456</v>
      </c>
      <c r="N684" s="6" t="s">
        <v>3327</v>
      </c>
      <c r="O684" s="6" t="s">
        <v>1133</v>
      </c>
      <c r="P684" s="6"/>
      <c r="Q684" s="8">
        <v>160</v>
      </c>
      <c r="R684" s="8">
        <v>160.47999999999999</v>
      </c>
      <c r="S684" s="8">
        <v>319.89999999999998</v>
      </c>
      <c r="T684" s="8">
        <v>14</v>
      </c>
      <c r="U684" s="8"/>
      <c r="V684" s="8">
        <f t="shared" si="8"/>
        <v>0</v>
      </c>
      <c r="W684" s="12">
        <f t="shared" si="9"/>
        <v>0</v>
      </c>
      <c r="Y684">
        <v>0</v>
      </c>
    </row>
    <row r="685" spans="1:25" ht="40" customHeight="1">
      <c r="A685" s="5" t="s">
        <v>3489</v>
      </c>
      <c r="B685" s="8" t="s">
        <v>3490</v>
      </c>
      <c r="C685" s="8" t="s">
        <v>3487</v>
      </c>
      <c r="D685" s="6" t="s">
        <v>64</v>
      </c>
      <c r="E685" s="8" t="s">
        <v>3491</v>
      </c>
      <c r="F685" s="6" t="s">
        <v>5</v>
      </c>
      <c r="G685" s="6" t="s">
        <v>1128</v>
      </c>
      <c r="H685" s="6" t="s">
        <v>215</v>
      </c>
      <c r="I685" s="6" t="s">
        <v>417</v>
      </c>
      <c r="J685" s="6" t="s">
        <v>1129</v>
      </c>
      <c r="K685" s="6" t="s">
        <v>3492</v>
      </c>
      <c r="L685" s="6" t="s">
        <v>3455</v>
      </c>
      <c r="M685" s="6" t="s">
        <v>3456</v>
      </c>
      <c r="N685" s="6" t="s">
        <v>3327</v>
      </c>
      <c r="O685" s="6" t="s">
        <v>1133</v>
      </c>
      <c r="P685" s="6"/>
      <c r="Q685" s="8">
        <v>160</v>
      </c>
      <c r="R685" s="8">
        <v>160.47999999999999</v>
      </c>
      <c r="S685" s="8">
        <v>319.89999999999998</v>
      </c>
      <c r="T685" s="8">
        <v>14</v>
      </c>
      <c r="U685" s="8"/>
      <c r="V685" s="8">
        <f t="shared" si="8"/>
        <v>0</v>
      </c>
      <c r="W685" s="12">
        <f t="shared" si="9"/>
        <v>0</v>
      </c>
      <c r="Y685">
        <v>0</v>
      </c>
    </row>
    <row r="686" spans="1:25" ht="40" customHeight="1">
      <c r="A686" s="5" t="s">
        <v>3493</v>
      </c>
      <c r="B686" s="8" t="s">
        <v>3494</v>
      </c>
      <c r="C686" s="8" t="s">
        <v>3487</v>
      </c>
      <c r="D686" s="6" t="s">
        <v>524</v>
      </c>
      <c r="E686" s="8" t="s">
        <v>3495</v>
      </c>
      <c r="F686" s="6" t="s">
        <v>5</v>
      </c>
      <c r="G686" s="6" t="s">
        <v>1128</v>
      </c>
      <c r="H686" s="6" t="s">
        <v>215</v>
      </c>
      <c r="I686" s="6" t="s">
        <v>417</v>
      </c>
      <c r="J686" s="6" t="s">
        <v>1129</v>
      </c>
      <c r="K686" s="6" t="s">
        <v>3496</v>
      </c>
      <c r="L686" s="6" t="s">
        <v>3455</v>
      </c>
      <c r="M686" s="6" t="s">
        <v>3456</v>
      </c>
      <c r="N686" s="6" t="s">
        <v>3327</v>
      </c>
      <c r="O686" s="6" t="s">
        <v>1133</v>
      </c>
      <c r="P686" s="6"/>
      <c r="Q686" s="8">
        <v>160</v>
      </c>
      <c r="R686" s="8">
        <v>160.47999999999999</v>
      </c>
      <c r="S686" s="8">
        <v>319.89999999999998</v>
      </c>
      <c r="T686" s="8">
        <v>14</v>
      </c>
      <c r="U686" s="8"/>
      <c r="V686" s="8">
        <f t="shared" si="8"/>
        <v>0</v>
      </c>
      <c r="W686" s="12">
        <f t="shared" si="9"/>
        <v>0</v>
      </c>
      <c r="Y686">
        <v>0</v>
      </c>
    </row>
    <row r="687" spans="1:25" ht="40" customHeight="1">
      <c r="A687" s="5" t="s">
        <v>3497</v>
      </c>
      <c r="B687" s="6" t="s">
        <v>3498</v>
      </c>
      <c r="C687" s="6">
        <v>220615</v>
      </c>
      <c r="D687" s="6" t="s">
        <v>64</v>
      </c>
      <c r="E687" s="6" t="s">
        <v>3499</v>
      </c>
      <c r="F687" s="6"/>
      <c r="G687" s="6" t="s">
        <v>1128</v>
      </c>
      <c r="H687" s="6" t="s">
        <v>3500</v>
      </c>
      <c r="I687" s="6" t="s">
        <v>417</v>
      </c>
      <c r="J687" s="6" t="s">
        <v>3501</v>
      </c>
      <c r="K687" s="6" t="s">
        <v>3331</v>
      </c>
      <c r="L687" s="6" t="s">
        <v>1131</v>
      </c>
      <c r="M687" s="6" t="s">
        <v>3502</v>
      </c>
      <c r="N687" s="6" t="s">
        <v>3327</v>
      </c>
      <c r="O687" s="6" t="s">
        <v>3503</v>
      </c>
      <c r="P687" s="6"/>
      <c r="Q687" s="8">
        <v>160</v>
      </c>
      <c r="R687" s="8">
        <v>160.47999999999999</v>
      </c>
      <c r="S687" s="8">
        <v>319.89999999999998</v>
      </c>
      <c r="T687" s="8">
        <v>14</v>
      </c>
      <c r="U687" s="8"/>
      <c r="V687" s="8">
        <f t="shared" si="8"/>
        <v>0</v>
      </c>
      <c r="W687" s="12">
        <f t="shared" si="9"/>
        <v>0</v>
      </c>
      <c r="Y687">
        <v>0</v>
      </c>
    </row>
    <row r="688" spans="1:25" ht="40" customHeight="1">
      <c r="A688" s="5" t="s">
        <v>3504</v>
      </c>
      <c r="B688" s="6" t="s">
        <v>3505</v>
      </c>
      <c r="C688" s="7">
        <v>220615</v>
      </c>
      <c r="D688" s="6" t="s">
        <v>1286</v>
      </c>
      <c r="E688" s="7" t="s">
        <v>3506</v>
      </c>
      <c r="F688" s="6"/>
      <c r="G688" s="6" t="s">
        <v>1128</v>
      </c>
      <c r="H688" s="6" t="s">
        <v>3500</v>
      </c>
      <c r="I688" s="6" t="s">
        <v>417</v>
      </c>
      <c r="J688" s="6" t="s">
        <v>3501</v>
      </c>
      <c r="K688" s="6" t="s">
        <v>3393</v>
      </c>
      <c r="L688" s="6" t="s">
        <v>1131</v>
      </c>
      <c r="M688" s="6" t="s">
        <v>3502</v>
      </c>
      <c r="N688" s="6" t="s">
        <v>3327</v>
      </c>
      <c r="O688" s="6" t="s">
        <v>3503</v>
      </c>
      <c r="P688" s="6"/>
      <c r="Q688" s="8">
        <v>160</v>
      </c>
      <c r="R688" s="8">
        <v>160.47999999999999</v>
      </c>
      <c r="S688" s="8">
        <v>319.89999999999998</v>
      </c>
      <c r="T688" s="8">
        <v>14</v>
      </c>
      <c r="U688" s="8"/>
      <c r="V688" s="8">
        <f t="shared" si="8"/>
        <v>0</v>
      </c>
      <c r="W688" s="12">
        <f t="shared" si="9"/>
        <v>0</v>
      </c>
      <c r="Y688">
        <v>0</v>
      </c>
    </row>
    <row r="689" spans="1:25" ht="40" customHeight="1">
      <c r="A689" s="5" t="s">
        <v>3507</v>
      </c>
      <c r="B689" s="8" t="s">
        <v>3508</v>
      </c>
      <c r="C689" s="8" t="s">
        <v>3509</v>
      </c>
      <c r="D689" s="6" t="s">
        <v>1426</v>
      </c>
      <c r="E689" s="8" t="s">
        <v>3510</v>
      </c>
      <c r="F689" s="6" t="s">
        <v>5</v>
      </c>
      <c r="G689" s="6" t="s">
        <v>1128</v>
      </c>
      <c r="H689" s="6" t="s">
        <v>3500</v>
      </c>
      <c r="I689" s="6" t="s">
        <v>417</v>
      </c>
      <c r="J689" s="6" t="s">
        <v>3501</v>
      </c>
      <c r="K689" s="6" t="s">
        <v>3511</v>
      </c>
      <c r="L689" s="6" t="s">
        <v>1131</v>
      </c>
      <c r="M689" s="6" t="s">
        <v>3502</v>
      </c>
      <c r="N689" s="6" t="s">
        <v>3327</v>
      </c>
      <c r="O689" s="6" t="s">
        <v>3503</v>
      </c>
      <c r="P689" s="6"/>
      <c r="Q689" s="8">
        <v>160</v>
      </c>
      <c r="R689" s="8">
        <v>160.47999999999999</v>
      </c>
      <c r="S689" s="8">
        <v>319.89999999999998</v>
      </c>
      <c r="T689" s="8">
        <v>14</v>
      </c>
      <c r="U689" s="8"/>
      <c r="V689" s="8">
        <f t="shared" si="8"/>
        <v>0</v>
      </c>
      <c r="W689" s="12">
        <f t="shared" si="9"/>
        <v>0</v>
      </c>
      <c r="Y689">
        <v>0</v>
      </c>
    </row>
    <row r="690" spans="1:25" ht="40" customHeight="1">
      <c r="A690" s="5" t="s">
        <v>3512</v>
      </c>
      <c r="B690" s="6" t="s">
        <v>3513</v>
      </c>
      <c r="C690" s="6">
        <v>220623</v>
      </c>
      <c r="D690" s="6" t="s">
        <v>27</v>
      </c>
      <c r="E690" s="6" t="s">
        <v>3514</v>
      </c>
      <c r="F690" s="6"/>
      <c r="G690" s="6" t="s">
        <v>1128</v>
      </c>
      <c r="H690" s="6" t="s">
        <v>3515</v>
      </c>
      <c r="I690" s="6" t="s">
        <v>417</v>
      </c>
      <c r="J690" s="6" t="s">
        <v>3516</v>
      </c>
      <c r="K690" s="6" t="s">
        <v>3517</v>
      </c>
      <c r="L690" s="6" t="s">
        <v>54</v>
      </c>
      <c r="M690" s="6" t="s">
        <v>54</v>
      </c>
      <c r="N690" s="6" t="s">
        <v>3327</v>
      </c>
      <c r="O690" s="6" t="s">
        <v>3518</v>
      </c>
      <c r="P690" s="6"/>
      <c r="Q690" s="8">
        <v>175</v>
      </c>
      <c r="R690" s="8">
        <v>175.52500000000001</v>
      </c>
      <c r="S690" s="8">
        <v>349.9</v>
      </c>
      <c r="T690" s="8">
        <v>14</v>
      </c>
      <c r="U690" s="8"/>
      <c r="V690" s="8">
        <f t="shared" si="8"/>
        <v>0</v>
      </c>
      <c r="W690" s="12">
        <f t="shared" si="9"/>
        <v>0</v>
      </c>
      <c r="Y690">
        <v>0</v>
      </c>
    </row>
    <row r="691" spans="1:25" ht="40" customHeight="1">
      <c r="A691" s="5" t="s">
        <v>3519</v>
      </c>
      <c r="B691" s="6" t="s">
        <v>3520</v>
      </c>
      <c r="C691" s="6">
        <v>220623</v>
      </c>
      <c r="D691" s="6" t="s">
        <v>1699</v>
      </c>
      <c r="E691" s="6" t="s">
        <v>3521</v>
      </c>
      <c r="F691" s="6"/>
      <c r="G691" s="6" t="s">
        <v>1128</v>
      </c>
      <c r="H691" s="6" t="s">
        <v>3515</v>
      </c>
      <c r="I691" s="6" t="s">
        <v>417</v>
      </c>
      <c r="J691" s="6" t="s">
        <v>3516</v>
      </c>
      <c r="K691" s="6" t="s">
        <v>3522</v>
      </c>
      <c r="L691" s="6" t="s">
        <v>54</v>
      </c>
      <c r="M691" s="6" t="s">
        <v>54</v>
      </c>
      <c r="N691" s="6" t="s">
        <v>3327</v>
      </c>
      <c r="O691" s="6" t="s">
        <v>3518</v>
      </c>
      <c r="P691" s="6"/>
      <c r="Q691" s="8">
        <v>175</v>
      </c>
      <c r="R691" s="8">
        <v>175.52500000000001</v>
      </c>
      <c r="S691" s="8">
        <v>349.9</v>
      </c>
      <c r="T691" s="8">
        <v>14</v>
      </c>
      <c r="U691" s="8">
        <v>1</v>
      </c>
      <c r="V691" s="8">
        <f t="shared" si="8"/>
        <v>14</v>
      </c>
      <c r="W691" s="12">
        <f t="shared" si="9"/>
        <v>2457.35</v>
      </c>
      <c r="Y691">
        <v>1</v>
      </c>
    </row>
    <row r="692" spans="1:25" ht="40" customHeight="1">
      <c r="A692" s="5" t="s">
        <v>3523</v>
      </c>
      <c r="B692" s="6" t="s">
        <v>3524</v>
      </c>
      <c r="C692" s="6">
        <v>220632</v>
      </c>
      <c r="D692" s="6" t="s">
        <v>3525</v>
      </c>
      <c r="E692" s="6" t="s">
        <v>3526</v>
      </c>
      <c r="F692" s="6"/>
      <c r="G692" s="6" t="s">
        <v>1128</v>
      </c>
      <c r="H692" s="6" t="s">
        <v>3527</v>
      </c>
      <c r="I692" s="6" t="s">
        <v>417</v>
      </c>
      <c r="J692" s="6" t="s">
        <v>3528</v>
      </c>
      <c r="K692" s="6" t="s">
        <v>978</v>
      </c>
      <c r="L692" s="6" t="s">
        <v>54</v>
      </c>
      <c r="M692" s="6" t="s">
        <v>54</v>
      </c>
      <c r="N692" s="6" t="s">
        <v>3327</v>
      </c>
      <c r="O692" s="6" t="s">
        <v>3529</v>
      </c>
      <c r="P692" s="6"/>
      <c r="Q692" s="8">
        <v>185</v>
      </c>
      <c r="R692" s="8">
        <v>185.55500000000001</v>
      </c>
      <c r="S692" s="8">
        <v>369.9</v>
      </c>
      <c r="T692" s="8">
        <v>14</v>
      </c>
      <c r="U692" s="8">
        <v>1</v>
      </c>
      <c r="V692" s="8">
        <f t="shared" si="8"/>
        <v>14</v>
      </c>
      <c r="W692" s="12">
        <f t="shared" si="9"/>
        <v>2597.77</v>
      </c>
      <c r="Y692">
        <v>1</v>
      </c>
    </row>
    <row r="693" spans="1:25" ht="40" customHeight="1">
      <c r="A693" s="5" t="s">
        <v>3530</v>
      </c>
      <c r="B693" s="6" t="s">
        <v>3531</v>
      </c>
      <c r="C693" s="6">
        <v>220632</v>
      </c>
      <c r="D693" s="6" t="s">
        <v>45</v>
      </c>
      <c r="E693" s="6" t="s">
        <v>3532</v>
      </c>
      <c r="F693" s="6"/>
      <c r="G693" s="6" t="s">
        <v>1128</v>
      </c>
      <c r="H693" s="6" t="s">
        <v>3527</v>
      </c>
      <c r="I693" s="6" t="s">
        <v>417</v>
      </c>
      <c r="J693" s="6" t="s">
        <v>3528</v>
      </c>
      <c r="K693" s="6" t="s">
        <v>991</v>
      </c>
      <c r="L693" s="6" t="s">
        <v>54</v>
      </c>
      <c r="M693" s="6" t="s">
        <v>54</v>
      </c>
      <c r="N693" s="6" t="s">
        <v>3327</v>
      </c>
      <c r="O693" s="6" t="s">
        <v>3529</v>
      </c>
      <c r="P693" s="6"/>
      <c r="Q693" s="8">
        <v>185</v>
      </c>
      <c r="R693" s="8">
        <v>185.55500000000001</v>
      </c>
      <c r="S693" s="8">
        <v>369.9</v>
      </c>
      <c r="T693" s="8">
        <v>14</v>
      </c>
      <c r="U693" s="8">
        <v>1</v>
      </c>
      <c r="V693" s="8">
        <f t="shared" si="8"/>
        <v>14</v>
      </c>
      <c r="W693" s="12">
        <f t="shared" si="9"/>
        <v>2597.77</v>
      </c>
      <c r="Y693">
        <v>1</v>
      </c>
    </row>
    <row r="694" spans="1:25" ht="40" customHeight="1">
      <c r="A694" s="5" t="s">
        <v>3533</v>
      </c>
      <c r="B694" s="6" t="s">
        <v>3534</v>
      </c>
      <c r="C694" s="6">
        <v>220757</v>
      </c>
      <c r="D694" s="6" t="s">
        <v>27</v>
      </c>
      <c r="E694" s="6" t="s">
        <v>3535</v>
      </c>
      <c r="F694" s="6"/>
      <c r="G694" s="6" t="s">
        <v>3536</v>
      </c>
      <c r="H694" s="6" t="s">
        <v>3537</v>
      </c>
      <c r="I694" s="6" t="s">
        <v>417</v>
      </c>
      <c r="J694" s="6" t="s">
        <v>3538</v>
      </c>
      <c r="K694" s="6" t="s">
        <v>3517</v>
      </c>
      <c r="L694" s="6" t="s">
        <v>3539</v>
      </c>
      <c r="M694" s="6" t="s">
        <v>3540</v>
      </c>
      <c r="N694" s="6" t="s">
        <v>3541</v>
      </c>
      <c r="O694" s="6" t="s">
        <v>3542</v>
      </c>
      <c r="P694" s="6"/>
      <c r="Q694" s="8">
        <v>225</v>
      </c>
      <c r="R694" s="8">
        <v>225.67500000000001</v>
      </c>
      <c r="S694" s="8">
        <v>449.9</v>
      </c>
      <c r="T694" s="8">
        <v>14</v>
      </c>
      <c r="U694" s="8"/>
      <c r="V694" s="8">
        <f t="shared" si="8"/>
        <v>0</v>
      </c>
      <c r="W694" s="12">
        <f t="shared" si="9"/>
        <v>0</v>
      </c>
      <c r="Y694">
        <v>0</v>
      </c>
    </row>
    <row r="695" spans="1:25" ht="40" customHeight="1">
      <c r="A695" s="5" t="s">
        <v>3543</v>
      </c>
      <c r="B695" s="6" t="s">
        <v>3544</v>
      </c>
      <c r="C695" s="6">
        <v>220757</v>
      </c>
      <c r="D695" s="6" t="s">
        <v>3545</v>
      </c>
      <c r="E695" s="6" t="s">
        <v>3546</v>
      </c>
      <c r="F695" s="6"/>
      <c r="G695" s="6" t="s">
        <v>3536</v>
      </c>
      <c r="H695" s="6" t="s">
        <v>3537</v>
      </c>
      <c r="I695" s="6" t="s">
        <v>417</v>
      </c>
      <c r="J695" s="6" t="s">
        <v>3538</v>
      </c>
      <c r="K695" s="6" t="s">
        <v>3547</v>
      </c>
      <c r="L695" s="6" t="s">
        <v>3539</v>
      </c>
      <c r="M695" s="6" t="s">
        <v>3540</v>
      </c>
      <c r="N695" s="6" t="s">
        <v>3541</v>
      </c>
      <c r="O695" s="6" t="s">
        <v>3542</v>
      </c>
      <c r="P695" s="6"/>
      <c r="Q695" s="8">
        <v>225</v>
      </c>
      <c r="R695" s="8">
        <v>225.67500000000001</v>
      </c>
      <c r="S695" s="8">
        <v>449.9</v>
      </c>
      <c r="T695" s="8">
        <v>14</v>
      </c>
      <c r="U695" s="8"/>
      <c r="V695" s="8">
        <f t="shared" si="8"/>
        <v>0</v>
      </c>
      <c r="W695" s="12">
        <f t="shared" si="9"/>
        <v>0</v>
      </c>
      <c r="Y695">
        <v>0</v>
      </c>
    </row>
    <row r="696" spans="1:25" ht="40" customHeight="1">
      <c r="A696" s="5" t="s">
        <v>3548</v>
      </c>
      <c r="B696" s="6" t="s">
        <v>3549</v>
      </c>
      <c r="C696" s="6">
        <v>220774</v>
      </c>
      <c r="D696" s="6" t="s">
        <v>3525</v>
      </c>
      <c r="E696" s="6" t="s">
        <v>3550</v>
      </c>
      <c r="F696" s="6"/>
      <c r="G696" s="6" t="s">
        <v>3551</v>
      </c>
      <c r="H696" s="6" t="s">
        <v>3552</v>
      </c>
      <c r="I696" s="6" t="s">
        <v>417</v>
      </c>
      <c r="J696" s="6" t="s">
        <v>3553</v>
      </c>
      <c r="K696" s="6" t="s">
        <v>3429</v>
      </c>
      <c r="L696" s="6" t="s">
        <v>3554</v>
      </c>
      <c r="M696" s="6" t="s">
        <v>3555</v>
      </c>
      <c r="N696" s="6" t="s">
        <v>3327</v>
      </c>
      <c r="O696" s="6" t="s">
        <v>3556</v>
      </c>
      <c r="P696" s="6"/>
      <c r="Q696" s="8">
        <v>225</v>
      </c>
      <c r="R696" s="8">
        <v>225.67500000000001</v>
      </c>
      <c r="S696" s="8">
        <v>449.9</v>
      </c>
      <c r="T696" s="8">
        <v>14</v>
      </c>
      <c r="U696" s="8">
        <v>1</v>
      </c>
      <c r="V696" s="8">
        <f t="shared" si="8"/>
        <v>14</v>
      </c>
      <c r="W696" s="12">
        <f t="shared" si="9"/>
        <v>3159.45</v>
      </c>
      <c r="Y696">
        <v>1</v>
      </c>
    </row>
    <row r="697" spans="1:25" ht="40" customHeight="1">
      <c r="A697" s="5" t="s">
        <v>3557</v>
      </c>
      <c r="B697" s="6" t="s">
        <v>3558</v>
      </c>
      <c r="C697" s="6">
        <v>220774</v>
      </c>
      <c r="D697" s="6" t="s">
        <v>3559</v>
      </c>
      <c r="E697" s="6" t="s">
        <v>3560</v>
      </c>
      <c r="F697" s="6"/>
      <c r="G697" s="6" t="s">
        <v>3551</v>
      </c>
      <c r="H697" s="6" t="s">
        <v>3552</v>
      </c>
      <c r="I697" s="6" t="s">
        <v>417</v>
      </c>
      <c r="J697" s="6" t="s">
        <v>3553</v>
      </c>
      <c r="K697" s="6" t="s">
        <v>3561</v>
      </c>
      <c r="L697" s="6" t="s">
        <v>3554</v>
      </c>
      <c r="M697" s="6" t="s">
        <v>3555</v>
      </c>
      <c r="N697" s="6" t="s">
        <v>3327</v>
      </c>
      <c r="O697" s="6" t="s">
        <v>3556</v>
      </c>
      <c r="P697" s="6"/>
      <c r="Q697" s="8">
        <v>225</v>
      </c>
      <c r="R697" s="8">
        <v>225.67500000000001</v>
      </c>
      <c r="S697" s="8">
        <v>449.9</v>
      </c>
      <c r="T697" s="8">
        <v>14</v>
      </c>
      <c r="U697" s="8"/>
      <c r="V697" s="8">
        <f t="shared" si="8"/>
        <v>0</v>
      </c>
      <c r="W697" s="12">
        <f t="shared" si="9"/>
        <v>0</v>
      </c>
      <c r="Y697">
        <v>0</v>
      </c>
    </row>
    <row r="698" spans="1:25" ht="40" customHeight="1">
      <c r="A698" s="5" t="s">
        <v>3562</v>
      </c>
      <c r="B698" s="6" t="s">
        <v>3563</v>
      </c>
      <c r="C698" s="6">
        <v>220774</v>
      </c>
      <c r="D698" s="6" t="s">
        <v>357</v>
      </c>
      <c r="E698" s="6" t="s">
        <v>3564</v>
      </c>
      <c r="F698" s="6"/>
      <c r="G698" s="6" t="s">
        <v>3551</v>
      </c>
      <c r="H698" s="6" t="s">
        <v>3552</v>
      </c>
      <c r="I698" s="6" t="s">
        <v>417</v>
      </c>
      <c r="J698" s="6" t="s">
        <v>3553</v>
      </c>
      <c r="K698" s="6" t="s">
        <v>3565</v>
      </c>
      <c r="L698" s="6" t="s">
        <v>3554</v>
      </c>
      <c r="M698" s="6" t="s">
        <v>3555</v>
      </c>
      <c r="N698" s="6" t="s">
        <v>3327</v>
      </c>
      <c r="O698" s="6" t="s">
        <v>3556</v>
      </c>
      <c r="P698" s="6"/>
      <c r="Q698" s="8">
        <v>225</v>
      </c>
      <c r="R698" s="8">
        <v>225.67500000000001</v>
      </c>
      <c r="S698" s="8">
        <v>449.9</v>
      </c>
      <c r="T698" s="8">
        <v>14</v>
      </c>
      <c r="U698" s="8"/>
      <c r="V698" s="8">
        <f t="shared" si="8"/>
        <v>0</v>
      </c>
      <c r="W698" s="12">
        <f t="shared" si="9"/>
        <v>0</v>
      </c>
      <c r="Y698">
        <v>0</v>
      </c>
    </row>
    <row r="699" spans="1:25" ht="40" customHeight="1">
      <c r="A699" s="5" t="s">
        <v>3566</v>
      </c>
      <c r="B699" s="6" t="s">
        <v>3567</v>
      </c>
      <c r="C699" s="6">
        <v>220837</v>
      </c>
      <c r="D699" s="6" t="s">
        <v>27</v>
      </c>
      <c r="E699" s="6" t="s">
        <v>3568</v>
      </c>
      <c r="F699" s="6"/>
      <c r="G699" s="6" t="s">
        <v>3551</v>
      </c>
      <c r="H699" s="6" t="s">
        <v>3569</v>
      </c>
      <c r="I699" s="6" t="s">
        <v>417</v>
      </c>
      <c r="J699" s="6" t="s">
        <v>3570</v>
      </c>
      <c r="K699" s="6" t="s">
        <v>978</v>
      </c>
      <c r="L699" s="6" t="s">
        <v>3571</v>
      </c>
      <c r="M699" s="6" t="s">
        <v>3572</v>
      </c>
      <c r="N699" s="6" t="s">
        <v>3327</v>
      </c>
      <c r="O699" s="6" t="s">
        <v>3556</v>
      </c>
      <c r="P699" s="6"/>
      <c r="Q699" s="8">
        <v>225</v>
      </c>
      <c r="R699" s="8">
        <v>225.67500000000001</v>
      </c>
      <c r="S699" s="8">
        <v>449.9</v>
      </c>
      <c r="T699" s="8">
        <v>14</v>
      </c>
      <c r="U699" s="8">
        <v>1</v>
      </c>
      <c r="V699" s="8">
        <f t="shared" si="8"/>
        <v>14</v>
      </c>
      <c r="W699" s="12">
        <f t="shared" si="9"/>
        <v>3159.45</v>
      </c>
      <c r="Y699">
        <v>1</v>
      </c>
    </row>
    <row r="700" spans="1:25" ht="40" customHeight="1">
      <c r="A700" s="5" t="s">
        <v>3573</v>
      </c>
      <c r="B700" s="6" t="s">
        <v>3574</v>
      </c>
      <c r="C700" s="6">
        <v>220837</v>
      </c>
      <c r="D700" s="6" t="s">
        <v>3101</v>
      </c>
      <c r="E700" s="6" t="s">
        <v>3575</v>
      </c>
      <c r="F700" s="6"/>
      <c r="G700" s="6" t="s">
        <v>3551</v>
      </c>
      <c r="H700" s="6" t="s">
        <v>3569</v>
      </c>
      <c r="I700" s="6" t="s">
        <v>417</v>
      </c>
      <c r="J700" s="6" t="s">
        <v>3570</v>
      </c>
      <c r="K700" s="6" t="s">
        <v>3103</v>
      </c>
      <c r="L700" s="6" t="s">
        <v>3571</v>
      </c>
      <c r="M700" s="6" t="s">
        <v>3572</v>
      </c>
      <c r="N700" s="6" t="s">
        <v>3327</v>
      </c>
      <c r="O700" s="6" t="s">
        <v>3556</v>
      </c>
      <c r="P700" s="6"/>
      <c r="Q700" s="8">
        <v>225</v>
      </c>
      <c r="R700" s="8">
        <v>225.67500000000001</v>
      </c>
      <c r="S700" s="8">
        <v>449.9</v>
      </c>
      <c r="T700" s="8">
        <v>14</v>
      </c>
      <c r="U700" s="8"/>
      <c r="V700" s="8">
        <f t="shared" si="8"/>
        <v>0</v>
      </c>
      <c r="W700" s="12">
        <f t="shared" si="9"/>
        <v>0</v>
      </c>
      <c r="Y700">
        <v>0</v>
      </c>
    </row>
    <row r="701" spans="1:25" ht="40" customHeight="1">
      <c r="A701" s="5" t="s">
        <v>3576</v>
      </c>
      <c r="B701" s="6" t="s">
        <v>3577</v>
      </c>
      <c r="C701" s="7">
        <v>220861</v>
      </c>
      <c r="D701" s="6" t="s">
        <v>147</v>
      </c>
      <c r="E701" s="7" t="s">
        <v>3578</v>
      </c>
      <c r="F701" s="6"/>
      <c r="G701" s="6" t="s">
        <v>897</v>
      </c>
      <c r="H701" s="6" t="s">
        <v>954</v>
      </c>
      <c r="I701" s="6" t="s">
        <v>417</v>
      </c>
      <c r="J701" s="6" t="s">
        <v>955</v>
      </c>
      <c r="K701" s="6" t="s">
        <v>3517</v>
      </c>
      <c r="L701" s="6" t="s">
        <v>54</v>
      </c>
      <c r="M701" s="6" t="s">
        <v>54</v>
      </c>
      <c r="N701" s="6" t="s">
        <v>3327</v>
      </c>
      <c r="O701" s="6" t="s">
        <v>905</v>
      </c>
      <c r="P701" s="6"/>
      <c r="Q701" s="8">
        <v>140</v>
      </c>
      <c r="R701" s="8">
        <v>140.41999999999999</v>
      </c>
      <c r="S701" s="8">
        <v>279.89999999999998</v>
      </c>
      <c r="T701" s="8">
        <v>14</v>
      </c>
      <c r="U701" s="8">
        <v>2</v>
      </c>
      <c r="V701" s="8">
        <f t="shared" si="8"/>
        <v>28</v>
      </c>
      <c r="W701" s="12">
        <f t="shared" si="9"/>
        <v>3931.76</v>
      </c>
      <c r="Y701">
        <v>2</v>
      </c>
    </row>
    <row r="702" spans="1:25" ht="40" customHeight="1">
      <c r="A702" s="5" t="s">
        <v>3579</v>
      </c>
      <c r="B702" s="6" t="s">
        <v>3580</v>
      </c>
      <c r="C702" s="6">
        <v>220861</v>
      </c>
      <c r="D702" s="6" t="s">
        <v>2736</v>
      </c>
      <c r="E702" s="6" t="s">
        <v>3581</v>
      </c>
      <c r="F702" s="6"/>
      <c r="G702" s="6" t="s">
        <v>897</v>
      </c>
      <c r="H702" s="6" t="s">
        <v>954</v>
      </c>
      <c r="I702" s="6" t="s">
        <v>417</v>
      </c>
      <c r="J702" s="6" t="s">
        <v>955</v>
      </c>
      <c r="K702" s="6" t="s">
        <v>3582</v>
      </c>
      <c r="L702" s="6" t="s">
        <v>54</v>
      </c>
      <c r="M702" s="6" t="s">
        <v>54</v>
      </c>
      <c r="N702" s="6" t="s">
        <v>3327</v>
      </c>
      <c r="O702" s="6" t="s">
        <v>905</v>
      </c>
      <c r="P702" s="6"/>
      <c r="Q702" s="8">
        <v>140</v>
      </c>
      <c r="R702" s="8">
        <v>140.41999999999999</v>
      </c>
      <c r="S702" s="8">
        <v>279.89999999999998</v>
      </c>
      <c r="T702" s="8">
        <v>14</v>
      </c>
      <c r="U702" s="8">
        <v>2</v>
      </c>
      <c r="V702" s="8">
        <f t="shared" si="8"/>
        <v>28</v>
      </c>
      <c r="W702" s="12">
        <f t="shared" si="9"/>
        <v>3931.76</v>
      </c>
      <c r="Y702">
        <v>2</v>
      </c>
    </row>
    <row r="703" spans="1:25" ht="40" customHeight="1">
      <c r="A703" s="5" t="s">
        <v>3583</v>
      </c>
      <c r="B703" s="6" t="s">
        <v>3584</v>
      </c>
      <c r="C703" s="6">
        <v>220861</v>
      </c>
      <c r="D703" s="6" t="s">
        <v>89</v>
      </c>
      <c r="E703" s="6" t="s">
        <v>3585</v>
      </c>
      <c r="F703" s="6"/>
      <c r="G703" s="6" t="s">
        <v>897</v>
      </c>
      <c r="H703" s="6" t="s">
        <v>954</v>
      </c>
      <c r="I703" s="6" t="s">
        <v>417</v>
      </c>
      <c r="J703" s="6" t="s">
        <v>955</v>
      </c>
      <c r="K703" s="6" t="s">
        <v>3586</v>
      </c>
      <c r="L703" s="6" t="s">
        <v>54</v>
      </c>
      <c r="M703" s="6" t="s">
        <v>54</v>
      </c>
      <c r="N703" s="6" t="s">
        <v>3327</v>
      </c>
      <c r="O703" s="6" t="s">
        <v>905</v>
      </c>
      <c r="P703" s="6"/>
      <c r="Q703" s="8">
        <v>140</v>
      </c>
      <c r="R703" s="8">
        <v>140.41999999999999</v>
      </c>
      <c r="S703" s="8">
        <v>279.89999999999998</v>
      </c>
      <c r="T703" s="8">
        <v>14</v>
      </c>
      <c r="U703" s="8">
        <v>2</v>
      </c>
      <c r="V703" s="8">
        <f t="shared" si="8"/>
        <v>28</v>
      </c>
      <c r="W703" s="12">
        <f t="shared" si="9"/>
        <v>3931.76</v>
      </c>
      <c r="Y703">
        <v>2</v>
      </c>
    </row>
    <row r="704" spans="1:25" ht="40" customHeight="1">
      <c r="A704" s="5" t="s">
        <v>3587</v>
      </c>
      <c r="B704" s="6" t="s">
        <v>3588</v>
      </c>
      <c r="C704" s="7">
        <v>220861</v>
      </c>
      <c r="D704" s="6" t="s">
        <v>94</v>
      </c>
      <c r="E704" s="7" t="s">
        <v>3589</v>
      </c>
      <c r="F704" s="6"/>
      <c r="G704" s="6" t="s">
        <v>897</v>
      </c>
      <c r="H704" s="6" t="s">
        <v>954</v>
      </c>
      <c r="I704" s="6" t="s">
        <v>417</v>
      </c>
      <c r="J704" s="6" t="s">
        <v>955</v>
      </c>
      <c r="K704" s="6" t="s">
        <v>3590</v>
      </c>
      <c r="L704" s="6" t="s">
        <v>54</v>
      </c>
      <c r="M704" s="6" t="s">
        <v>54</v>
      </c>
      <c r="N704" s="6" t="s">
        <v>3327</v>
      </c>
      <c r="O704" s="6" t="s">
        <v>905</v>
      </c>
      <c r="P704" s="6"/>
      <c r="Q704" s="8">
        <v>140</v>
      </c>
      <c r="R704" s="8">
        <v>140.41999999999999</v>
      </c>
      <c r="S704" s="8">
        <v>279.89999999999998</v>
      </c>
      <c r="T704" s="8">
        <v>14</v>
      </c>
      <c r="U704" s="8">
        <v>2</v>
      </c>
      <c r="V704" s="8">
        <f t="shared" si="8"/>
        <v>28</v>
      </c>
      <c r="W704" s="12">
        <f t="shared" si="9"/>
        <v>3931.76</v>
      </c>
      <c r="X704">
        <f>VLOOKUP(E704,[1]Sheet2!$A:$C,3,FALSE)</f>
        <v>1</v>
      </c>
      <c r="Y704">
        <v>3</v>
      </c>
    </row>
    <row r="705" spans="1:25" ht="40" customHeight="1">
      <c r="A705" s="5" t="s">
        <v>3591</v>
      </c>
      <c r="B705" s="8" t="s">
        <v>3592</v>
      </c>
      <c r="C705" s="8" t="s">
        <v>3593</v>
      </c>
      <c r="D705" s="6" t="s">
        <v>3525</v>
      </c>
      <c r="E705" s="8" t="s">
        <v>3594</v>
      </c>
      <c r="F705" s="6" t="s">
        <v>5</v>
      </c>
      <c r="G705" s="6" t="s">
        <v>897</v>
      </c>
      <c r="H705" s="6" t="s">
        <v>954</v>
      </c>
      <c r="I705" s="6" t="s">
        <v>417</v>
      </c>
      <c r="J705" s="6" t="s">
        <v>955</v>
      </c>
      <c r="K705" s="6" t="s">
        <v>3595</v>
      </c>
      <c r="L705" s="6" t="s">
        <v>54</v>
      </c>
      <c r="M705" s="6" t="s">
        <v>54</v>
      </c>
      <c r="N705" s="6" t="s">
        <v>3327</v>
      </c>
      <c r="O705" s="6" t="s">
        <v>905</v>
      </c>
      <c r="P705" s="6"/>
      <c r="Q705" s="8">
        <v>140</v>
      </c>
      <c r="R705" s="8">
        <v>140.41999999999999</v>
      </c>
      <c r="S705" s="8">
        <v>279.89999999999998</v>
      </c>
      <c r="T705" s="8">
        <v>14</v>
      </c>
      <c r="U705" s="8"/>
      <c r="V705" s="8">
        <f t="shared" si="8"/>
        <v>0</v>
      </c>
      <c r="W705" s="12">
        <f t="shared" si="9"/>
        <v>0</v>
      </c>
      <c r="Y705">
        <v>0</v>
      </c>
    </row>
    <row r="706" spans="1:25" ht="40" customHeight="1">
      <c r="A706" s="6" t="s">
        <v>3596</v>
      </c>
      <c r="B706" s="8" t="s">
        <v>3597</v>
      </c>
      <c r="C706" s="8" t="s">
        <v>3593</v>
      </c>
      <c r="D706" s="6" t="s">
        <v>40</v>
      </c>
      <c r="E706" s="8" t="s">
        <v>3598</v>
      </c>
      <c r="F706" s="6" t="s">
        <v>5</v>
      </c>
      <c r="G706" s="6" t="s">
        <v>897</v>
      </c>
      <c r="H706" s="6" t="s">
        <v>954</v>
      </c>
      <c r="I706" s="6" t="s">
        <v>417</v>
      </c>
      <c r="J706" s="6" t="s">
        <v>955</v>
      </c>
      <c r="K706" s="6" t="s">
        <v>3599</v>
      </c>
      <c r="L706" s="6" t="s">
        <v>54</v>
      </c>
      <c r="M706" s="6" t="s">
        <v>54</v>
      </c>
      <c r="N706" s="6" t="s">
        <v>3327</v>
      </c>
      <c r="O706" s="6" t="s">
        <v>905</v>
      </c>
      <c r="P706" s="6"/>
      <c r="Q706" s="8">
        <v>140</v>
      </c>
      <c r="R706" s="8">
        <v>140.41999999999999</v>
      </c>
      <c r="S706" s="8">
        <v>279.89999999999998</v>
      </c>
      <c r="T706" s="8">
        <v>14</v>
      </c>
      <c r="U706" s="8"/>
      <c r="V706" s="8">
        <f t="shared" si="8"/>
        <v>0</v>
      </c>
      <c r="W706" s="12">
        <f t="shared" si="9"/>
        <v>0</v>
      </c>
      <c r="Y706">
        <v>0</v>
      </c>
    </row>
    <row r="707" spans="1:25" ht="40" customHeight="1">
      <c r="A707" s="5" t="s">
        <v>3600</v>
      </c>
      <c r="B707" s="6" t="s">
        <v>3601</v>
      </c>
      <c r="C707" s="6">
        <v>220872</v>
      </c>
      <c r="D707" s="6" t="s">
        <v>3602</v>
      </c>
      <c r="E707" s="6" t="s">
        <v>3603</v>
      </c>
      <c r="F707" s="6"/>
      <c r="G707" s="6" t="s">
        <v>897</v>
      </c>
      <c r="H707" s="6" t="s">
        <v>3604</v>
      </c>
      <c r="I707" s="6" t="s">
        <v>417</v>
      </c>
      <c r="J707" s="6" t="s">
        <v>3605</v>
      </c>
      <c r="K707" s="6" t="s">
        <v>3606</v>
      </c>
      <c r="L707" s="6" t="s">
        <v>3607</v>
      </c>
      <c r="M707" s="6" t="s">
        <v>3608</v>
      </c>
      <c r="N707" s="6" t="s">
        <v>3327</v>
      </c>
      <c r="O707" s="6" t="s">
        <v>3609</v>
      </c>
      <c r="P707" s="6"/>
      <c r="Q707" s="8">
        <v>175</v>
      </c>
      <c r="R707" s="8">
        <v>175.52500000000001</v>
      </c>
      <c r="S707" s="8">
        <v>349.9</v>
      </c>
      <c r="T707" s="8">
        <v>14</v>
      </c>
      <c r="U707" s="8"/>
      <c r="V707" s="8">
        <f t="shared" si="8"/>
        <v>0</v>
      </c>
      <c r="W707" s="12">
        <f t="shared" si="9"/>
        <v>0</v>
      </c>
      <c r="Y707">
        <v>0</v>
      </c>
    </row>
    <row r="708" spans="1:25" ht="40" customHeight="1">
      <c r="A708" s="5" t="s">
        <v>3610</v>
      </c>
      <c r="B708" s="6" t="s">
        <v>3611</v>
      </c>
      <c r="C708" s="6">
        <v>220872</v>
      </c>
      <c r="D708" s="6" t="s">
        <v>3352</v>
      </c>
      <c r="E708" s="6" t="s">
        <v>3612</v>
      </c>
      <c r="F708" s="6"/>
      <c r="G708" s="6" t="s">
        <v>897</v>
      </c>
      <c r="H708" s="6" t="s">
        <v>3604</v>
      </c>
      <c r="I708" s="6" t="s">
        <v>417</v>
      </c>
      <c r="J708" s="6" t="s">
        <v>3605</v>
      </c>
      <c r="K708" s="6" t="s">
        <v>3613</v>
      </c>
      <c r="L708" s="6" t="s">
        <v>3607</v>
      </c>
      <c r="M708" s="6" t="s">
        <v>3608</v>
      </c>
      <c r="N708" s="6" t="s">
        <v>3327</v>
      </c>
      <c r="O708" s="6" t="s">
        <v>3609</v>
      </c>
      <c r="P708" s="6"/>
      <c r="Q708" s="8">
        <v>175</v>
      </c>
      <c r="R708" s="8">
        <v>175.52500000000001</v>
      </c>
      <c r="S708" s="8">
        <v>349.9</v>
      </c>
      <c r="T708" s="8">
        <v>14</v>
      </c>
      <c r="U708" s="8"/>
      <c r="V708" s="8">
        <f t="shared" si="8"/>
        <v>0</v>
      </c>
      <c r="W708" s="12">
        <f t="shared" si="9"/>
        <v>0</v>
      </c>
      <c r="Y708">
        <v>0</v>
      </c>
    </row>
    <row r="709" spans="1:25" ht="40" customHeight="1">
      <c r="A709" s="15" t="s">
        <v>3614</v>
      </c>
      <c r="B709" s="6" t="s">
        <v>3615</v>
      </c>
      <c r="C709" s="6">
        <v>220872</v>
      </c>
      <c r="D709" s="6" t="s">
        <v>40</v>
      </c>
      <c r="E709" s="6" t="s">
        <v>3616</v>
      </c>
      <c r="F709" s="6"/>
      <c r="G709" s="6" t="s">
        <v>897</v>
      </c>
      <c r="H709" s="6" t="s">
        <v>3604</v>
      </c>
      <c r="I709" s="6" t="s">
        <v>417</v>
      </c>
      <c r="J709" s="6" t="s">
        <v>3605</v>
      </c>
      <c r="K709" s="6" t="s">
        <v>3599</v>
      </c>
      <c r="L709" s="6" t="s">
        <v>3607</v>
      </c>
      <c r="M709" s="6" t="s">
        <v>3608</v>
      </c>
      <c r="N709" s="6" t="s">
        <v>3327</v>
      </c>
      <c r="O709" s="6" t="s">
        <v>3609</v>
      </c>
      <c r="P709" s="6"/>
      <c r="Q709" s="8">
        <v>175</v>
      </c>
      <c r="R709" s="8">
        <v>175.52500000000001</v>
      </c>
      <c r="S709" s="8">
        <v>349.9</v>
      </c>
      <c r="T709" s="8">
        <v>14</v>
      </c>
      <c r="U709" s="8"/>
      <c r="V709" s="8">
        <f t="shared" si="8"/>
        <v>0</v>
      </c>
      <c r="W709" s="12">
        <f t="shared" si="9"/>
        <v>0</v>
      </c>
      <c r="X709">
        <f>VLOOKUP(E709,[1]Sheet2!$A:$C,3,FALSE)</f>
        <v>1</v>
      </c>
      <c r="Y709">
        <v>1</v>
      </c>
    </row>
    <row r="710" spans="1:25" ht="40" customHeight="1">
      <c r="A710" s="15" t="s">
        <v>3617</v>
      </c>
      <c r="B710" s="6" t="s">
        <v>3618</v>
      </c>
      <c r="C710" s="6">
        <v>220872</v>
      </c>
      <c r="D710" s="6" t="s">
        <v>3619</v>
      </c>
      <c r="E710" s="6" t="s">
        <v>3620</v>
      </c>
      <c r="F710" s="6"/>
      <c r="G710" s="6" t="s">
        <v>897</v>
      </c>
      <c r="H710" s="6" t="s">
        <v>3604</v>
      </c>
      <c r="I710" s="6" t="s">
        <v>417</v>
      </c>
      <c r="J710" s="6" t="s">
        <v>3605</v>
      </c>
      <c r="K710" s="6" t="s">
        <v>3621</v>
      </c>
      <c r="L710" s="6" t="s">
        <v>3607</v>
      </c>
      <c r="M710" s="6" t="s">
        <v>3608</v>
      </c>
      <c r="N710" s="6" t="s">
        <v>3327</v>
      </c>
      <c r="O710" s="6" t="s">
        <v>3609</v>
      </c>
      <c r="P710" s="6"/>
      <c r="Q710" s="8">
        <v>175</v>
      </c>
      <c r="R710" s="8">
        <v>175.52500000000001</v>
      </c>
      <c r="S710" s="8">
        <v>349.9</v>
      </c>
      <c r="T710" s="8">
        <v>14</v>
      </c>
      <c r="U710" s="8"/>
      <c r="V710" s="8">
        <f t="shared" si="8"/>
        <v>0</v>
      </c>
      <c r="W710" s="12">
        <f t="shared" si="9"/>
        <v>0</v>
      </c>
      <c r="Y710">
        <v>0</v>
      </c>
    </row>
    <row r="711" spans="1:25" ht="40" customHeight="1">
      <c r="A711" s="5" t="s">
        <v>3622</v>
      </c>
      <c r="B711" s="6" t="s">
        <v>3623</v>
      </c>
      <c r="C711" s="6">
        <v>220872</v>
      </c>
      <c r="D711" s="6" t="s">
        <v>45</v>
      </c>
      <c r="E711" s="6" t="s">
        <v>3624</v>
      </c>
      <c r="F711" s="6"/>
      <c r="G711" s="6" t="s">
        <v>897</v>
      </c>
      <c r="H711" s="6" t="s">
        <v>3604</v>
      </c>
      <c r="I711" s="6" t="s">
        <v>417</v>
      </c>
      <c r="J711" s="6" t="s">
        <v>3605</v>
      </c>
      <c r="K711" s="6" t="s">
        <v>3625</v>
      </c>
      <c r="L711" s="6" t="s">
        <v>3607</v>
      </c>
      <c r="M711" s="6" t="s">
        <v>3608</v>
      </c>
      <c r="N711" s="6" t="s">
        <v>3327</v>
      </c>
      <c r="O711" s="6" t="s">
        <v>3609</v>
      </c>
      <c r="P711" s="6"/>
      <c r="Q711" s="8">
        <v>175</v>
      </c>
      <c r="R711" s="8">
        <v>175.52500000000001</v>
      </c>
      <c r="S711" s="8">
        <v>349.9</v>
      </c>
      <c r="T711" s="8">
        <v>14</v>
      </c>
      <c r="U711" s="8"/>
      <c r="V711" s="8">
        <f t="shared" si="8"/>
        <v>0</v>
      </c>
      <c r="W711" s="12">
        <f t="shared" si="9"/>
        <v>0</v>
      </c>
      <c r="X711">
        <f>VLOOKUP(E711,[1]Sheet2!$A:$C,3,FALSE)</f>
        <v>1</v>
      </c>
      <c r="Y711">
        <v>1</v>
      </c>
    </row>
    <row r="712" spans="1:25" ht="40" customHeight="1">
      <c r="A712" s="5" t="s">
        <v>3626</v>
      </c>
      <c r="B712" s="6" t="s">
        <v>3627</v>
      </c>
      <c r="C712" s="6">
        <v>220872</v>
      </c>
      <c r="D712" s="6" t="s">
        <v>456</v>
      </c>
      <c r="E712" s="6" t="s">
        <v>3628</v>
      </c>
      <c r="F712" s="6"/>
      <c r="G712" s="6" t="s">
        <v>897</v>
      </c>
      <c r="H712" s="6" t="s">
        <v>3604</v>
      </c>
      <c r="I712" s="6" t="s">
        <v>417</v>
      </c>
      <c r="J712" s="6" t="s">
        <v>3605</v>
      </c>
      <c r="K712" s="6" t="s">
        <v>3629</v>
      </c>
      <c r="L712" s="6" t="s">
        <v>3607</v>
      </c>
      <c r="M712" s="6" t="s">
        <v>3608</v>
      </c>
      <c r="N712" s="6" t="s">
        <v>3327</v>
      </c>
      <c r="O712" s="6" t="s">
        <v>3609</v>
      </c>
      <c r="P712" s="6"/>
      <c r="Q712" s="8">
        <v>175</v>
      </c>
      <c r="R712" s="8">
        <v>175.52500000000001</v>
      </c>
      <c r="S712" s="8">
        <v>349.9</v>
      </c>
      <c r="T712" s="8">
        <v>14</v>
      </c>
      <c r="U712" s="8"/>
      <c r="V712" s="8">
        <f t="shared" si="8"/>
        <v>0</v>
      </c>
      <c r="W712" s="12">
        <f t="shared" si="9"/>
        <v>0</v>
      </c>
      <c r="Y712">
        <v>0</v>
      </c>
    </row>
    <row r="713" spans="1:25" ht="40" customHeight="1">
      <c r="A713" s="5" t="s">
        <v>3630</v>
      </c>
      <c r="B713" s="6" t="s">
        <v>3631</v>
      </c>
      <c r="C713" s="6">
        <v>220880</v>
      </c>
      <c r="D713" s="6" t="s">
        <v>64</v>
      </c>
      <c r="E713" s="6" t="s">
        <v>3632</v>
      </c>
      <c r="F713" s="6"/>
      <c r="G713" s="6" t="s">
        <v>897</v>
      </c>
      <c r="H713" s="6" t="s">
        <v>3633</v>
      </c>
      <c r="I713" s="6" t="s">
        <v>417</v>
      </c>
      <c r="J713" s="6" t="s">
        <v>3634</v>
      </c>
      <c r="K713" s="6" t="s">
        <v>3635</v>
      </c>
      <c r="L713" s="6" t="s">
        <v>3636</v>
      </c>
      <c r="M713" s="6" t="s">
        <v>3637</v>
      </c>
      <c r="N713" s="6" t="s">
        <v>3327</v>
      </c>
      <c r="O713" s="6" t="s">
        <v>3638</v>
      </c>
      <c r="P713" s="6"/>
      <c r="Q713" s="8">
        <v>165</v>
      </c>
      <c r="R713" s="8">
        <v>165.495</v>
      </c>
      <c r="S713" s="8">
        <v>329.9</v>
      </c>
      <c r="T713" s="8">
        <v>14</v>
      </c>
      <c r="U713" s="8"/>
      <c r="V713" s="8">
        <f t="shared" si="8"/>
        <v>0</v>
      </c>
      <c r="W713" s="12">
        <f t="shared" si="9"/>
        <v>0</v>
      </c>
      <c r="Y713">
        <v>0</v>
      </c>
    </row>
    <row r="714" spans="1:25" ht="40" customHeight="1">
      <c r="A714" s="5" t="s">
        <v>3639</v>
      </c>
      <c r="B714" s="6" t="s">
        <v>3640</v>
      </c>
      <c r="C714" s="6">
        <v>220880</v>
      </c>
      <c r="D714" s="6" t="s">
        <v>147</v>
      </c>
      <c r="E714" s="6" t="s">
        <v>3641</v>
      </c>
      <c r="F714" s="6"/>
      <c r="G714" s="6" t="s">
        <v>897</v>
      </c>
      <c r="H714" s="6" t="s">
        <v>3633</v>
      </c>
      <c r="I714" s="6" t="s">
        <v>417</v>
      </c>
      <c r="J714" s="6" t="s">
        <v>3634</v>
      </c>
      <c r="K714" s="6" t="s">
        <v>996</v>
      </c>
      <c r="L714" s="6" t="s">
        <v>3636</v>
      </c>
      <c r="M714" s="6" t="s">
        <v>3637</v>
      </c>
      <c r="N714" s="6" t="s">
        <v>3327</v>
      </c>
      <c r="O714" s="6" t="s">
        <v>3638</v>
      </c>
      <c r="P714" s="6"/>
      <c r="Q714" s="8">
        <v>165</v>
      </c>
      <c r="R714" s="8">
        <v>165.495</v>
      </c>
      <c r="S714" s="8">
        <v>329.9</v>
      </c>
      <c r="T714" s="8">
        <v>14</v>
      </c>
      <c r="U714" s="8"/>
      <c r="V714" s="8">
        <f t="shared" si="8"/>
        <v>0</v>
      </c>
      <c r="W714" s="12">
        <f t="shared" si="9"/>
        <v>0</v>
      </c>
      <c r="Y714">
        <v>0</v>
      </c>
    </row>
    <row r="715" spans="1:25" ht="40" customHeight="1">
      <c r="A715" s="6" t="s">
        <v>3642</v>
      </c>
      <c r="B715" s="6" t="s">
        <v>3643</v>
      </c>
      <c r="C715" s="6">
        <v>220880</v>
      </c>
      <c r="D715" s="6" t="s">
        <v>357</v>
      </c>
      <c r="E715" s="6" t="s">
        <v>3644</v>
      </c>
      <c r="F715" s="6"/>
      <c r="G715" s="6" t="s">
        <v>897</v>
      </c>
      <c r="H715" s="6" t="s">
        <v>3633</v>
      </c>
      <c r="I715" s="6" t="s">
        <v>417</v>
      </c>
      <c r="J715" s="6" t="s">
        <v>3634</v>
      </c>
      <c r="K715" s="6" t="s">
        <v>3565</v>
      </c>
      <c r="L715" s="6" t="s">
        <v>3636</v>
      </c>
      <c r="M715" s="6" t="s">
        <v>3637</v>
      </c>
      <c r="N715" s="6" t="s">
        <v>3327</v>
      </c>
      <c r="O715" s="6" t="s">
        <v>3638</v>
      </c>
      <c r="P715" s="6"/>
      <c r="Q715" s="8">
        <v>165</v>
      </c>
      <c r="R715" s="8">
        <v>165.495</v>
      </c>
      <c r="S715" s="8">
        <v>329.9</v>
      </c>
      <c r="T715" s="8">
        <v>14</v>
      </c>
      <c r="U715" s="8"/>
      <c r="V715" s="8">
        <f t="shared" si="8"/>
        <v>0</v>
      </c>
      <c r="W715" s="12">
        <f t="shared" si="9"/>
        <v>0</v>
      </c>
      <c r="Y715">
        <v>0</v>
      </c>
    </row>
    <row r="716" spans="1:25" ht="40" customHeight="1">
      <c r="A716" s="5" t="s">
        <v>3645</v>
      </c>
      <c r="B716" s="6" t="s">
        <v>3646</v>
      </c>
      <c r="C716" s="6">
        <v>220887</v>
      </c>
      <c r="D716" s="6" t="s">
        <v>27</v>
      </c>
      <c r="E716" s="6" t="s">
        <v>3647</v>
      </c>
      <c r="F716" s="6"/>
      <c r="G716" s="6" t="s">
        <v>897</v>
      </c>
      <c r="H716" s="6" t="s">
        <v>3648</v>
      </c>
      <c r="I716" s="6" t="s">
        <v>417</v>
      </c>
      <c r="J716" s="6" t="s">
        <v>3649</v>
      </c>
      <c r="K716" s="6" t="s">
        <v>996</v>
      </c>
      <c r="L716" s="6" t="s">
        <v>3636</v>
      </c>
      <c r="M716" s="6" t="s">
        <v>3650</v>
      </c>
      <c r="N716" s="6" t="s">
        <v>3327</v>
      </c>
      <c r="O716" s="6" t="s">
        <v>3651</v>
      </c>
      <c r="P716" s="6"/>
      <c r="Q716" s="8">
        <v>165</v>
      </c>
      <c r="R716" s="8">
        <v>165.495</v>
      </c>
      <c r="S716" s="8">
        <v>329.9</v>
      </c>
      <c r="T716" s="8">
        <v>14</v>
      </c>
      <c r="U716" s="8">
        <v>2</v>
      </c>
      <c r="V716" s="8">
        <f t="shared" si="8"/>
        <v>28</v>
      </c>
      <c r="W716" s="12">
        <f t="shared" si="9"/>
        <v>4633.8599999999997</v>
      </c>
      <c r="Y716">
        <v>2</v>
      </c>
    </row>
    <row r="717" spans="1:25" ht="40" customHeight="1">
      <c r="A717" s="5" t="s">
        <v>3652</v>
      </c>
      <c r="B717" s="6" t="s">
        <v>3653</v>
      </c>
      <c r="C717" s="6">
        <v>220887</v>
      </c>
      <c r="D717" s="6" t="s">
        <v>147</v>
      </c>
      <c r="E717" s="6" t="s">
        <v>3654</v>
      </c>
      <c r="F717" s="6"/>
      <c r="G717" s="6" t="s">
        <v>897</v>
      </c>
      <c r="H717" s="6" t="s">
        <v>3648</v>
      </c>
      <c r="I717" s="6" t="s">
        <v>417</v>
      </c>
      <c r="J717" s="6" t="s">
        <v>3649</v>
      </c>
      <c r="K717" s="6" t="s">
        <v>996</v>
      </c>
      <c r="L717" s="6" t="s">
        <v>3636</v>
      </c>
      <c r="M717" s="6" t="s">
        <v>3650</v>
      </c>
      <c r="N717" s="6" t="s">
        <v>3327</v>
      </c>
      <c r="O717" s="6" t="s">
        <v>3651</v>
      </c>
      <c r="P717" s="6"/>
      <c r="Q717" s="8">
        <v>165</v>
      </c>
      <c r="R717" s="8">
        <v>165.495</v>
      </c>
      <c r="S717" s="8">
        <v>329.9</v>
      </c>
      <c r="T717" s="8">
        <v>14</v>
      </c>
      <c r="U717" s="8">
        <v>2</v>
      </c>
      <c r="V717" s="8">
        <f t="shared" si="8"/>
        <v>28</v>
      </c>
      <c r="W717" s="12">
        <f t="shared" si="9"/>
        <v>4633.8599999999997</v>
      </c>
      <c r="Y717">
        <v>2</v>
      </c>
    </row>
    <row r="718" spans="1:25" ht="40" customHeight="1">
      <c r="A718" s="5" t="s">
        <v>3655</v>
      </c>
      <c r="B718" s="6" t="s">
        <v>3656</v>
      </c>
      <c r="C718" s="6">
        <v>220887</v>
      </c>
      <c r="D718" s="6" t="s">
        <v>89</v>
      </c>
      <c r="E718" s="6" t="s">
        <v>3657</v>
      </c>
      <c r="F718" s="6"/>
      <c r="G718" s="6" t="s">
        <v>897</v>
      </c>
      <c r="H718" s="6" t="s">
        <v>3648</v>
      </c>
      <c r="I718" s="6" t="s">
        <v>417</v>
      </c>
      <c r="J718" s="6" t="s">
        <v>3649</v>
      </c>
      <c r="K718" s="6" t="s">
        <v>1009</v>
      </c>
      <c r="L718" s="6" t="s">
        <v>3636</v>
      </c>
      <c r="M718" s="6" t="s">
        <v>3650</v>
      </c>
      <c r="N718" s="6" t="s">
        <v>3327</v>
      </c>
      <c r="O718" s="6" t="s">
        <v>3651</v>
      </c>
      <c r="P718" s="6"/>
      <c r="Q718" s="8">
        <v>165</v>
      </c>
      <c r="R718" s="8">
        <v>165.495</v>
      </c>
      <c r="S718" s="8">
        <v>329.9</v>
      </c>
      <c r="T718" s="8">
        <v>14</v>
      </c>
      <c r="U718" s="8"/>
      <c r="V718" s="8">
        <f t="shared" si="8"/>
        <v>0</v>
      </c>
      <c r="W718" s="12">
        <f t="shared" si="9"/>
        <v>0</v>
      </c>
      <c r="Y718">
        <v>0</v>
      </c>
    </row>
    <row r="719" spans="1:25" ht="40" customHeight="1">
      <c r="A719" s="5" t="s">
        <v>3658</v>
      </c>
      <c r="B719" s="6" t="s">
        <v>3659</v>
      </c>
      <c r="C719" s="6">
        <v>220887</v>
      </c>
      <c r="D719" s="6" t="s">
        <v>357</v>
      </c>
      <c r="E719" s="6" t="s">
        <v>3660</v>
      </c>
      <c r="F719" s="6"/>
      <c r="G719" s="6" t="s">
        <v>897</v>
      </c>
      <c r="H719" s="6" t="s">
        <v>3648</v>
      </c>
      <c r="I719" s="6" t="s">
        <v>417</v>
      </c>
      <c r="J719" s="6" t="s">
        <v>3649</v>
      </c>
      <c r="K719" s="6" t="s">
        <v>3565</v>
      </c>
      <c r="L719" s="6" t="s">
        <v>3636</v>
      </c>
      <c r="M719" s="6" t="s">
        <v>3650</v>
      </c>
      <c r="N719" s="6" t="s">
        <v>3327</v>
      </c>
      <c r="O719" s="6" t="s">
        <v>3651</v>
      </c>
      <c r="P719" s="6"/>
      <c r="Q719" s="8">
        <v>165</v>
      </c>
      <c r="R719" s="8">
        <v>165.495</v>
      </c>
      <c r="S719" s="8">
        <v>329.9</v>
      </c>
      <c r="T719" s="8">
        <v>14</v>
      </c>
      <c r="U719" s="8">
        <v>2</v>
      </c>
      <c r="V719" s="8">
        <f t="shared" si="8"/>
        <v>28</v>
      </c>
      <c r="W719" s="12">
        <f t="shared" si="9"/>
        <v>4633.8599999999997</v>
      </c>
      <c r="Y719">
        <v>2</v>
      </c>
    </row>
    <row r="720" spans="1:25" ht="40" customHeight="1">
      <c r="A720" s="5" t="s">
        <v>3661</v>
      </c>
      <c r="B720" s="6" t="s">
        <v>3662</v>
      </c>
      <c r="C720" s="6">
        <v>221000</v>
      </c>
      <c r="D720" s="6" t="s">
        <v>27</v>
      </c>
      <c r="E720" s="6" t="s">
        <v>3663</v>
      </c>
      <c r="F720" s="6"/>
      <c r="G720" s="6" t="s">
        <v>1021</v>
      </c>
      <c r="H720" s="6" t="s">
        <v>215</v>
      </c>
      <c r="I720" s="6" t="s">
        <v>417</v>
      </c>
      <c r="J720" s="6" t="s">
        <v>1022</v>
      </c>
      <c r="K720" s="6" t="s">
        <v>996</v>
      </c>
      <c r="L720" s="6" t="s">
        <v>3664</v>
      </c>
      <c r="M720" s="6" t="s">
        <v>3665</v>
      </c>
      <c r="N720" s="6" t="s">
        <v>3327</v>
      </c>
      <c r="O720" s="6" t="s">
        <v>3666</v>
      </c>
      <c r="P720" s="6"/>
      <c r="Q720" s="8">
        <v>215</v>
      </c>
      <c r="R720" s="8">
        <v>215.64500000000001</v>
      </c>
      <c r="S720" s="8">
        <v>429.9</v>
      </c>
      <c r="T720" s="8">
        <v>14</v>
      </c>
      <c r="U720" s="8">
        <v>2</v>
      </c>
      <c r="V720" s="8">
        <f t="shared" si="8"/>
        <v>28</v>
      </c>
      <c r="W720" s="12">
        <f t="shared" si="9"/>
        <v>6038.06</v>
      </c>
      <c r="Y720">
        <v>2</v>
      </c>
    </row>
    <row r="721" spans="1:25" ht="40" customHeight="1">
      <c r="A721" s="5" t="s">
        <v>3667</v>
      </c>
      <c r="B721" s="6" t="s">
        <v>3668</v>
      </c>
      <c r="C721" s="6">
        <v>221000</v>
      </c>
      <c r="D721" s="6" t="s">
        <v>64</v>
      </c>
      <c r="E721" s="6" t="s">
        <v>3669</v>
      </c>
      <c r="F721" s="6"/>
      <c r="G721" s="6" t="s">
        <v>1021</v>
      </c>
      <c r="H721" s="6" t="s">
        <v>215</v>
      </c>
      <c r="I721" s="6" t="s">
        <v>417</v>
      </c>
      <c r="J721" s="6" t="s">
        <v>1022</v>
      </c>
      <c r="K721" s="6" t="s">
        <v>996</v>
      </c>
      <c r="L721" s="6" t="s">
        <v>3664</v>
      </c>
      <c r="M721" s="6" t="s">
        <v>3665</v>
      </c>
      <c r="N721" s="6" t="s">
        <v>3327</v>
      </c>
      <c r="O721" s="6" t="s">
        <v>3666</v>
      </c>
      <c r="P721" s="6"/>
      <c r="Q721" s="8">
        <v>215</v>
      </c>
      <c r="R721" s="8">
        <v>215.64500000000001</v>
      </c>
      <c r="S721" s="8">
        <v>429.9</v>
      </c>
      <c r="T721" s="8">
        <v>14</v>
      </c>
      <c r="U721" s="8">
        <v>2</v>
      </c>
      <c r="V721" s="8">
        <f t="shared" si="8"/>
        <v>28</v>
      </c>
      <c r="W721" s="12">
        <f t="shared" si="9"/>
        <v>6038.06</v>
      </c>
      <c r="Y721">
        <v>2</v>
      </c>
    </row>
    <row r="722" spans="1:25" ht="40" customHeight="1">
      <c r="A722" s="5" t="s">
        <v>3670</v>
      </c>
      <c r="B722" s="6" t="s">
        <v>3671</v>
      </c>
      <c r="C722" s="6">
        <v>221000</v>
      </c>
      <c r="D722" s="6" t="s">
        <v>40</v>
      </c>
      <c r="E722" s="6" t="s">
        <v>3672</v>
      </c>
      <c r="F722" s="6"/>
      <c r="G722" s="6" t="s">
        <v>1021</v>
      </c>
      <c r="H722" s="6" t="s">
        <v>215</v>
      </c>
      <c r="I722" s="6" t="s">
        <v>417</v>
      </c>
      <c r="J722" s="6" t="s">
        <v>1022</v>
      </c>
      <c r="K722" s="6" t="s">
        <v>1437</v>
      </c>
      <c r="L722" s="6" t="s">
        <v>3664</v>
      </c>
      <c r="M722" s="6" t="s">
        <v>3665</v>
      </c>
      <c r="N722" s="6" t="s">
        <v>3327</v>
      </c>
      <c r="O722" s="6" t="s">
        <v>3666</v>
      </c>
      <c r="P722" s="6"/>
      <c r="Q722" s="8">
        <v>215</v>
      </c>
      <c r="R722" s="8">
        <v>215.64500000000001</v>
      </c>
      <c r="S722" s="8">
        <v>429.9</v>
      </c>
      <c r="T722" s="8">
        <v>14</v>
      </c>
      <c r="U722" s="8">
        <v>1</v>
      </c>
      <c r="V722" s="8">
        <f t="shared" si="8"/>
        <v>14</v>
      </c>
      <c r="W722" s="12">
        <f t="shared" si="9"/>
        <v>3019.03</v>
      </c>
      <c r="Y722">
        <v>1</v>
      </c>
    </row>
    <row r="723" spans="1:25" ht="40" customHeight="1">
      <c r="A723" s="5" t="s">
        <v>3673</v>
      </c>
      <c r="B723" s="6" t="s">
        <v>3674</v>
      </c>
      <c r="C723" s="6">
        <v>221000</v>
      </c>
      <c r="D723" s="6" t="s">
        <v>3101</v>
      </c>
      <c r="E723" s="6" t="s">
        <v>3675</v>
      </c>
      <c r="F723" s="6"/>
      <c r="G723" s="6" t="s">
        <v>1021</v>
      </c>
      <c r="H723" s="6" t="s">
        <v>215</v>
      </c>
      <c r="I723" s="6" t="s">
        <v>417</v>
      </c>
      <c r="J723" s="6" t="s">
        <v>1022</v>
      </c>
      <c r="K723" s="6" t="s">
        <v>3676</v>
      </c>
      <c r="L723" s="6" t="s">
        <v>3664</v>
      </c>
      <c r="M723" s="6" t="s">
        <v>3665</v>
      </c>
      <c r="N723" s="6" t="s">
        <v>3327</v>
      </c>
      <c r="O723" s="6" t="s">
        <v>3666</v>
      </c>
      <c r="P723" s="6"/>
      <c r="Q723" s="8">
        <v>215</v>
      </c>
      <c r="R723" s="8">
        <v>215.64500000000001</v>
      </c>
      <c r="S723" s="8">
        <v>429.9</v>
      </c>
      <c r="T723" s="8">
        <v>14</v>
      </c>
      <c r="U723" s="8"/>
      <c r="V723" s="8">
        <f t="shared" si="8"/>
        <v>0</v>
      </c>
      <c r="W723" s="12">
        <f t="shared" si="9"/>
        <v>0</v>
      </c>
      <c r="Y723">
        <v>0</v>
      </c>
    </row>
    <row r="724" spans="1:25" ht="40" customHeight="1">
      <c r="A724" s="5" t="s">
        <v>3677</v>
      </c>
      <c r="B724" s="6" t="s">
        <v>3678</v>
      </c>
      <c r="C724" s="6">
        <v>221000</v>
      </c>
      <c r="D724" s="6" t="s">
        <v>74</v>
      </c>
      <c r="E724" s="6" t="s">
        <v>3679</v>
      </c>
      <c r="F724" s="6"/>
      <c r="G724" s="6" t="s">
        <v>1021</v>
      </c>
      <c r="H724" s="6" t="s">
        <v>215</v>
      </c>
      <c r="I724" s="6" t="s">
        <v>417</v>
      </c>
      <c r="J724" s="6" t="s">
        <v>1022</v>
      </c>
      <c r="K724" s="6" t="s">
        <v>1445</v>
      </c>
      <c r="L724" s="6" t="s">
        <v>3664</v>
      </c>
      <c r="M724" s="6" t="s">
        <v>3665</v>
      </c>
      <c r="N724" s="6" t="s">
        <v>3327</v>
      </c>
      <c r="O724" s="6" t="s">
        <v>3666</v>
      </c>
      <c r="P724" s="6"/>
      <c r="Q724" s="8">
        <v>215</v>
      </c>
      <c r="R724" s="8">
        <v>215.64500000000001</v>
      </c>
      <c r="S724" s="8">
        <v>429.9</v>
      </c>
      <c r="T724" s="8">
        <v>14</v>
      </c>
      <c r="U724" s="8">
        <v>1</v>
      </c>
      <c r="V724" s="8">
        <f t="shared" si="8"/>
        <v>14</v>
      </c>
      <c r="W724" s="12">
        <f t="shared" si="9"/>
        <v>3019.03</v>
      </c>
      <c r="Y724">
        <v>1</v>
      </c>
    </row>
    <row r="725" spans="1:25" ht="40" customHeight="1">
      <c r="A725" s="5" t="s">
        <v>3680</v>
      </c>
      <c r="B725" s="6" t="s">
        <v>3681</v>
      </c>
      <c r="C725" s="6">
        <v>221000</v>
      </c>
      <c r="D725" s="6" t="s">
        <v>89</v>
      </c>
      <c r="E725" s="6" t="s">
        <v>3682</v>
      </c>
      <c r="F725" s="6"/>
      <c r="G725" s="6" t="s">
        <v>1021</v>
      </c>
      <c r="H725" s="6" t="s">
        <v>215</v>
      </c>
      <c r="I725" s="6" t="s">
        <v>417</v>
      </c>
      <c r="J725" s="6" t="s">
        <v>1022</v>
      </c>
      <c r="K725" s="6" t="s">
        <v>1009</v>
      </c>
      <c r="L725" s="6" t="s">
        <v>3664</v>
      </c>
      <c r="M725" s="6" t="s">
        <v>3665</v>
      </c>
      <c r="N725" s="6" t="s">
        <v>3327</v>
      </c>
      <c r="O725" s="6" t="s">
        <v>3666</v>
      </c>
      <c r="P725" s="6"/>
      <c r="Q725" s="8">
        <v>215</v>
      </c>
      <c r="R725" s="8">
        <v>215.64500000000001</v>
      </c>
      <c r="S725" s="8">
        <v>429.9</v>
      </c>
      <c r="T725" s="8">
        <v>14</v>
      </c>
      <c r="U725" s="8">
        <v>1</v>
      </c>
      <c r="V725" s="8">
        <f t="shared" si="8"/>
        <v>14</v>
      </c>
      <c r="W725" s="12">
        <f t="shared" si="9"/>
        <v>3019.03</v>
      </c>
      <c r="Y725">
        <v>1</v>
      </c>
    </row>
    <row r="726" spans="1:25" ht="40" customHeight="1">
      <c r="A726" s="5" t="s">
        <v>3683</v>
      </c>
      <c r="B726" s="6" t="s">
        <v>3684</v>
      </c>
      <c r="C726" s="6">
        <v>221000</v>
      </c>
      <c r="D726" s="6" t="s">
        <v>747</v>
      </c>
      <c r="E726" s="6" t="s">
        <v>3685</v>
      </c>
      <c r="F726" s="6"/>
      <c r="G726" s="6" t="s">
        <v>1021</v>
      </c>
      <c r="H726" s="6" t="s">
        <v>215</v>
      </c>
      <c r="I726" s="6" t="s">
        <v>417</v>
      </c>
      <c r="J726" s="6" t="s">
        <v>1022</v>
      </c>
      <c r="K726" s="6" t="s">
        <v>1465</v>
      </c>
      <c r="L726" s="6" t="s">
        <v>3664</v>
      </c>
      <c r="M726" s="6" t="s">
        <v>3665</v>
      </c>
      <c r="N726" s="6" t="s">
        <v>3327</v>
      </c>
      <c r="O726" s="6" t="s">
        <v>3666</v>
      </c>
      <c r="P726" s="6"/>
      <c r="Q726" s="8">
        <v>215</v>
      </c>
      <c r="R726" s="8">
        <v>215.64500000000001</v>
      </c>
      <c r="S726" s="8">
        <v>429.9</v>
      </c>
      <c r="T726" s="8">
        <v>14</v>
      </c>
      <c r="U726" s="8"/>
      <c r="V726" s="8">
        <f t="shared" si="8"/>
        <v>0</v>
      </c>
      <c r="W726" s="12">
        <f t="shared" si="9"/>
        <v>0</v>
      </c>
      <c r="Y726">
        <v>0</v>
      </c>
    </row>
    <row r="727" spans="1:25" ht="40" customHeight="1">
      <c r="A727" s="5" t="s">
        <v>3686</v>
      </c>
      <c r="B727" s="6" t="s">
        <v>3687</v>
      </c>
      <c r="C727" s="6">
        <v>221040</v>
      </c>
      <c r="D727" s="6" t="s">
        <v>3525</v>
      </c>
      <c r="E727" s="6" t="s">
        <v>3688</v>
      </c>
      <c r="F727" s="6"/>
      <c r="G727" s="6" t="s">
        <v>1428</v>
      </c>
      <c r="H727" s="6" t="s">
        <v>215</v>
      </c>
      <c r="I727" s="6" t="s">
        <v>417</v>
      </c>
      <c r="J727" s="6" t="s">
        <v>3689</v>
      </c>
      <c r="K727" s="6" t="s">
        <v>3429</v>
      </c>
      <c r="L727" s="6" t="s">
        <v>54</v>
      </c>
      <c r="M727" s="6" t="s">
        <v>54</v>
      </c>
      <c r="N727" s="6" t="s">
        <v>3327</v>
      </c>
      <c r="O727" s="6" t="s">
        <v>1433</v>
      </c>
      <c r="P727" s="6"/>
      <c r="Q727" s="8">
        <v>175</v>
      </c>
      <c r="R727" s="8">
        <v>175.52500000000001</v>
      </c>
      <c r="S727" s="8">
        <v>349.9</v>
      </c>
      <c r="T727" s="8">
        <v>14</v>
      </c>
      <c r="U727" s="8"/>
      <c r="V727" s="8">
        <f t="shared" si="8"/>
        <v>0</v>
      </c>
      <c r="W727" s="12">
        <f t="shared" si="9"/>
        <v>0</v>
      </c>
      <c r="Y727">
        <v>0</v>
      </c>
    </row>
    <row r="728" spans="1:25" ht="40" customHeight="1">
      <c r="A728" s="5" t="s">
        <v>3690</v>
      </c>
      <c r="B728" s="6" t="s">
        <v>3691</v>
      </c>
      <c r="C728" s="6">
        <v>221040</v>
      </c>
      <c r="D728" s="6" t="s">
        <v>40</v>
      </c>
      <c r="E728" s="6" t="s">
        <v>3692</v>
      </c>
      <c r="F728" s="6"/>
      <c r="G728" s="6" t="s">
        <v>1428</v>
      </c>
      <c r="H728" s="6" t="s">
        <v>215</v>
      </c>
      <c r="I728" s="6" t="s">
        <v>417</v>
      </c>
      <c r="J728" s="6" t="s">
        <v>3689</v>
      </c>
      <c r="K728" s="6" t="s">
        <v>1437</v>
      </c>
      <c r="L728" s="6" t="s">
        <v>54</v>
      </c>
      <c r="M728" s="6" t="s">
        <v>54</v>
      </c>
      <c r="N728" s="6" t="s">
        <v>3327</v>
      </c>
      <c r="O728" s="6" t="s">
        <v>1433</v>
      </c>
      <c r="P728" s="6"/>
      <c r="Q728" s="8">
        <v>175</v>
      </c>
      <c r="R728" s="8">
        <v>175.52500000000001</v>
      </c>
      <c r="S728" s="8">
        <v>349.9</v>
      </c>
      <c r="T728" s="8">
        <v>14</v>
      </c>
      <c r="U728" s="8"/>
      <c r="V728" s="8">
        <f t="shared" si="8"/>
        <v>0</v>
      </c>
      <c r="W728" s="12">
        <f t="shared" si="9"/>
        <v>0</v>
      </c>
      <c r="Y728">
        <v>0</v>
      </c>
    </row>
    <row r="729" spans="1:25" ht="40" customHeight="1">
      <c r="A729" s="5" t="s">
        <v>3693</v>
      </c>
      <c r="B729" s="6" t="s">
        <v>3694</v>
      </c>
      <c r="C729" s="6">
        <v>221040</v>
      </c>
      <c r="D729" s="6" t="s">
        <v>74</v>
      </c>
      <c r="E729" s="6" t="s">
        <v>3695</v>
      </c>
      <c r="F729" s="6"/>
      <c r="G729" s="6" t="s">
        <v>1428</v>
      </c>
      <c r="H729" s="6" t="s">
        <v>215</v>
      </c>
      <c r="I729" s="6" t="s">
        <v>417</v>
      </c>
      <c r="J729" s="6" t="s">
        <v>3689</v>
      </c>
      <c r="K729" s="6" t="s">
        <v>1445</v>
      </c>
      <c r="L729" s="6" t="s">
        <v>54</v>
      </c>
      <c r="M729" s="6" t="s">
        <v>54</v>
      </c>
      <c r="N729" s="6" t="s">
        <v>3327</v>
      </c>
      <c r="O729" s="6" t="s">
        <v>1433</v>
      </c>
      <c r="P729" s="6"/>
      <c r="Q729" s="8">
        <v>175</v>
      </c>
      <c r="R729" s="8">
        <v>175.52500000000001</v>
      </c>
      <c r="S729" s="8">
        <v>349.9</v>
      </c>
      <c r="T729" s="8">
        <v>14</v>
      </c>
      <c r="U729" s="8">
        <v>1</v>
      </c>
      <c r="V729" s="8">
        <f t="shared" si="8"/>
        <v>14</v>
      </c>
      <c r="W729" s="12">
        <f t="shared" si="9"/>
        <v>2457.35</v>
      </c>
      <c r="Y729">
        <v>1</v>
      </c>
    </row>
    <row r="730" spans="1:25" ht="40" customHeight="1">
      <c r="A730" s="5" t="s">
        <v>3696</v>
      </c>
      <c r="B730" s="6" t="s">
        <v>3697</v>
      </c>
      <c r="C730" s="6">
        <v>221040</v>
      </c>
      <c r="D730" s="6" t="s">
        <v>94</v>
      </c>
      <c r="E730" s="6" t="s">
        <v>3698</v>
      </c>
      <c r="F730" s="6"/>
      <c r="G730" s="6" t="s">
        <v>1428</v>
      </c>
      <c r="H730" s="6" t="s">
        <v>215</v>
      </c>
      <c r="I730" s="6" t="s">
        <v>417</v>
      </c>
      <c r="J730" s="6" t="s">
        <v>3689</v>
      </c>
      <c r="K730" s="6" t="s">
        <v>3699</v>
      </c>
      <c r="L730" s="6" t="s">
        <v>54</v>
      </c>
      <c r="M730" s="6" t="s">
        <v>54</v>
      </c>
      <c r="N730" s="6" t="s">
        <v>3327</v>
      </c>
      <c r="O730" s="6" t="s">
        <v>1433</v>
      </c>
      <c r="P730" s="6"/>
      <c r="Q730" s="8">
        <v>175</v>
      </c>
      <c r="R730" s="8">
        <v>175.52500000000001</v>
      </c>
      <c r="S730" s="8">
        <v>349.9</v>
      </c>
      <c r="T730" s="8">
        <v>14</v>
      </c>
      <c r="U730" s="8">
        <v>1</v>
      </c>
      <c r="V730" s="8">
        <f t="shared" si="8"/>
        <v>14</v>
      </c>
      <c r="W730" s="12">
        <f t="shared" si="9"/>
        <v>2457.35</v>
      </c>
      <c r="Y730">
        <v>1</v>
      </c>
    </row>
    <row r="731" spans="1:25" ht="40" customHeight="1">
      <c r="A731" s="5" t="s">
        <v>3700</v>
      </c>
      <c r="B731" s="6" t="s">
        <v>3701</v>
      </c>
      <c r="C731" s="7">
        <v>221041</v>
      </c>
      <c r="D731" s="6" t="s">
        <v>64</v>
      </c>
      <c r="E731" s="7" t="s">
        <v>3702</v>
      </c>
      <c r="F731" s="6"/>
      <c r="G731" s="6" t="s">
        <v>1428</v>
      </c>
      <c r="H731" s="6" t="s">
        <v>1457</v>
      </c>
      <c r="I731" s="6" t="s">
        <v>417</v>
      </c>
      <c r="J731" s="6" t="s">
        <v>3703</v>
      </c>
      <c r="K731" s="6" t="s">
        <v>996</v>
      </c>
      <c r="L731" s="6" t="s">
        <v>1459</v>
      </c>
      <c r="M731" s="6" t="s">
        <v>3704</v>
      </c>
      <c r="N731" s="6" t="s">
        <v>3327</v>
      </c>
      <c r="O731" s="6" t="s">
        <v>1461</v>
      </c>
      <c r="P731" s="6"/>
      <c r="Q731" s="8">
        <v>150</v>
      </c>
      <c r="R731" s="8">
        <v>150.44999999999999</v>
      </c>
      <c r="S731" s="8">
        <v>299.89999999999998</v>
      </c>
      <c r="T731" s="8">
        <v>14</v>
      </c>
      <c r="U731" s="8">
        <v>1</v>
      </c>
      <c r="V731" s="8">
        <f t="shared" si="8"/>
        <v>14</v>
      </c>
      <c r="W731" s="12">
        <f t="shared" si="9"/>
        <v>2106.3000000000002</v>
      </c>
      <c r="Y731">
        <v>1</v>
      </c>
    </row>
    <row r="732" spans="1:25" ht="40" customHeight="1">
      <c r="A732" s="5" t="s">
        <v>3705</v>
      </c>
      <c r="B732" s="6" t="s">
        <v>3706</v>
      </c>
      <c r="C732" s="6">
        <v>221041</v>
      </c>
      <c r="D732" s="6" t="s">
        <v>1426</v>
      </c>
      <c r="E732" s="6" t="s">
        <v>3707</v>
      </c>
      <c r="F732" s="6"/>
      <c r="G732" s="6" t="s">
        <v>1428</v>
      </c>
      <c r="H732" s="6" t="s">
        <v>1457</v>
      </c>
      <c r="I732" s="6" t="s">
        <v>417</v>
      </c>
      <c r="J732" s="6" t="s">
        <v>3703</v>
      </c>
      <c r="K732" s="6" t="s">
        <v>1430</v>
      </c>
      <c r="L732" s="6" t="s">
        <v>1459</v>
      </c>
      <c r="M732" s="6" t="s">
        <v>3704</v>
      </c>
      <c r="N732" s="6" t="s">
        <v>3327</v>
      </c>
      <c r="O732" s="6" t="s">
        <v>1461</v>
      </c>
      <c r="P732" s="6"/>
      <c r="Q732" s="8">
        <v>150</v>
      </c>
      <c r="R732" s="8">
        <v>150.44999999999999</v>
      </c>
      <c r="S732" s="8">
        <v>299.89999999999998</v>
      </c>
      <c r="T732" s="8">
        <v>14</v>
      </c>
      <c r="U732" s="8">
        <v>1</v>
      </c>
      <c r="V732" s="8">
        <f t="shared" si="8"/>
        <v>14</v>
      </c>
      <c r="W732" s="12">
        <f t="shared" si="9"/>
        <v>2106.3000000000002</v>
      </c>
      <c r="Y732">
        <v>1</v>
      </c>
    </row>
    <row r="733" spans="1:25" ht="40" customHeight="1">
      <c r="A733" s="5" t="s">
        <v>3708</v>
      </c>
      <c r="B733" s="6" t="s">
        <v>3709</v>
      </c>
      <c r="C733" s="6">
        <v>221041</v>
      </c>
      <c r="D733" s="6" t="s">
        <v>89</v>
      </c>
      <c r="E733" s="6" t="s">
        <v>3710</v>
      </c>
      <c r="F733" s="6"/>
      <c r="G733" s="6" t="s">
        <v>1428</v>
      </c>
      <c r="H733" s="6" t="s">
        <v>1457</v>
      </c>
      <c r="I733" s="6" t="s">
        <v>417</v>
      </c>
      <c r="J733" s="6" t="s">
        <v>3703</v>
      </c>
      <c r="K733" s="6" t="s">
        <v>1009</v>
      </c>
      <c r="L733" s="6" t="s">
        <v>1459</v>
      </c>
      <c r="M733" s="6" t="s">
        <v>3704</v>
      </c>
      <c r="N733" s="6" t="s">
        <v>3327</v>
      </c>
      <c r="O733" s="6" t="s">
        <v>1461</v>
      </c>
      <c r="P733" s="6"/>
      <c r="Q733" s="8">
        <v>150</v>
      </c>
      <c r="R733" s="8">
        <v>150.44999999999999</v>
      </c>
      <c r="S733" s="8">
        <v>299.89999999999998</v>
      </c>
      <c r="T733" s="8">
        <v>14</v>
      </c>
      <c r="U733" s="8">
        <v>1</v>
      </c>
      <c r="V733" s="8">
        <f t="shared" si="8"/>
        <v>14</v>
      </c>
      <c r="W733" s="12">
        <f t="shared" si="9"/>
        <v>2106.3000000000002</v>
      </c>
      <c r="Y733">
        <v>1</v>
      </c>
    </row>
    <row r="734" spans="1:25" ht="40" customHeight="1">
      <c r="A734" s="5" t="s">
        <v>3711</v>
      </c>
      <c r="B734" s="6" t="s">
        <v>3712</v>
      </c>
      <c r="C734" s="7">
        <v>221041</v>
      </c>
      <c r="D734" s="6" t="s">
        <v>94</v>
      </c>
      <c r="E734" s="7" t="s">
        <v>3713</v>
      </c>
      <c r="F734" s="6"/>
      <c r="G734" s="6" t="s">
        <v>1428</v>
      </c>
      <c r="H734" s="6" t="s">
        <v>1457</v>
      </c>
      <c r="I734" s="6" t="s">
        <v>417</v>
      </c>
      <c r="J734" s="6" t="s">
        <v>3703</v>
      </c>
      <c r="K734" s="6" t="s">
        <v>1453</v>
      </c>
      <c r="L734" s="6" t="s">
        <v>1459</v>
      </c>
      <c r="M734" s="6" t="s">
        <v>3704</v>
      </c>
      <c r="N734" s="6" t="s">
        <v>3327</v>
      </c>
      <c r="O734" s="6" t="s">
        <v>1461</v>
      </c>
      <c r="P734" s="6"/>
      <c r="Q734" s="8">
        <v>150</v>
      </c>
      <c r="R734" s="8">
        <v>150.44999999999999</v>
      </c>
      <c r="S734" s="8">
        <v>299.89999999999998</v>
      </c>
      <c r="T734" s="8">
        <v>14</v>
      </c>
      <c r="U734" s="8">
        <v>1</v>
      </c>
      <c r="V734" s="8">
        <f t="shared" si="8"/>
        <v>14</v>
      </c>
      <c r="W734" s="12">
        <f t="shared" si="9"/>
        <v>2106.3000000000002</v>
      </c>
      <c r="Y734">
        <v>1</v>
      </c>
    </row>
    <row r="735" spans="1:25" ht="40" customHeight="1">
      <c r="A735" s="6" t="s">
        <v>3714</v>
      </c>
      <c r="B735" s="8" t="s">
        <v>3715</v>
      </c>
      <c r="C735" s="8" t="s">
        <v>3716</v>
      </c>
      <c r="D735" s="6" t="s">
        <v>27</v>
      </c>
      <c r="E735" s="8" t="s">
        <v>3717</v>
      </c>
      <c r="F735" s="6" t="s">
        <v>5</v>
      </c>
      <c r="G735" s="6" t="s">
        <v>1428</v>
      </c>
      <c r="H735" s="6" t="s">
        <v>1457</v>
      </c>
      <c r="I735" s="6" t="s">
        <v>417</v>
      </c>
      <c r="J735" s="6" t="s">
        <v>3703</v>
      </c>
      <c r="K735" s="6" t="s">
        <v>996</v>
      </c>
      <c r="L735" s="6" t="s">
        <v>1459</v>
      </c>
      <c r="M735" s="6" t="s">
        <v>3704</v>
      </c>
      <c r="N735" s="6" t="s">
        <v>3327</v>
      </c>
      <c r="O735" s="6" t="s">
        <v>1461</v>
      </c>
      <c r="P735" s="6"/>
      <c r="Q735" s="8">
        <v>150</v>
      </c>
      <c r="R735" s="8">
        <v>150.44999999999999</v>
      </c>
      <c r="S735" s="8">
        <v>299.89999999999998</v>
      </c>
      <c r="T735" s="8">
        <v>14</v>
      </c>
      <c r="U735" s="8"/>
      <c r="V735" s="8">
        <f t="shared" si="8"/>
        <v>0</v>
      </c>
      <c r="W735" s="12">
        <f t="shared" si="9"/>
        <v>0</v>
      </c>
      <c r="Y735">
        <v>0</v>
      </c>
    </row>
    <row r="736" spans="1:25" ht="40" customHeight="1">
      <c r="A736" s="6" t="s">
        <v>3718</v>
      </c>
      <c r="B736" s="8" t="s">
        <v>3719</v>
      </c>
      <c r="C736" s="8" t="s">
        <v>3716</v>
      </c>
      <c r="D736" s="6" t="s">
        <v>3559</v>
      </c>
      <c r="E736" s="8" t="s">
        <v>3720</v>
      </c>
      <c r="F736" s="6" t="s">
        <v>5</v>
      </c>
      <c r="G736" s="6" t="s">
        <v>1428</v>
      </c>
      <c r="H736" s="6" t="s">
        <v>1457</v>
      </c>
      <c r="I736" s="6" t="s">
        <v>417</v>
      </c>
      <c r="J736" s="6" t="s">
        <v>3703</v>
      </c>
      <c r="K736" s="6" t="s">
        <v>1437</v>
      </c>
      <c r="L736" s="6" t="s">
        <v>1459</v>
      </c>
      <c r="M736" s="6" t="s">
        <v>3704</v>
      </c>
      <c r="N736" s="6" t="s">
        <v>3327</v>
      </c>
      <c r="O736" s="6" t="s">
        <v>1461</v>
      </c>
      <c r="P736" s="6"/>
      <c r="Q736" s="8">
        <v>150</v>
      </c>
      <c r="R736" s="8">
        <v>150.44999999999999</v>
      </c>
      <c r="S736" s="8">
        <v>299.89999999999998</v>
      </c>
      <c r="T736" s="8">
        <v>14</v>
      </c>
      <c r="U736" s="8"/>
      <c r="V736" s="8">
        <f t="shared" si="8"/>
        <v>0</v>
      </c>
      <c r="W736" s="12">
        <f t="shared" si="9"/>
        <v>0</v>
      </c>
      <c r="Y736">
        <v>0</v>
      </c>
    </row>
    <row r="737" spans="1:25" ht="40" customHeight="1">
      <c r="A737" s="5" t="s">
        <v>3721</v>
      </c>
      <c r="B737" s="6" t="s">
        <v>3722</v>
      </c>
      <c r="C737" s="6">
        <v>221120</v>
      </c>
      <c r="D737" s="6" t="s">
        <v>40</v>
      </c>
      <c r="E737" s="6" t="s">
        <v>3723</v>
      </c>
      <c r="F737" s="6"/>
      <c r="G737" s="6" t="s">
        <v>1393</v>
      </c>
      <c r="H737" s="6" t="s">
        <v>215</v>
      </c>
      <c r="I737" s="6" t="s">
        <v>417</v>
      </c>
      <c r="J737" s="6" t="s">
        <v>1394</v>
      </c>
      <c r="K737" s="6" t="s">
        <v>983</v>
      </c>
      <c r="L737" s="6" t="s">
        <v>3724</v>
      </c>
      <c r="M737" s="6" t="s">
        <v>3725</v>
      </c>
      <c r="N737" s="6" t="s">
        <v>3327</v>
      </c>
      <c r="O737" s="6" t="s">
        <v>1395</v>
      </c>
      <c r="P737" s="6"/>
      <c r="Q737" s="8">
        <v>225</v>
      </c>
      <c r="R737" s="8">
        <v>225.67500000000001</v>
      </c>
      <c r="S737" s="8">
        <v>449.9</v>
      </c>
      <c r="T737" s="8">
        <v>14</v>
      </c>
      <c r="U737" s="8">
        <v>2</v>
      </c>
      <c r="V737" s="8">
        <f t="shared" si="8"/>
        <v>28</v>
      </c>
      <c r="W737" s="12">
        <f t="shared" si="9"/>
        <v>6318.9</v>
      </c>
      <c r="Y737">
        <v>2</v>
      </c>
    </row>
    <row r="738" spans="1:25" ht="40" customHeight="1">
      <c r="A738" s="5" t="s">
        <v>3726</v>
      </c>
      <c r="B738" s="6" t="s">
        <v>3727</v>
      </c>
      <c r="C738" s="6">
        <v>221120</v>
      </c>
      <c r="D738" s="6" t="s">
        <v>200</v>
      </c>
      <c r="E738" s="6" t="s">
        <v>3728</v>
      </c>
      <c r="F738" s="6"/>
      <c r="G738" s="6" t="s">
        <v>1393</v>
      </c>
      <c r="H738" s="6" t="s">
        <v>215</v>
      </c>
      <c r="I738" s="6" t="s">
        <v>417</v>
      </c>
      <c r="J738" s="6" t="s">
        <v>1394</v>
      </c>
      <c r="K738" s="6" t="s">
        <v>3729</v>
      </c>
      <c r="L738" s="6" t="s">
        <v>3724</v>
      </c>
      <c r="M738" s="6" t="s">
        <v>3725</v>
      </c>
      <c r="N738" s="6" t="s">
        <v>3327</v>
      </c>
      <c r="O738" s="6" t="s">
        <v>1395</v>
      </c>
      <c r="P738" s="6"/>
      <c r="Q738" s="8">
        <v>225</v>
      </c>
      <c r="R738" s="8">
        <v>225.67500000000001</v>
      </c>
      <c r="S738" s="8">
        <v>449.9</v>
      </c>
      <c r="T738" s="8">
        <v>14</v>
      </c>
      <c r="U738" s="8">
        <v>2</v>
      </c>
      <c r="V738" s="8">
        <f t="shared" si="8"/>
        <v>28</v>
      </c>
      <c r="W738" s="12">
        <f t="shared" si="9"/>
        <v>6318.9</v>
      </c>
      <c r="Y738">
        <v>2</v>
      </c>
    </row>
    <row r="739" spans="1:25" ht="40" customHeight="1">
      <c r="A739" s="5" t="s">
        <v>3730</v>
      </c>
      <c r="B739" s="6" t="s">
        <v>3731</v>
      </c>
      <c r="C739" s="6">
        <v>221120</v>
      </c>
      <c r="D739" s="6" t="s">
        <v>94</v>
      </c>
      <c r="E739" s="6" t="s">
        <v>3732</v>
      </c>
      <c r="F739" s="6"/>
      <c r="G739" s="6" t="s">
        <v>1393</v>
      </c>
      <c r="H739" s="6" t="s">
        <v>215</v>
      </c>
      <c r="I739" s="6" t="s">
        <v>417</v>
      </c>
      <c r="J739" s="6" t="s">
        <v>1394</v>
      </c>
      <c r="K739" s="6" t="s">
        <v>3733</v>
      </c>
      <c r="L739" s="6" t="s">
        <v>3724</v>
      </c>
      <c r="M739" s="6" t="s">
        <v>3725</v>
      </c>
      <c r="N739" s="6" t="s">
        <v>3327</v>
      </c>
      <c r="O739" s="6" t="s">
        <v>1395</v>
      </c>
      <c r="P739" s="6"/>
      <c r="Q739" s="8">
        <v>225</v>
      </c>
      <c r="R739" s="8">
        <v>225.67500000000001</v>
      </c>
      <c r="S739" s="8">
        <v>449.9</v>
      </c>
      <c r="T739" s="8">
        <v>14</v>
      </c>
      <c r="U739" s="8">
        <v>1</v>
      </c>
      <c r="V739" s="8">
        <f t="shared" si="8"/>
        <v>14</v>
      </c>
      <c r="W739" s="12">
        <f t="shared" si="9"/>
        <v>3159.45</v>
      </c>
      <c r="Y739">
        <v>1</v>
      </c>
    </row>
    <row r="740" spans="1:25" ht="40" customHeight="1">
      <c r="A740" s="5" t="s">
        <v>3734</v>
      </c>
      <c r="B740" s="6" t="s">
        <v>3735</v>
      </c>
      <c r="C740" s="6">
        <v>221121</v>
      </c>
      <c r="D740" s="6" t="s">
        <v>3525</v>
      </c>
      <c r="E740" s="6" t="s">
        <v>3736</v>
      </c>
      <c r="F740" s="6"/>
      <c r="G740" s="6" t="s">
        <v>1393</v>
      </c>
      <c r="H740" s="6" t="s">
        <v>1405</v>
      </c>
      <c r="I740" s="6" t="s">
        <v>417</v>
      </c>
      <c r="J740" s="6" t="s">
        <v>1406</v>
      </c>
      <c r="K740" s="6" t="s">
        <v>978</v>
      </c>
      <c r="L740" s="6" t="s">
        <v>1407</v>
      </c>
      <c r="M740" s="6" t="s">
        <v>3737</v>
      </c>
      <c r="N740" s="6" t="s">
        <v>3327</v>
      </c>
      <c r="O740" s="6" t="s">
        <v>1409</v>
      </c>
      <c r="P740" s="6"/>
      <c r="Q740" s="8">
        <v>200</v>
      </c>
      <c r="R740" s="8">
        <v>200.6</v>
      </c>
      <c r="S740" s="8">
        <v>399.9</v>
      </c>
      <c r="T740" s="8">
        <v>14</v>
      </c>
      <c r="U740" s="8">
        <v>1</v>
      </c>
      <c r="V740" s="8">
        <f t="shared" si="8"/>
        <v>14</v>
      </c>
      <c r="W740" s="12">
        <f t="shared" si="9"/>
        <v>2808.4</v>
      </c>
      <c r="Y740">
        <v>1</v>
      </c>
    </row>
    <row r="741" spans="1:25" ht="40" customHeight="1">
      <c r="A741" s="5" t="s">
        <v>3738</v>
      </c>
      <c r="B741" s="6" t="s">
        <v>3739</v>
      </c>
      <c r="C741" s="6">
        <v>221121</v>
      </c>
      <c r="D741" s="6" t="s">
        <v>64</v>
      </c>
      <c r="E741" s="6" t="s">
        <v>3740</v>
      </c>
      <c r="F741" s="6"/>
      <c r="G741" s="6" t="s">
        <v>1393</v>
      </c>
      <c r="H741" s="6" t="s">
        <v>1405</v>
      </c>
      <c r="I741" s="6" t="s">
        <v>417</v>
      </c>
      <c r="J741" s="6" t="s">
        <v>1406</v>
      </c>
      <c r="K741" s="6" t="s">
        <v>978</v>
      </c>
      <c r="L741" s="6" t="s">
        <v>1407</v>
      </c>
      <c r="M741" s="6" t="s">
        <v>3737</v>
      </c>
      <c r="N741" s="6" t="s">
        <v>3327</v>
      </c>
      <c r="O741" s="6" t="s">
        <v>1409</v>
      </c>
      <c r="P741" s="6"/>
      <c r="Q741" s="8">
        <v>200</v>
      </c>
      <c r="R741" s="8">
        <v>200.6</v>
      </c>
      <c r="S741" s="8">
        <v>399.9</v>
      </c>
      <c r="T741" s="8">
        <v>14</v>
      </c>
      <c r="U741" s="8">
        <v>1</v>
      </c>
      <c r="V741" s="8">
        <f t="shared" si="8"/>
        <v>14</v>
      </c>
      <c r="W741" s="12">
        <f t="shared" si="9"/>
        <v>2808.4</v>
      </c>
      <c r="Y741">
        <v>1</v>
      </c>
    </row>
    <row r="742" spans="1:25" ht="40" customHeight="1">
      <c r="A742" s="5" t="s">
        <v>3741</v>
      </c>
      <c r="B742" s="6" t="s">
        <v>3742</v>
      </c>
      <c r="C742" s="6">
        <v>221121</v>
      </c>
      <c r="D742" s="6" t="s">
        <v>40</v>
      </c>
      <c r="E742" s="6" t="s">
        <v>3743</v>
      </c>
      <c r="F742" s="6"/>
      <c r="G742" s="6" t="s">
        <v>1393</v>
      </c>
      <c r="H742" s="6" t="s">
        <v>1405</v>
      </c>
      <c r="I742" s="6" t="s">
        <v>417</v>
      </c>
      <c r="J742" s="6" t="s">
        <v>1406</v>
      </c>
      <c r="K742" s="6" t="s">
        <v>983</v>
      </c>
      <c r="L742" s="6" t="s">
        <v>1407</v>
      </c>
      <c r="M742" s="6" t="s">
        <v>3737</v>
      </c>
      <c r="N742" s="6" t="s">
        <v>3327</v>
      </c>
      <c r="O742" s="6" t="s">
        <v>1409</v>
      </c>
      <c r="P742" s="6"/>
      <c r="Q742" s="8">
        <v>200</v>
      </c>
      <c r="R742" s="8">
        <v>200.6</v>
      </c>
      <c r="S742" s="8">
        <v>399.9</v>
      </c>
      <c r="T742" s="8">
        <v>14</v>
      </c>
      <c r="U742" s="8"/>
      <c r="V742" s="8">
        <f t="shared" si="8"/>
        <v>0</v>
      </c>
      <c r="W742" s="12">
        <f t="shared" si="9"/>
        <v>0</v>
      </c>
      <c r="Y742">
        <v>0</v>
      </c>
    </row>
    <row r="743" spans="1:25" ht="40" customHeight="1">
      <c r="A743" s="5" t="s">
        <v>3744</v>
      </c>
      <c r="B743" s="6" t="s">
        <v>3745</v>
      </c>
      <c r="C743" s="6">
        <v>221121</v>
      </c>
      <c r="D743" s="6" t="s">
        <v>89</v>
      </c>
      <c r="E743" s="6" t="s">
        <v>3746</v>
      </c>
      <c r="F743" s="6"/>
      <c r="G743" s="6" t="s">
        <v>1393</v>
      </c>
      <c r="H743" s="6" t="s">
        <v>1405</v>
      </c>
      <c r="I743" s="6" t="s">
        <v>417</v>
      </c>
      <c r="J743" s="6" t="s">
        <v>1406</v>
      </c>
      <c r="K743" s="6" t="s">
        <v>987</v>
      </c>
      <c r="L743" s="6" t="s">
        <v>1407</v>
      </c>
      <c r="M743" s="6" t="s">
        <v>3737</v>
      </c>
      <c r="N743" s="6" t="s">
        <v>3327</v>
      </c>
      <c r="O743" s="6" t="s">
        <v>1409</v>
      </c>
      <c r="P743" s="6"/>
      <c r="Q743" s="8">
        <v>200</v>
      </c>
      <c r="R743" s="8">
        <v>200.6</v>
      </c>
      <c r="S743" s="8">
        <v>399.9</v>
      </c>
      <c r="T743" s="8">
        <v>14</v>
      </c>
      <c r="U743" s="8"/>
      <c r="V743" s="8">
        <f t="shared" ref="V743:V806" si="10">T743*U743</f>
        <v>0</v>
      </c>
      <c r="W743" s="12">
        <f t="shared" ref="W743:W806" si="11">R743*V743</f>
        <v>0</v>
      </c>
      <c r="Y743">
        <v>0</v>
      </c>
    </row>
    <row r="744" spans="1:25" ht="40" customHeight="1">
      <c r="A744" s="5" t="s">
        <v>3747</v>
      </c>
      <c r="B744" s="6" t="s">
        <v>3748</v>
      </c>
      <c r="C744" s="6">
        <v>221121</v>
      </c>
      <c r="D744" s="6" t="s">
        <v>200</v>
      </c>
      <c r="E744" s="6" t="s">
        <v>3749</v>
      </c>
      <c r="F744" s="6"/>
      <c r="G744" s="6" t="s">
        <v>1393</v>
      </c>
      <c r="H744" s="6" t="s">
        <v>1405</v>
      </c>
      <c r="I744" s="6" t="s">
        <v>417</v>
      </c>
      <c r="J744" s="6" t="s">
        <v>1406</v>
      </c>
      <c r="K744" s="6" t="s">
        <v>3729</v>
      </c>
      <c r="L744" s="6" t="s">
        <v>1407</v>
      </c>
      <c r="M744" s="6" t="s">
        <v>3737</v>
      </c>
      <c r="N744" s="6" t="s">
        <v>3327</v>
      </c>
      <c r="O744" s="6" t="s">
        <v>1409</v>
      </c>
      <c r="P744" s="6"/>
      <c r="Q744" s="8">
        <v>200</v>
      </c>
      <c r="R744" s="8">
        <v>200.6</v>
      </c>
      <c r="S744" s="8">
        <v>399.9</v>
      </c>
      <c r="T744" s="8">
        <v>14</v>
      </c>
      <c r="U744" s="8">
        <v>1</v>
      </c>
      <c r="V744" s="8">
        <f t="shared" si="10"/>
        <v>14</v>
      </c>
      <c r="W744" s="12">
        <f t="shared" si="11"/>
        <v>2808.4</v>
      </c>
      <c r="Y744">
        <v>1</v>
      </c>
    </row>
    <row r="745" spans="1:25" ht="40" customHeight="1">
      <c r="A745" s="5" t="s">
        <v>3750</v>
      </c>
      <c r="B745" s="6" t="s">
        <v>3751</v>
      </c>
      <c r="C745" s="6">
        <v>221121</v>
      </c>
      <c r="D745" s="6" t="s">
        <v>94</v>
      </c>
      <c r="E745" s="6" t="s">
        <v>3752</v>
      </c>
      <c r="F745" s="6"/>
      <c r="G745" s="6" t="s">
        <v>1393</v>
      </c>
      <c r="H745" s="6" t="s">
        <v>1405</v>
      </c>
      <c r="I745" s="6" t="s">
        <v>417</v>
      </c>
      <c r="J745" s="6" t="s">
        <v>1406</v>
      </c>
      <c r="K745" s="6" t="s">
        <v>3733</v>
      </c>
      <c r="L745" s="6" t="s">
        <v>1407</v>
      </c>
      <c r="M745" s="6" t="s">
        <v>3737</v>
      </c>
      <c r="N745" s="6" t="s">
        <v>3327</v>
      </c>
      <c r="O745" s="6" t="s">
        <v>1409</v>
      </c>
      <c r="P745" s="6"/>
      <c r="Q745" s="8">
        <v>200</v>
      </c>
      <c r="R745" s="8">
        <v>200.6</v>
      </c>
      <c r="S745" s="8">
        <v>399.9</v>
      </c>
      <c r="T745" s="8">
        <v>14</v>
      </c>
      <c r="U745" s="8"/>
      <c r="V745" s="8">
        <f t="shared" si="10"/>
        <v>0</v>
      </c>
      <c r="W745" s="12">
        <f t="shared" si="11"/>
        <v>0</v>
      </c>
      <c r="Y745">
        <v>0</v>
      </c>
    </row>
    <row r="746" spans="1:25" ht="40" customHeight="1">
      <c r="A746" s="5" t="s">
        <v>3753</v>
      </c>
      <c r="B746" s="6" t="s">
        <v>3754</v>
      </c>
      <c r="C746" s="6">
        <v>221140</v>
      </c>
      <c r="D746" s="6" t="s">
        <v>64</v>
      </c>
      <c r="E746" s="6" t="s">
        <v>3755</v>
      </c>
      <c r="F746" s="6"/>
      <c r="G746" s="6" t="s">
        <v>1348</v>
      </c>
      <c r="H746" s="6" t="s">
        <v>1349</v>
      </c>
      <c r="I746" s="6" t="s">
        <v>417</v>
      </c>
      <c r="J746" s="6" t="s">
        <v>3756</v>
      </c>
      <c r="K746" s="6" t="s">
        <v>3492</v>
      </c>
      <c r="L746" s="6" t="s">
        <v>54</v>
      </c>
      <c r="M746" s="6" t="s">
        <v>54</v>
      </c>
      <c r="N746" s="6" t="s">
        <v>3327</v>
      </c>
      <c r="O746" s="6" t="s">
        <v>1352</v>
      </c>
      <c r="P746" s="6"/>
      <c r="Q746" s="8">
        <v>175</v>
      </c>
      <c r="R746" s="8">
        <v>175.52500000000001</v>
      </c>
      <c r="S746" s="8">
        <v>349.9</v>
      </c>
      <c r="T746" s="8">
        <v>14</v>
      </c>
      <c r="U746" s="8">
        <v>3</v>
      </c>
      <c r="V746" s="8">
        <f t="shared" si="10"/>
        <v>42</v>
      </c>
      <c r="W746" s="12">
        <f t="shared" si="11"/>
        <v>7372.05</v>
      </c>
      <c r="Y746">
        <v>3</v>
      </c>
    </row>
    <row r="747" spans="1:25" ht="40" customHeight="1">
      <c r="A747" s="5" t="s">
        <v>3757</v>
      </c>
      <c r="B747" s="6" t="s">
        <v>3758</v>
      </c>
      <c r="C747" s="6">
        <v>221140</v>
      </c>
      <c r="D747" s="6" t="s">
        <v>40</v>
      </c>
      <c r="E747" s="6" t="s">
        <v>3759</v>
      </c>
      <c r="F747" s="6"/>
      <c r="G747" s="6" t="s">
        <v>1348</v>
      </c>
      <c r="H747" s="6" t="s">
        <v>1349</v>
      </c>
      <c r="I747" s="6" t="s">
        <v>417</v>
      </c>
      <c r="J747" s="6" t="s">
        <v>3756</v>
      </c>
      <c r="K747" s="6" t="s">
        <v>3760</v>
      </c>
      <c r="L747" s="6" t="s">
        <v>54</v>
      </c>
      <c r="M747" s="6" t="s">
        <v>54</v>
      </c>
      <c r="N747" s="6" t="s">
        <v>3327</v>
      </c>
      <c r="O747" s="6" t="s">
        <v>1352</v>
      </c>
      <c r="P747" s="6"/>
      <c r="Q747" s="8">
        <v>175</v>
      </c>
      <c r="R747" s="8">
        <v>175.52500000000001</v>
      </c>
      <c r="S747" s="8">
        <v>349.9</v>
      </c>
      <c r="T747" s="8">
        <v>14</v>
      </c>
      <c r="U747" s="8"/>
      <c r="V747" s="8">
        <f t="shared" si="10"/>
        <v>0</v>
      </c>
      <c r="W747" s="12">
        <f t="shared" si="11"/>
        <v>0</v>
      </c>
      <c r="Y747">
        <v>0</v>
      </c>
    </row>
    <row r="748" spans="1:25" ht="40" customHeight="1">
      <c r="A748" s="5" t="s">
        <v>3761</v>
      </c>
      <c r="B748" s="6" t="s">
        <v>3762</v>
      </c>
      <c r="C748" s="6">
        <v>221140</v>
      </c>
      <c r="D748" s="6" t="s">
        <v>89</v>
      </c>
      <c r="E748" s="6" t="s">
        <v>3763</v>
      </c>
      <c r="F748" s="6"/>
      <c r="G748" s="6" t="s">
        <v>1348</v>
      </c>
      <c r="H748" s="6" t="s">
        <v>1349</v>
      </c>
      <c r="I748" s="6" t="s">
        <v>417</v>
      </c>
      <c r="J748" s="6" t="s">
        <v>3756</v>
      </c>
      <c r="K748" s="6" t="s">
        <v>1383</v>
      </c>
      <c r="L748" s="6" t="s">
        <v>54</v>
      </c>
      <c r="M748" s="6" t="s">
        <v>54</v>
      </c>
      <c r="N748" s="6" t="s">
        <v>3327</v>
      </c>
      <c r="O748" s="6" t="s">
        <v>1352</v>
      </c>
      <c r="P748" s="6"/>
      <c r="Q748" s="8">
        <v>175</v>
      </c>
      <c r="R748" s="8">
        <v>175.52500000000001</v>
      </c>
      <c r="S748" s="8">
        <v>349.9</v>
      </c>
      <c r="T748" s="8">
        <v>14</v>
      </c>
      <c r="U748" s="8"/>
      <c r="V748" s="8">
        <f t="shared" si="10"/>
        <v>0</v>
      </c>
      <c r="W748" s="12">
        <f t="shared" si="11"/>
        <v>0</v>
      </c>
      <c r="Y748">
        <v>0</v>
      </c>
    </row>
    <row r="749" spans="1:25" ht="40" customHeight="1">
      <c r="A749" s="5" t="s">
        <v>3764</v>
      </c>
      <c r="B749" s="6" t="s">
        <v>3765</v>
      </c>
      <c r="C749" s="6">
        <v>221140</v>
      </c>
      <c r="D749" s="6" t="s">
        <v>45</v>
      </c>
      <c r="E749" s="6" t="s">
        <v>3766</v>
      </c>
      <c r="F749" s="6"/>
      <c r="G749" s="6" t="s">
        <v>1348</v>
      </c>
      <c r="H749" s="6" t="s">
        <v>1349</v>
      </c>
      <c r="I749" s="6" t="s">
        <v>417</v>
      </c>
      <c r="J749" s="6" t="s">
        <v>3756</v>
      </c>
      <c r="K749" s="6" t="s">
        <v>3767</v>
      </c>
      <c r="L749" s="6" t="s">
        <v>54</v>
      </c>
      <c r="M749" s="6" t="s">
        <v>54</v>
      </c>
      <c r="N749" s="6" t="s">
        <v>3327</v>
      </c>
      <c r="O749" s="6" t="s">
        <v>1352</v>
      </c>
      <c r="P749" s="6"/>
      <c r="Q749" s="8">
        <v>175</v>
      </c>
      <c r="R749" s="8">
        <v>175.52500000000001</v>
      </c>
      <c r="S749" s="8">
        <v>349.9</v>
      </c>
      <c r="T749" s="8">
        <v>14</v>
      </c>
      <c r="U749" s="8">
        <v>3</v>
      </c>
      <c r="V749" s="8">
        <f t="shared" si="10"/>
        <v>42</v>
      </c>
      <c r="W749" s="12">
        <f t="shared" si="11"/>
        <v>7372.05</v>
      </c>
      <c r="Y749">
        <v>3</v>
      </c>
    </row>
    <row r="750" spans="1:25" ht="40" customHeight="1">
      <c r="A750" s="5" t="s">
        <v>3768</v>
      </c>
      <c r="B750" s="6" t="s">
        <v>3769</v>
      </c>
      <c r="C750" s="6">
        <v>221140</v>
      </c>
      <c r="D750" s="6" t="s">
        <v>1699</v>
      </c>
      <c r="E750" s="6" t="s">
        <v>3770</v>
      </c>
      <c r="F750" s="6"/>
      <c r="G750" s="6" t="s">
        <v>1348</v>
      </c>
      <c r="H750" s="6" t="s">
        <v>1349</v>
      </c>
      <c r="I750" s="6" t="s">
        <v>417</v>
      </c>
      <c r="J750" s="6" t="s">
        <v>3756</v>
      </c>
      <c r="K750" s="6" t="s">
        <v>3771</v>
      </c>
      <c r="L750" s="6" t="s">
        <v>54</v>
      </c>
      <c r="M750" s="6" t="s">
        <v>54</v>
      </c>
      <c r="N750" s="6" t="s">
        <v>3327</v>
      </c>
      <c r="O750" s="6" t="s">
        <v>1352</v>
      </c>
      <c r="P750" s="6"/>
      <c r="Q750" s="8">
        <v>175</v>
      </c>
      <c r="R750" s="8">
        <v>175.52500000000001</v>
      </c>
      <c r="S750" s="8">
        <v>349.9</v>
      </c>
      <c r="T750" s="8">
        <v>14</v>
      </c>
      <c r="U750" s="8">
        <v>2</v>
      </c>
      <c r="V750" s="8">
        <f t="shared" si="10"/>
        <v>28</v>
      </c>
      <c r="W750" s="12">
        <f t="shared" si="11"/>
        <v>4914.7</v>
      </c>
      <c r="X750">
        <f>VLOOKUP(E750,[1]Sheet2!$A:$C,3,FALSE)</f>
        <v>1</v>
      </c>
      <c r="Y750">
        <v>3</v>
      </c>
    </row>
    <row r="751" spans="1:25" ht="40" customHeight="1">
      <c r="A751" s="5" t="s">
        <v>3772</v>
      </c>
      <c r="B751" s="6" t="s">
        <v>3773</v>
      </c>
      <c r="C751" s="6">
        <v>221141</v>
      </c>
      <c r="D751" s="6" t="s">
        <v>27</v>
      </c>
      <c r="E751" s="6" t="s">
        <v>3774</v>
      </c>
      <c r="F751" s="6"/>
      <c r="G751" s="6" t="s">
        <v>1348</v>
      </c>
      <c r="H751" s="6" t="s">
        <v>215</v>
      </c>
      <c r="I751" s="6" t="s">
        <v>417</v>
      </c>
      <c r="J751" s="6" t="s">
        <v>3775</v>
      </c>
      <c r="K751" s="6" t="s">
        <v>365</v>
      </c>
      <c r="L751" s="6" t="s">
        <v>54</v>
      </c>
      <c r="M751" s="6" t="s">
        <v>54</v>
      </c>
      <c r="N751" s="6" t="s">
        <v>3327</v>
      </c>
      <c r="O751" s="6" t="s">
        <v>1368</v>
      </c>
      <c r="P751" s="6"/>
      <c r="Q751" s="8">
        <v>200</v>
      </c>
      <c r="R751" s="8">
        <v>200.6</v>
      </c>
      <c r="S751" s="8">
        <v>399.9</v>
      </c>
      <c r="T751" s="8">
        <v>14</v>
      </c>
      <c r="U751" s="8">
        <v>2</v>
      </c>
      <c r="V751" s="8">
        <f t="shared" si="10"/>
        <v>28</v>
      </c>
      <c r="W751" s="12">
        <f t="shared" si="11"/>
        <v>5616.8</v>
      </c>
      <c r="Y751">
        <v>2</v>
      </c>
    </row>
    <row r="752" spans="1:25" ht="40" customHeight="1">
      <c r="A752" s="5" t="s">
        <v>3776</v>
      </c>
      <c r="B752" s="6" t="s">
        <v>3777</v>
      </c>
      <c r="C752" s="6">
        <v>221141</v>
      </c>
      <c r="D752" s="6" t="s">
        <v>64</v>
      </c>
      <c r="E752" s="6" t="s">
        <v>3778</v>
      </c>
      <c r="F752" s="6"/>
      <c r="G752" s="6" t="s">
        <v>1348</v>
      </c>
      <c r="H752" s="6" t="s">
        <v>215</v>
      </c>
      <c r="I752" s="6" t="s">
        <v>417</v>
      </c>
      <c r="J752" s="6" t="s">
        <v>3775</v>
      </c>
      <c r="K752" s="6" t="s">
        <v>365</v>
      </c>
      <c r="L752" s="6" t="s">
        <v>54</v>
      </c>
      <c r="M752" s="6" t="s">
        <v>54</v>
      </c>
      <c r="N752" s="6" t="s">
        <v>3327</v>
      </c>
      <c r="O752" s="6" t="s">
        <v>1368</v>
      </c>
      <c r="P752" s="6"/>
      <c r="Q752" s="8">
        <v>200</v>
      </c>
      <c r="R752" s="8">
        <v>200.6</v>
      </c>
      <c r="S752" s="8">
        <v>399.9</v>
      </c>
      <c r="T752" s="8">
        <v>14</v>
      </c>
      <c r="U752" s="8"/>
      <c r="V752" s="8">
        <f t="shared" si="10"/>
        <v>0</v>
      </c>
      <c r="W752" s="12">
        <f t="shared" si="11"/>
        <v>0</v>
      </c>
      <c r="Y752">
        <v>0</v>
      </c>
    </row>
    <row r="753" spans="1:25" ht="40" customHeight="1">
      <c r="A753" s="5" t="s">
        <v>3779</v>
      </c>
      <c r="B753" s="6" t="s">
        <v>3780</v>
      </c>
      <c r="C753" s="6">
        <v>221141</v>
      </c>
      <c r="D753" s="6" t="s">
        <v>3781</v>
      </c>
      <c r="E753" s="6" t="s">
        <v>3782</v>
      </c>
      <c r="F753" s="6"/>
      <c r="G753" s="6" t="s">
        <v>1348</v>
      </c>
      <c r="H753" s="6" t="s">
        <v>215</v>
      </c>
      <c r="I753" s="6" t="s">
        <v>417</v>
      </c>
      <c r="J753" s="6" t="s">
        <v>3775</v>
      </c>
      <c r="K753" s="8"/>
      <c r="L753" s="8"/>
      <c r="M753" s="8"/>
      <c r="N753" s="8"/>
      <c r="O753" s="8"/>
      <c r="P753" s="8"/>
      <c r="Q753" s="8">
        <v>200</v>
      </c>
      <c r="R753" s="8">
        <v>200.6</v>
      </c>
      <c r="S753" s="8">
        <v>399.9</v>
      </c>
      <c r="T753" s="8">
        <v>14</v>
      </c>
      <c r="U753" s="8"/>
      <c r="V753" s="8">
        <f t="shared" si="10"/>
        <v>0</v>
      </c>
      <c r="W753" s="12">
        <f t="shared" si="11"/>
        <v>0</v>
      </c>
      <c r="Y753">
        <v>0</v>
      </c>
    </row>
    <row r="754" spans="1:25" ht="40" customHeight="1">
      <c r="A754" s="5" t="s">
        <v>3783</v>
      </c>
      <c r="B754" s="6" t="s">
        <v>3784</v>
      </c>
      <c r="C754" s="7">
        <v>221141</v>
      </c>
      <c r="D754" s="6" t="s">
        <v>74</v>
      </c>
      <c r="E754" s="7" t="s">
        <v>3785</v>
      </c>
      <c r="F754" s="6"/>
      <c r="G754" s="6" t="s">
        <v>1348</v>
      </c>
      <c r="H754" s="6" t="s">
        <v>215</v>
      </c>
      <c r="I754" s="6" t="s">
        <v>417</v>
      </c>
      <c r="J754" s="6" t="s">
        <v>3775</v>
      </c>
      <c r="K754" s="6" t="s">
        <v>3786</v>
      </c>
      <c r="L754" s="6" t="s">
        <v>54</v>
      </c>
      <c r="M754" s="6" t="s">
        <v>54</v>
      </c>
      <c r="N754" s="6" t="s">
        <v>3327</v>
      </c>
      <c r="O754" s="6" t="s">
        <v>1368</v>
      </c>
      <c r="P754" s="6"/>
      <c r="Q754" s="8">
        <v>200</v>
      </c>
      <c r="R754" s="8">
        <v>200.6</v>
      </c>
      <c r="S754" s="8">
        <v>399.9</v>
      </c>
      <c r="T754" s="8">
        <v>14</v>
      </c>
      <c r="U754" s="8">
        <v>2</v>
      </c>
      <c r="V754" s="8">
        <f t="shared" si="10"/>
        <v>28</v>
      </c>
      <c r="W754" s="12">
        <f t="shared" si="11"/>
        <v>5616.8</v>
      </c>
      <c r="Y754">
        <v>2</v>
      </c>
    </row>
    <row r="755" spans="1:25" ht="40" customHeight="1">
      <c r="A755" s="5" t="s">
        <v>3787</v>
      </c>
      <c r="B755" s="6" t="s">
        <v>3788</v>
      </c>
      <c r="C755" s="6">
        <v>221141</v>
      </c>
      <c r="D755" s="6" t="s">
        <v>89</v>
      </c>
      <c r="E755" s="6" t="s">
        <v>3789</v>
      </c>
      <c r="F755" s="6"/>
      <c r="G755" s="6" t="s">
        <v>1348</v>
      </c>
      <c r="H755" s="6" t="s">
        <v>215</v>
      </c>
      <c r="I755" s="6" t="s">
        <v>417</v>
      </c>
      <c r="J755" s="6" t="s">
        <v>3775</v>
      </c>
      <c r="K755" s="6" t="s">
        <v>1383</v>
      </c>
      <c r="L755" s="6" t="s">
        <v>54</v>
      </c>
      <c r="M755" s="6" t="s">
        <v>54</v>
      </c>
      <c r="N755" s="6" t="s">
        <v>3327</v>
      </c>
      <c r="O755" s="6" t="s">
        <v>1368</v>
      </c>
      <c r="P755" s="6"/>
      <c r="Q755" s="8">
        <v>200</v>
      </c>
      <c r="R755" s="8">
        <v>200.6</v>
      </c>
      <c r="S755" s="8">
        <v>399.9</v>
      </c>
      <c r="T755" s="8">
        <v>14</v>
      </c>
      <c r="U755" s="8"/>
      <c r="V755" s="8">
        <f t="shared" si="10"/>
        <v>0</v>
      </c>
      <c r="W755" s="12">
        <f t="shared" si="11"/>
        <v>0</v>
      </c>
      <c r="Y755">
        <v>0</v>
      </c>
    </row>
    <row r="756" spans="1:25" ht="40" customHeight="1">
      <c r="A756" s="5" t="s">
        <v>3790</v>
      </c>
      <c r="B756" s="6" t="s">
        <v>3791</v>
      </c>
      <c r="C756" s="6">
        <v>221141</v>
      </c>
      <c r="D756" s="6" t="s">
        <v>3792</v>
      </c>
      <c r="E756" s="6" t="s">
        <v>3793</v>
      </c>
      <c r="F756" s="6"/>
      <c r="G756" s="6" t="s">
        <v>1348</v>
      </c>
      <c r="H756" s="6" t="s">
        <v>215</v>
      </c>
      <c r="I756" s="6" t="s">
        <v>417</v>
      </c>
      <c r="J756" s="6" t="s">
        <v>3775</v>
      </c>
      <c r="K756" s="6" t="s">
        <v>3794</v>
      </c>
      <c r="L756" s="6" t="s">
        <v>54</v>
      </c>
      <c r="M756" s="6" t="s">
        <v>54</v>
      </c>
      <c r="N756" s="6" t="s">
        <v>3327</v>
      </c>
      <c r="O756" s="6" t="s">
        <v>1368</v>
      </c>
      <c r="P756" s="6"/>
      <c r="Q756" s="8">
        <v>200</v>
      </c>
      <c r="R756" s="8">
        <v>200.6</v>
      </c>
      <c r="S756" s="8">
        <v>399.9</v>
      </c>
      <c r="T756" s="8">
        <v>14</v>
      </c>
      <c r="U756" s="8"/>
      <c r="V756" s="8">
        <f t="shared" si="10"/>
        <v>0</v>
      </c>
      <c r="W756" s="12">
        <f t="shared" si="11"/>
        <v>0</v>
      </c>
      <c r="Y756">
        <v>0</v>
      </c>
    </row>
    <row r="757" spans="1:25" ht="40" customHeight="1">
      <c r="A757" s="5" t="s">
        <v>3795</v>
      </c>
      <c r="B757" s="6" t="s">
        <v>3796</v>
      </c>
      <c r="C757" s="6">
        <v>221141</v>
      </c>
      <c r="D757" s="6" t="s">
        <v>126</v>
      </c>
      <c r="E757" s="6" t="s">
        <v>3797</v>
      </c>
      <c r="F757" s="6"/>
      <c r="G757" s="6" t="s">
        <v>1348</v>
      </c>
      <c r="H757" s="6" t="s">
        <v>215</v>
      </c>
      <c r="I757" s="6" t="s">
        <v>417</v>
      </c>
      <c r="J757" s="6" t="s">
        <v>3775</v>
      </c>
      <c r="K757" s="6" t="s">
        <v>553</v>
      </c>
      <c r="L757" s="6" t="s">
        <v>54</v>
      </c>
      <c r="M757" s="6" t="s">
        <v>54</v>
      </c>
      <c r="N757" s="6" t="s">
        <v>3327</v>
      </c>
      <c r="O757" s="6" t="s">
        <v>1368</v>
      </c>
      <c r="P757" s="6"/>
      <c r="Q757" s="8">
        <v>200</v>
      </c>
      <c r="R757" s="8">
        <v>200.6</v>
      </c>
      <c r="S757" s="8">
        <v>399.9</v>
      </c>
      <c r="T757" s="8">
        <v>14</v>
      </c>
      <c r="U757" s="8">
        <v>2</v>
      </c>
      <c r="V757" s="8">
        <f t="shared" si="10"/>
        <v>28</v>
      </c>
      <c r="W757" s="12">
        <f t="shared" si="11"/>
        <v>5616.8</v>
      </c>
      <c r="Y757">
        <v>2</v>
      </c>
    </row>
    <row r="758" spans="1:25" ht="40" customHeight="1">
      <c r="A758" s="15" t="s">
        <v>3798</v>
      </c>
      <c r="B758" s="8" t="s">
        <v>3799</v>
      </c>
      <c r="C758" s="8" t="s">
        <v>3800</v>
      </c>
      <c r="D758" s="6" t="s">
        <v>40</v>
      </c>
      <c r="E758" s="8" t="s">
        <v>3801</v>
      </c>
      <c r="F758" s="6" t="s">
        <v>5</v>
      </c>
      <c r="G758" s="6" t="s">
        <v>1348</v>
      </c>
      <c r="H758" s="6" t="s">
        <v>215</v>
      </c>
      <c r="I758" s="6" t="s">
        <v>417</v>
      </c>
      <c r="J758" s="6" t="s">
        <v>3775</v>
      </c>
      <c r="K758" s="6" t="s">
        <v>3760</v>
      </c>
      <c r="L758" s="6" t="s">
        <v>54</v>
      </c>
      <c r="M758" s="6" t="s">
        <v>54</v>
      </c>
      <c r="N758" s="6" t="s">
        <v>3327</v>
      </c>
      <c r="O758" s="6" t="s">
        <v>1368</v>
      </c>
      <c r="P758" s="6"/>
      <c r="Q758" s="8">
        <v>200</v>
      </c>
      <c r="R758" s="8">
        <v>200.6</v>
      </c>
      <c r="S758" s="8">
        <v>399.9</v>
      </c>
      <c r="T758" s="8">
        <v>14</v>
      </c>
      <c r="U758" s="8"/>
      <c r="V758" s="8">
        <f t="shared" si="10"/>
        <v>0</v>
      </c>
      <c r="W758" s="12">
        <f t="shared" si="11"/>
        <v>0</v>
      </c>
      <c r="Y758">
        <v>0</v>
      </c>
    </row>
    <row r="759" spans="1:25" ht="40" customHeight="1">
      <c r="A759" s="5" t="s">
        <v>3802</v>
      </c>
      <c r="B759" s="6" t="s">
        <v>3803</v>
      </c>
      <c r="C759" s="7">
        <v>221220</v>
      </c>
      <c r="D759" s="6" t="s">
        <v>3525</v>
      </c>
      <c r="E759" s="7" t="s">
        <v>3804</v>
      </c>
      <c r="F759" s="6"/>
      <c r="G759" s="6" t="s">
        <v>3805</v>
      </c>
      <c r="H759" s="6" t="s">
        <v>215</v>
      </c>
      <c r="I759" s="6" t="s">
        <v>417</v>
      </c>
      <c r="J759" s="6" t="s">
        <v>3806</v>
      </c>
      <c r="K759" s="6" t="s">
        <v>978</v>
      </c>
      <c r="L759" s="6" t="s">
        <v>54</v>
      </c>
      <c r="M759" s="6" t="s">
        <v>54</v>
      </c>
      <c r="N759" s="6" t="s">
        <v>3327</v>
      </c>
      <c r="O759" s="6" t="s">
        <v>1242</v>
      </c>
      <c r="P759" s="6"/>
      <c r="Q759" s="8">
        <v>200</v>
      </c>
      <c r="R759" s="8">
        <v>200.6</v>
      </c>
      <c r="S759" s="8">
        <v>399.9</v>
      </c>
      <c r="T759" s="8">
        <v>14</v>
      </c>
      <c r="U759" s="8">
        <v>2</v>
      </c>
      <c r="V759" s="8">
        <f t="shared" si="10"/>
        <v>28</v>
      </c>
      <c r="W759" s="12">
        <f t="shared" si="11"/>
        <v>5616.8</v>
      </c>
      <c r="Y759">
        <v>2</v>
      </c>
    </row>
    <row r="760" spans="1:25" ht="40" customHeight="1">
      <c r="A760" s="5" t="s">
        <v>3807</v>
      </c>
      <c r="B760" s="6" t="s">
        <v>3808</v>
      </c>
      <c r="C760" s="6">
        <v>221220</v>
      </c>
      <c r="D760" s="6" t="s">
        <v>3559</v>
      </c>
      <c r="E760" s="6" t="s">
        <v>3809</v>
      </c>
      <c r="F760" s="6"/>
      <c r="G760" s="6" t="s">
        <v>3805</v>
      </c>
      <c r="H760" s="6" t="s">
        <v>215</v>
      </c>
      <c r="I760" s="6" t="s">
        <v>417</v>
      </c>
      <c r="J760" s="6" t="s">
        <v>3806</v>
      </c>
      <c r="K760" s="6" t="s">
        <v>983</v>
      </c>
      <c r="L760" s="6" t="s">
        <v>54</v>
      </c>
      <c r="M760" s="6" t="s">
        <v>54</v>
      </c>
      <c r="N760" s="6" t="s">
        <v>3327</v>
      </c>
      <c r="O760" s="6" t="s">
        <v>1242</v>
      </c>
      <c r="P760" s="6"/>
      <c r="Q760" s="8">
        <v>200</v>
      </c>
      <c r="R760" s="8">
        <v>200.6</v>
      </c>
      <c r="S760" s="8">
        <v>399.9</v>
      </c>
      <c r="T760" s="8">
        <v>14</v>
      </c>
      <c r="U760" s="8">
        <v>2</v>
      </c>
      <c r="V760" s="8">
        <f t="shared" si="10"/>
        <v>28</v>
      </c>
      <c r="W760" s="12">
        <f t="shared" si="11"/>
        <v>5616.8</v>
      </c>
      <c r="Y760">
        <v>2</v>
      </c>
    </row>
    <row r="761" spans="1:25" ht="40" customHeight="1">
      <c r="A761" s="5" t="s">
        <v>3810</v>
      </c>
      <c r="B761" s="6" t="s">
        <v>3811</v>
      </c>
      <c r="C761" s="7">
        <v>221220</v>
      </c>
      <c r="D761" s="6" t="s">
        <v>74</v>
      </c>
      <c r="E761" s="7" t="s">
        <v>3812</v>
      </c>
      <c r="F761" s="6"/>
      <c r="G761" s="6" t="s">
        <v>3805</v>
      </c>
      <c r="H761" s="6" t="s">
        <v>215</v>
      </c>
      <c r="I761" s="6" t="s">
        <v>417</v>
      </c>
      <c r="J761" s="6" t="s">
        <v>3806</v>
      </c>
      <c r="K761" s="6" t="s">
        <v>3338</v>
      </c>
      <c r="L761" s="6" t="s">
        <v>54</v>
      </c>
      <c r="M761" s="6" t="s">
        <v>54</v>
      </c>
      <c r="N761" s="6" t="s">
        <v>3327</v>
      </c>
      <c r="O761" s="6" t="s">
        <v>1242</v>
      </c>
      <c r="P761" s="6"/>
      <c r="Q761" s="8">
        <v>200</v>
      </c>
      <c r="R761" s="8">
        <v>200.6</v>
      </c>
      <c r="S761" s="8">
        <v>399.9</v>
      </c>
      <c r="T761" s="8">
        <v>14</v>
      </c>
      <c r="U761" s="8">
        <v>2</v>
      </c>
      <c r="V761" s="8">
        <f t="shared" si="10"/>
        <v>28</v>
      </c>
      <c r="W761" s="12">
        <f t="shared" si="11"/>
        <v>5616.8</v>
      </c>
      <c r="Y761">
        <v>2</v>
      </c>
    </row>
    <row r="762" spans="1:25" ht="40" customHeight="1">
      <c r="A762" s="5" t="s">
        <v>3813</v>
      </c>
      <c r="B762" s="6" t="s">
        <v>3814</v>
      </c>
      <c r="C762" s="6">
        <v>221220</v>
      </c>
      <c r="D762" s="6" t="s">
        <v>94</v>
      </c>
      <c r="E762" s="6" t="s">
        <v>3815</v>
      </c>
      <c r="F762" s="6"/>
      <c r="G762" s="6" t="s">
        <v>3805</v>
      </c>
      <c r="H762" s="6" t="s">
        <v>215</v>
      </c>
      <c r="I762" s="6" t="s">
        <v>417</v>
      </c>
      <c r="J762" s="6" t="s">
        <v>3806</v>
      </c>
      <c r="K762" s="6" t="s">
        <v>3345</v>
      </c>
      <c r="L762" s="6" t="s">
        <v>54</v>
      </c>
      <c r="M762" s="6" t="s">
        <v>54</v>
      </c>
      <c r="N762" s="6" t="s">
        <v>3327</v>
      </c>
      <c r="O762" s="6" t="s">
        <v>1242</v>
      </c>
      <c r="P762" s="6"/>
      <c r="Q762" s="8">
        <v>200</v>
      </c>
      <c r="R762" s="8">
        <v>200.6</v>
      </c>
      <c r="S762" s="8">
        <v>399.9</v>
      </c>
      <c r="T762" s="8">
        <v>14</v>
      </c>
      <c r="U762" s="8">
        <v>2</v>
      </c>
      <c r="V762" s="8">
        <f t="shared" si="10"/>
        <v>28</v>
      </c>
      <c r="W762" s="12">
        <f t="shared" si="11"/>
        <v>5616.8</v>
      </c>
      <c r="Y762">
        <v>2</v>
      </c>
    </row>
    <row r="763" spans="1:25" ht="40" customHeight="1">
      <c r="A763" s="5" t="s">
        <v>3816</v>
      </c>
      <c r="B763" s="8" t="s">
        <v>3817</v>
      </c>
      <c r="C763" s="8" t="s">
        <v>3818</v>
      </c>
      <c r="D763" s="6" t="s">
        <v>27</v>
      </c>
      <c r="E763" s="8" t="s">
        <v>3819</v>
      </c>
      <c r="F763" s="6" t="s">
        <v>5</v>
      </c>
      <c r="G763" s="6" t="s">
        <v>3805</v>
      </c>
      <c r="H763" s="6" t="s">
        <v>215</v>
      </c>
      <c r="I763" s="6" t="s">
        <v>417</v>
      </c>
      <c r="J763" s="6" t="s">
        <v>3806</v>
      </c>
      <c r="K763" s="6" t="s">
        <v>978</v>
      </c>
      <c r="L763" s="6" t="s">
        <v>54</v>
      </c>
      <c r="M763" s="6" t="s">
        <v>54</v>
      </c>
      <c r="N763" s="6" t="s">
        <v>3327</v>
      </c>
      <c r="O763" s="6" t="s">
        <v>1242</v>
      </c>
      <c r="P763" s="6"/>
      <c r="Q763" s="8">
        <v>200</v>
      </c>
      <c r="R763" s="8">
        <v>200.6</v>
      </c>
      <c r="S763" s="8">
        <v>399.9</v>
      </c>
      <c r="T763" s="8">
        <v>14</v>
      </c>
      <c r="U763" s="8"/>
      <c r="V763" s="8">
        <f t="shared" si="10"/>
        <v>0</v>
      </c>
      <c r="W763" s="12">
        <f t="shared" si="11"/>
        <v>0</v>
      </c>
      <c r="Y763">
        <v>0</v>
      </c>
    </row>
    <row r="764" spans="1:25" ht="40" customHeight="1">
      <c r="A764" s="6" t="s">
        <v>3820</v>
      </c>
      <c r="B764" s="6" t="s">
        <v>3821</v>
      </c>
      <c r="C764" s="1" t="s">
        <v>3818</v>
      </c>
      <c r="D764" s="6" t="s">
        <v>64</v>
      </c>
      <c r="E764" s="1" t="s">
        <v>3822</v>
      </c>
      <c r="F764" s="6" t="s">
        <v>5</v>
      </c>
      <c r="G764" s="6" t="s">
        <v>3805</v>
      </c>
      <c r="H764" s="6" t="s">
        <v>215</v>
      </c>
      <c r="I764" s="6" t="s">
        <v>417</v>
      </c>
      <c r="J764" s="6" t="s">
        <v>3806</v>
      </c>
      <c r="K764" s="6" t="s">
        <v>978</v>
      </c>
      <c r="L764" s="6" t="s">
        <v>54</v>
      </c>
      <c r="M764" s="6" t="s">
        <v>54</v>
      </c>
      <c r="N764" s="6" t="s">
        <v>3327</v>
      </c>
      <c r="O764" s="6" t="s">
        <v>1242</v>
      </c>
      <c r="P764" s="6"/>
      <c r="Q764" s="8">
        <v>200</v>
      </c>
      <c r="R764" s="8">
        <v>200.6</v>
      </c>
      <c r="S764" s="8">
        <v>399.9</v>
      </c>
      <c r="T764" s="8">
        <v>14</v>
      </c>
      <c r="U764" s="8"/>
      <c r="V764" s="8">
        <f t="shared" si="10"/>
        <v>0</v>
      </c>
      <c r="W764" s="12">
        <f t="shared" si="11"/>
        <v>0</v>
      </c>
      <c r="Y764">
        <v>0</v>
      </c>
    </row>
    <row r="765" spans="1:25" ht="40" customHeight="1">
      <c r="A765" s="6" t="s">
        <v>3823</v>
      </c>
      <c r="B765" s="8" t="s">
        <v>3824</v>
      </c>
      <c r="C765" s="8" t="s">
        <v>3818</v>
      </c>
      <c r="D765" s="6" t="s">
        <v>89</v>
      </c>
      <c r="E765" s="8" t="s">
        <v>3825</v>
      </c>
      <c r="F765" s="6" t="s">
        <v>5</v>
      </c>
      <c r="G765" s="6" t="s">
        <v>3805</v>
      </c>
      <c r="H765" s="6" t="s">
        <v>215</v>
      </c>
      <c r="I765" s="6" t="s">
        <v>417</v>
      </c>
      <c r="J765" s="6" t="s">
        <v>3806</v>
      </c>
      <c r="K765" s="6" t="s">
        <v>987</v>
      </c>
      <c r="L765" s="6" t="s">
        <v>54</v>
      </c>
      <c r="M765" s="6" t="s">
        <v>54</v>
      </c>
      <c r="N765" s="6" t="s">
        <v>3327</v>
      </c>
      <c r="O765" s="6" t="s">
        <v>1242</v>
      </c>
      <c r="P765" s="6"/>
      <c r="Q765" s="8">
        <v>200</v>
      </c>
      <c r="R765" s="8">
        <v>200.6</v>
      </c>
      <c r="S765" s="8">
        <v>399.9</v>
      </c>
      <c r="T765" s="8">
        <v>14</v>
      </c>
      <c r="U765" s="8"/>
      <c r="V765" s="8">
        <f t="shared" si="10"/>
        <v>0</v>
      </c>
      <c r="W765" s="12">
        <f t="shared" si="11"/>
        <v>0</v>
      </c>
      <c r="Y765">
        <v>0</v>
      </c>
    </row>
    <row r="766" spans="1:25" ht="40" customHeight="1">
      <c r="A766" s="5" t="s">
        <v>3826</v>
      </c>
      <c r="B766" s="6" t="s">
        <v>3827</v>
      </c>
      <c r="C766" s="6">
        <v>221221</v>
      </c>
      <c r="D766" s="6" t="s">
        <v>3525</v>
      </c>
      <c r="E766" s="6" t="s">
        <v>3828</v>
      </c>
      <c r="F766" s="6"/>
      <c r="G766" s="6" t="s">
        <v>3805</v>
      </c>
      <c r="H766" s="6" t="s">
        <v>3829</v>
      </c>
      <c r="I766" s="6" t="s">
        <v>417</v>
      </c>
      <c r="J766" s="6" t="s">
        <v>3349</v>
      </c>
      <c r="K766" s="6" t="s">
        <v>978</v>
      </c>
      <c r="L766" s="6" t="s">
        <v>54</v>
      </c>
      <c r="M766" s="6" t="s">
        <v>54</v>
      </c>
      <c r="N766" s="6" t="s">
        <v>3327</v>
      </c>
      <c r="O766" s="6" t="s">
        <v>3830</v>
      </c>
      <c r="P766" s="6"/>
      <c r="Q766" s="8">
        <v>225</v>
      </c>
      <c r="R766" s="8">
        <v>225.67500000000001</v>
      </c>
      <c r="S766" s="8">
        <v>449.9</v>
      </c>
      <c r="T766" s="8">
        <v>14</v>
      </c>
      <c r="U766" s="8">
        <v>1</v>
      </c>
      <c r="V766" s="8">
        <f t="shared" si="10"/>
        <v>14</v>
      </c>
      <c r="W766" s="12">
        <f t="shared" si="11"/>
        <v>3159.45</v>
      </c>
      <c r="Y766">
        <v>1</v>
      </c>
    </row>
    <row r="767" spans="1:25" ht="40" customHeight="1">
      <c r="A767" s="5" t="s">
        <v>3831</v>
      </c>
      <c r="B767" s="6" t="s">
        <v>3832</v>
      </c>
      <c r="C767" s="6">
        <v>221221</v>
      </c>
      <c r="D767" s="6" t="s">
        <v>40</v>
      </c>
      <c r="E767" s="6" t="s">
        <v>3833</v>
      </c>
      <c r="F767" s="6"/>
      <c r="G767" s="6" t="s">
        <v>3805</v>
      </c>
      <c r="H767" s="6" t="s">
        <v>3829</v>
      </c>
      <c r="I767" s="6" t="s">
        <v>417</v>
      </c>
      <c r="J767" s="6" t="s">
        <v>3349</v>
      </c>
      <c r="K767" s="6" t="s">
        <v>983</v>
      </c>
      <c r="L767" s="6" t="s">
        <v>54</v>
      </c>
      <c r="M767" s="6" t="s">
        <v>54</v>
      </c>
      <c r="N767" s="6" t="s">
        <v>3327</v>
      </c>
      <c r="O767" s="6" t="s">
        <v>3830</v>
      </c>
      <c r="P767" s="6"/>
      <c r="Q767" s="8">
        <v>225</v>
      </c>
      <c r="R767" s="8">
        <v>225.67500000000001</v>
      </c>
      <c r="S767" s="8">
        <v>449.9</v>
      </c>
      <c r="T767" s="8">
        <v>14</v>
      </c>
      <c r="U767" s="8">
        <v>1</v>
      </c>
      <c r="V767" s="8">
        <f t="shared" si="10"/>
        <v>14</v>
      </c>
      <c r="W767" s="12">
        <f t="shared" si="11"/>
        <v>3159.45</v>
      </c>
      <c r="Y767">
        <v>1</v>
      </c>
    </row>
    <row r="768" spans="1:25" ht="40" customHeight="1">
      <c r="A768" s="5" t="s">
        <v>3834</v>
      </c>
      <c r="B768" s="6" t="s">
        <v>3835</v>
      </c>
      <c r="C768" s="6">
        <v>221221</v>
      </c>
      <c r="D768" s="6" t="s">
        <v>74</v>
      </c>
      <c r="E768" s="6" t="s">
        <v>3836</v>
      </c>
      <c r="F768" s="6"/>
      <c r="G768" s="6" t="s">
        <v>3805</v>
      </c>
      <c r="H768" s="6" t="s">
        <v>3829</v>
      </c>
      <c r="I768" s="6" t="s">
        <v>417</v>
      </c>
      <c r="J768" s="6" t="s">
        <v>3349</v>
      </c>
      <c r="K768" s="6" t="s">
        <v>3338</v>
      </c>
      <c r="L768" s="6" t="s">
        <v>54</v>
      </c>
      <c r="M768" s="6" t="s">
        <v>54</v>
      </c>
      <c r="N768" s="6" t="s">
        <v>3327</v>
      </c>
      <c r="O768" s="6" t="s">
        <v>3830</v>
      </c>
      <c r="P768" s="6"/>
      <c r="Q768" s="8">
        <v>225</v>
      </c>
      <c r="R768" s="8">
        <v>225.67500000000001</v>
      </c>
      <c r="S768" s="8">
        <v>449.9</v>
      </c>
      <c r="T768" s="8">
        <v>14</v>
      </c>
      <c r="U768" s="8">
        <v>1</v>
      </c>
      <c r="V768" s="8">
        <f t="shared" si="10"/>
        <v>14</v>
      </c>
      <c r="W768" s="12">
        <f t="shared" si="11"/>
        <v>3159.45</v>
      </c>
      <c r="Y768">
        <v>1</v>
      </c>
    </row>
    <row r="769" spans="1:25" ht="40" customHeight="1">
      <c r="A769" s="5" t="s">
        <v>3837</v>
      </c>
      <c r="B769" s="6" t="s">
        <v>3838</v>
      </c>
      <c r="C769" s="6">
        <v>221240</v>
      </c>
      <c r="D769" s="6" t="s">
        <v>27</v>
      </c>
      <c r="E769" s="6" t="s">
        <v>3839</v>
      </c>
      <c r="F769" s="6"/>
      <c r="G769" s="6" t="s">
        <v>1300</v>
      </c>
      <c r="H769" s="6" t="s">
        <v>215</v>
      </c>
      <c r="I769" s="6" t="s">
        <v>417</v>
      </c>
      <c r="J769" s="6" t="s">
        <v>1301</v>
      </c>
      <c r="K769" s="6" t="s">
        <v>978</v>
      </c>
      <c r="L769" s="6" t="s">
        <v>54</v>
      </c>
      <c r="M769" s="6" t="s">
        <v>54</v>
      </c>
      <c r="N769" s="6" t="s">
        <v>3327</v>
      </c>
      <c r="O769" s="6" t="s">
        <v>1302</v>
      </c>
      <c r="P769" s="6"/>
      <c r="Q769" s="8">
        <v>185</v>
      </c>
      <c r="R769" s="8">
        <v>185.55500000000001</v>
      </c>
      <c r="S769" s="8">
        <v>369.9</v>
      </c>
      <c r="T769" s="8">
        <v>14</v>
      </c>
      <c r="U769" s="8"/>
      <c r="V769" s="8">
        <f t="shared" si="10"/>
        <v>0</v>
      </c>
      <c r="W769" s="12">
        <f t="shared" si="11"/>
        <v>0</v>
      </c>
      <c r="Y769">
        <v>0</v>
      </c>
    </row>
    <row r="770" spans="1:25" ht="40" customHeight="1">
      <c r="A770" s="5" t="s">
        <v>3840</v>
      </c>
      <c r="B770" s="6" t="s">
        <v>3841</v>
      </c>
      <c r="C770" s="6">
        <v>221240</v>
      </c>
      <c r="D770" s="6" t="s">
        <v>445</v>
      </c>
      <c r="E770" s="6" t="s">
        <v>3842</v>
      </c>
      <c r="F770" s="6"/>
      <c r="G770" s="6" t="s">
        <v>1300</v>
      </c>
      <c r="H770" s="6" t="s">
        <v>215</v>
      </c>
      <c r="I770" s="6" t="s">
        <v>417</v>
      </c>
      <c r="J770" s="6" t="s">
        <v>1301</v>
      </c>
      <c r="K770" s="6" t="s">
        <v>3843</v>
      </c>
      <c r="L770" s="6" t="s">
        <v>54</v>
      </c>
      <c r="M770" s="6" t="s">
        <v>54</v>
      </c>
      <c r="N770" s="6" t="s">
        <v>3327</v>
      </c>
      <c r="O770" s="6" t="s">
        <v>1302</v>
      </c>
      <c r="P770" s="6"/>
      <c r="Q770" s="8">
        <v>185</v>
      </c>
      <c r="R770" s="8">
        <v>185.55500000000001</v>
      </c>
      <c r="S770" s="8">
        <v>369.9</v>
      </c>
      <c r="T770" s="8">
        <v>14</v>
      </c>
      <c r="U770" s="8"/>
      <c r="V770" s="8">
        <f t="shared" si="10"/>
        <v>0</v>
      </c>
      <c r="W770" s="12">
        <f t="shared" si="11"/>
        <v>0</v>
      </c>
      <c r="Y770">
        <v>0</v>
      </c>
    </row>
    <row r="771" spans="1:25" ht="40" customHeight="1">
      <c r="A771" s="5" t="s">
        <v>3844</v>
      </c>
      <c r="B771" s="6" t="s">
        <v>3845</v>
      </c>
      <c r="C771" s="6">
        <v>221240</v>
      </c>
      <c r="D771" s="6" t="s">
        <v>3846</v>
      </c>
      <c r="E771" s="6" t="s">
        <v>3847</v>
      </c>
      <c r="F771" s="6"/>
      <c r="G771" s="6" t="s">
        <v>1300</v>
      </c>
      <c r="H771" s="6" t="s">
        <v>215</v>
      </c>
      <c r="I771" s="6" t="s">
        <v>417</v>
      </c>
      <c r="J771" s="6" t="s">
        <v>1301</v>
      </c>
      <c r="K771" s="6" t="s">
        <v>3511</v>
      </c>
      <c r="L771" s="6" t="s">
        <v>54</v>
      </c>
      <c r="M771" s="6" t="s">
        <v>54</v>
      </c>
      <c r="N771" s="6" t="s">
        <v>3327</v>
      </c>
      <c r="O771" s="6" t="s">
        <v>1302</v>
      </c>
      <c r="P771" s="6"/>
      <c r="Q771" s="8">
        <v>185</v>
      </c>
      <c r="R771" s="8">
        <v>185.55500000000001</v>
      </c>
      <c r="S771" s="8">
        <v>369.9</v>
      </c>
      <c r="T771" s="8">
        <v>14</v>
      </c>
      <c r="U771" s="8"/>
      <c r="V771" s="8">
        <f t="shared" si="10"/>
        <v>0</v>
      </c>
      <c r="W771" s="12">
        <f t="shared" si="11"/>
        <v>0</v>
      </c>
      <c r="Y771">
        <v>0</v>
      </c>
    </row>
    <row r="772" spans="1:25" ht="40" customHeight="1">
      <c r="A772" s="5" t="s">
        <v>3848</v>
      </c>
      <c r="B772" s="6" t="s">
        <v>3849</v>
      </c>
      <c r="C772" s="6">
        <v>221240</v>
      </c>
      <c r="D772" s="6" t="s">
        <v>1286</v>
      </c>
      <c r="E772" s="6" t="s">
        <v>3850</v>
      </c>
      <c r="F772" s="6"/>
      <c r="G772" s="6" t="s">
        <v>1300</v>
      </c>
      <c r="H772" s="6" t="s">
        <v>215</v>
      </c>
      <c r="I772" s="6" t="s">
        <v>417</v>
      </c>
      <c r="J772" s="6" t="s">
        <v>1301</v>
      </c>
      <c r="K772" s="6" t="s">
        <v>3345</v>
      </c>
      <c r="L772" s="6" t="s">
        <v>54</v>
      </c>
      <c r="M772" s="6" t="s">
        <v>54</v>
      </c>
      <c r="N772" s="6" t="s">
        <v>3327</v>
      </c>
      <c r="O772" s="6" t="s">
        <v>1302</v>
      </c>
      <c r="P772" s="6"/>
      <c r="Q772" s="8">
        <v>185</v>
      </c>
      <c r="R772" s="8">
        <v>185.55500000000001</v>
      </c>
      <c r="S772" s="8">
        <v>369.9</v>
      </c>
      <c r="T772" s="8">
        <v>14</v>
      </c>
      <c r="U772" s="8"/>
      <c r="V772" s="8">
        <f t="shared" si="10"/>
        <v>0</v>
      </c>
      <c r="W772" s="12">
        <f t="shared" si="11"/>
        <v>0</v>
      </c>
      <c r="Y772">
        <v>0</v>
      </c>
    </row>
    <row r="773" spans="1:25" ht="40" customHeight="1">
      <c r="A773" s="5" t="s">
        <v>3851</v>
      </c>
      <c r="B773" s="6" t="s">
        <v>3852</v>
      </c>
      <c r="C773" s="6">
        <v>221241</v>
      </c>
      <c r="D773" s="6" t="s">
        <v>27</v>
      </c>
      <c r="E773" s="6" t="s">
        <v>3853</v>
      </c>
      <c r="F773" s="6"/>
      <c r="G773" s="6" t="s">
        <v>1300</v>
      </c>
      <c r="H773" s="6" t="s">
        <v>1327</v>
      </c>
      <c r="I773" s="6" t="s">
        <v>417</v>
      </c>
      <c r="J773" s="6" t="s">
        <v>3854</v>
      </c>
      <c r="K773" s="6" t="s">
        <v>996</v>
      </c>
      <c r="L773" s="6" t="s">
        <v>54</v>
      </c>
      <c r="M773" s="6" t="s">
        <v>54</v>
      </c>
      <c r="N773" s="6" t="s">
        <v>3327</v>
      </c>
      <c r="O773" s="6" t="s">
        <v>1328</v>
      </c>
      <c r="P773" s="6"/>
      <c r="Q773" s="8">
        <v>160</v>
      </c>
      <c r="R773" s="8">
        <v>160.47999999999999</v>
      </c>
      <c r="S773" s="8">
        <v>319.89999999999998</v>
      </c>
      <c r="T773" s="8">
        <v>14</v>
      </c>
      <c r="U773" s="8">
        <v>2</v>
      </c>
      <c r="V773" s="8">
        <f t="shared" si="10"/>
        <v>28</v>
      </c>
      <c r="W773" s="12">
        <f t="shared" si="11"/>
        <v>4493.4399999999996</v>
      </c>
      <c r="Y773">
        <v>2</v>
      </c>
    </row>
    <row r="774" spans="1:25" ht="40" customHeight="1">
      <c r="A774" s="5" t="s">
        <v>3855</v>
      </c>
      <c r="B774" s="6" t="s">
        <v>3856</v>
      </c>
      <c r="C774" s="6">
        <v>221241</v>
      </c>
      <c r="D774" s="6" t="s">
        <v>64</v>
      </c>
      <c r="E774" s="6" t="s">
        <v>3857</v>
      </c>
      <c r="F774" s="6"/>
      <c r="G774" s="6" t="s">
        <v>1300</v>
      </c>
      <c r="H774" s="6" t="s">
        <v>1327</v>
      </c>
      <c r="I774" s="6" t="s">
        <v>417</v>
      </c>
      <c r="J774" s="6" t="s">
        <v>3854</v>
      </c>
      <c r="K774" s="6" t="s">
        <v>996</v>
      </c>
      <c r="L774" s="6" t="s">
        <v>54</v>
      </c>
      <c r="M774" s="6" t="s">
        <v>54</v>
      </c>
      <c r="N774" s="6" t="s">
        <v>3327</v>
      </c>
      <c r="O774" s="6" t="s">
        <v>1328</v>
      </c>
      <c r="P774" s="6"/>
      <c r="Q774" s="8">
        <v>160</v>
      </c>
      <c r="R774" s="8">
        <v>160.47999999999999</v>
      </c>
      <c r="S774" s="8">
        <v>319.89999999999998</v>
      </c>
      <c r="T774" s="8">
        <v>14</v>
      </c>
      <c r="U774" s="8">
        <v>2</v>
      </c>
      <c r="V774" s="8">
        <f t="shared" si="10"/>
        <v>28</v>
      </c>
      <c r="W774" s="12">
        <f t="shared" si="11"/>
        <v>4493.4399999999996</v>
      </c>
      <c r="Y774">
        <v>2</v>
      </c>
    </row>
    <row r="775" spans="1:25" ht="40" customHeight="1">
      <c r="A775" s="5" t="s">
        <v>3858</v>
      </c>
      <c r="B775" s="6" t="s">
        <v>3859</v>
      </c>
      <c r="C775" s="6">
        <v>221241</v>
      </c>
      <c r="D775" s="6" t="s">
        <v>40</v>
      </c>
      <c r="E775" s="6" t="s">
        <v>3860</v>
      </c>
      <c r="F775" s="6"/>
      <c r="G775" s="6" t="s">
        <v>1300</v>
      </c>
      <c r="H775" s="6" t="s">
        <v>1327</v>
      </c>
      <c r="I775" s="6" t="s">
        <v>417</v>
      </c>
      <c r="J775" s="6" t="s">
        <v>3854</v>
      </c>
      <c r="K775" s="6" t="s">
        <v>1437</v>
      </c>
      <c r="L775" s="6" t="s">
        <v>54</v>
      </c>
      <c r="M775" s="6" t="s">
        <v>54</v>
      </c>
      <c r="N775" s="6" t="s">
        <v>3327</v>
      </c>
      <c r="O775" s="6" t="s">
        <v>1328</v>
      </c>
      <c r="P775" s="6"/>
      <c r="Q775" s="8">
        <v>160</v>
      </c>
      <c r="R775" s="8">
        <v>160.47999999999999</v>
      </c>
      <c r="S775" s="8">
        <v>319.89999999999998</v>
      </c>
      <c r="T775" s="8">
        <v>14</v>
      </c>
      <c r="U775" s="8">
        <v>2</v>
      </c>
      <c r="V775" s="8">
        <f t="shared" si="10"/>
        <v>28</v>
      </c>
      <c r="W775" s="12">
        <f t="shared" si="11"/>
        <v>4493.4399999999996</v>
      </c>
      <c r="Y775">
        <v>2</v>
      </c>
    </row>
    <row r="776" spans="1:25" ht="40" customHeight="1">
      <c r="A776" s="5" t="s">
        <v>3861</v>
      </c>
      <c r="B776" s="6" t="s">
        <v>3862</v>
      </c>
      <c r="C776" s="6">
        <v>221241</v>
      </c>
      <c r="D776" s="6" t="s">
        <v>200</v>
      </c>
      <c r="E776" s="6" t="s">
        <v>3863</v>
      </c>
      <c r="F776" s="6"/>
      <c r="G776" s="6" t="s">
        <v>1300</v>
      </c>
      <c r="H776" s="6" t="s">
        <v>1327</v>
      </c>
      <c r="I776" s="6" t="s">
        <v>417</v>
      </c>
      <c r="J776" s="6" t="s">
        <v>3854</v>
      </c>
      <c r="K776" s="6" t="s">
        <v>3864</v>
      </c>
      <c r="L776" s="6" t="s">
        <v>54</v>
      </c>
      <c r="M776" s="6" t="s">
        <v>54</v>
      </c>
      <c r="N776" s="6" t="s">
        <v>3327</v>
      </c>
      <c r="O776" s="6" t="s">
        <v>1328</v>
      </c>
      <c r="P776" s="6"/>
      <c r="Q776" s="8">
        <v>160</v>
      </c>
      <c r="R776" s="8">
        <v>160.47999999999999</v>
      </c>
      <c r="S776" s="8">
        <v>319.89999999999998</v>
      </c>
      <c r="T776" s="8">
        <v>14</v>
      </c>
      <c r="U776" s="8">
        <v>2</v>
      </c>
      <c r="V776" s="8">
        <f t="shared" si="10"/>
        <v>28</v>
      </c>
      <c r="W776" s="12">
        <f t="shared" si="11"/>
        <v>4493.4399999999996</v>
      </c>
      <c r="Y776">
        <v>2</v>
      </c>
    </row>
    <row r="777" spans="1:25" ht="40" customHeight="1">
      <c r="A777" s="5" t="s">
        <v>3865</v>
      </c>
      <c r="B777" s="6" t="s">
        <v>3866</v>
      </c>
      <c r="C777" s="6">
        <v>221241</v>
      </c>
      <c r="D777" s="6" t="s">
        <v>45</v>
      </c>
      <c r="E777" s="6" t="s">
        <v>3867</v>
      </c>
      <c r="F777" s="6"/>
      <c r="G777" s="6" t="s">
        <v>1300</v>
      </c>
      <c r="H777" s="6" t="s">
        <v>1327</v>
      </c>
      <c r="I777" s="6" t="s">
        <v>417</v>
      </c>
      <c r="J777" s="6" t="s">
        <v>3854</v>
      </c>
      <c r="K777" s="6" t="s">
        <v>1017</v>
      </c>
      <c r="L777" s="6" t="s">
        <v>54</v>
      </c>
      <c r="M777" s="6" t="s">
        <v>54</v>
      </c>
      <c r="N777" s="6" t="s">
        <v>3327</v>
      </c>
      <c r="O777" s="6" t="s">
        <v>1328</v>
      </c>
      <c r="P777" s="6"/>
      <c r="Q777" s="8">
        <v>160</v>
      </c>
      <c r="R777" s="8">
        <v>160.47999999999999</v>
      </c>
      <c r="S777" s="8">
        <v>319.89999999999998</v>
      </c>
      <c r="T777" s="8">
        <v>14</v>
      </c>
      <c r="U777" s="8">
        <v>2</v>
      </c>
      <c r="V777" s="8">
        <f t="shared" si="10"/>
        <v>28</v>
      </c>
      <c r="W777" s="12">
        <f t="shared" si="11"/>
        <v>4493.4399999999996</v>
      </c>
      <c r="Y777">
        <v>2</v>
      </c>
    </row>
    <row r="778" spans="1:25" ht="40" customHeight="1">
      <c r="A778" s="5" t="s">
        <v>3868</v>
      </c>
      <c r="B778" s="6" t="s">
        <v>3869</v>
      </c>
      <c r="C778" s="6">
        <v>221241</v>
      </c>
      <c r="D778" s="6" t="s">
        <v>126</v>
      </c>
      <c r="E778" s="6" t="s">
        <v>3870</v>
      </c>
      <c r="F778" s="6"/>
      <c r="G778" s="6" t="s">
        <v>1300</v>
      </c>
      <c r="H778" s="6" t="s">
        <v>1327</v>
      </c>
      <c r="I778" s="6" t="s">
        <v>417</v>
      </c>
      <c r="J778" s="6" t="s">
        <v>3854</v>
      </c>
      <c r="K778" s="6" t="s">
        <v>1453</v>
      </c>
      <c r="L778" s="6" t="s">
        <v>54</v>
      </c>
      <c r="M778" s="6" t="s">
        <v>54</v>
      </c>
      <c r="N778" s="6" t="s">
        <v>3327</v>
      </c>
      <c r="O778" s="6" t="s">
        <v>1328</v>
      </c>
      <c r="P778" s="6"/>
      <c r="Q778" s="8">
        <v>160</v>
      </c>
      <c r="R778" s="8">
        <v>160.47999999999999</v>
      </c>
      <c r="S778" s="8">
        <v>319.89999999999998</v>
      </c>
      <c r="T778" s="8">
        <v>14</v>
      </c>
      <c r="U778" s="8">
        <v>2</v>
      </c>
      <c r="V778" s="8">
        <f t="shared" si="10"/>
        <v>28</v>
      </c>
      <c r="W778" s="12">
        <f t="shared" si="11"/>
        <v>4493.4399999999996</v>
      </c>
      <c r="Y778">
        <v>2</v>
      </c>
    </row>
    <row r="779" spans="1:25" ht="40" customHeight="1">
      <c r="A779" s="5" t="s">
        <v>3871</v>
      </c>
      <c r="B779" s="6" t="s">
        <v>3872</v>
      </c>
      <c r="C779" s="6">
        <v>221260</v>
      </c>
      <c r="D779" s="6" t="s">
        <v>147</v>
      </c>
      <c r="E779" s="6" t="s">
        <v>3873</v>
      </c>
      <c r="F779" s="6"/>
      <c r="G779" s="6" t="s">
        <v>976</v>
      </c>
      <c r="H779" s="6" t="s">
        <v>215</v>
      </c>
      <c r="I779" s="6" t="s">
        <v>417</v>
      </c>
      <c r="J779" s="6" t="s">
        <v>3874</v>
      </c>
      <c r="K779" s="6" t="s">
        <v>996</v>
      </c>
      <c r="L779" s="6" t="s">
        <v>54</v>
      </c>
      <c r="M779" s="6" t="s">
        <v>54</v>
      </c>
      <c r="N779" s="6" t="s">
        <v>3327</v>
      </c>
      <c r="O779" s="6" t="s">
        <v>979</v>
      </c>
      <c r="P779" s="6"/>
      <c r="Q779" s="8">
        <v>165</v>
      </c>
      <c r="R779" s="8">
        <v>165.495</v>
      </c>
      <c r="S779" s="8">
        <v>329.9</v>
      </c>
      <c r="T779" s="8">
        <v>14</v>
      </c>
      <c r="U779" s="8"/>
      <c r="V779" s="8">
        <f t="shared" si="10"/>
        <v>0</v>
      </c>
      <c r="W779" s="12">
        <f t="shared" si="11"/>
        <v>0</v>
      </c>
      <c r="Y779">
        <v>0</v>
      </c>
    </row>
    <row r="780" spans="1:25" ht="40" customHeight="1">
      <c r="A780" s="6" t="s">
        <v>3875</v>
      </c>
      <c r="B780" s="6" t="s">
        <v>3876</v>
      </c>
      <c r="C780" s="6">
        <v>221260</v>
      </c>
      <c r="D780" s="6" t="s">
        <v>1426</v>
      </c>
      <c r="E780" s="6" t="s">
        <v>3877</v>
      </c>
      <c r="F780" s="6"/>
      <c r="G780" s="6" t="s">
        <v>976</v>
      </c>
      <c r="H780" s="6" t="s">
        <v>215</v>
      </c>
      <c r="I780" s="6" t="s">
        <v>417</v>
      </c>
      <c r="J780" s="6" t="s">
        <v>3874</v>
      </c>
      <c r="K780" s="6" t="s">
        <v>1430</v>
      </c>
      <c r="L780" s="6" t="s">
        <v>54</v>
      </c>
      <c r="M780" s="6" t="s">
        <v>54</v>
      </c>
      <c r="N780" s="6" t="s">
        <v>3327</v>
      </c>
      <c r="O780" s="6" t="s">
        <v>979</v>
      </c>
      <c r="P780" s="6"/>
      <c r="Q780" s="8">
        <v>165</v>
      </c>
      <c r="R780" s="8">
        <v>165.495</v>
      </c>
      <c r="S780" s="8">
        <v>329.9</v>
      </c>
      <c r="T780" s="8">
        <v>14</v>
      </c>
      <c r="U780" s="8"/>
      <c r="V780" s="8">
        <f t="shared" si="10"/>
        <v>0</v>
      </c>
      <c r="W780" s="12">
        <f t="shared" si="11"/>
        <v>0</v>
      </c>
      <c r="Y780">
        <v>0</v>
      </c>
    </row>
    <row r="781" spans="1:25" ht="40" customHeight="1">
      <c r="A781" s="6" t="s">
        <v>3878</v>
      </c>
      <c r="B781" s="6" t="s">
        <v>3879</v>
      </c>
      <c r="C781" s="6">
        <v>221260</v>
      </c>
      <c r="D781" s="6" t="s">
        <v>94</v>
      </c>
      <c r="E781" s="6" t="s">
        <v>3880</v>
      </c>
      <c r="F781" s="6"/>
      <c r="G781" s="6" t="s">
        <v>976</v>
      </c>
      <c r="H781" s="6" t="s">
        <v>215</v>
      </c>
      <c r="I781" s="6" t="s">
        <v>417</v>
      </c>
      <c r="J781" s="6" t="s">
        <v>3874</v>
      </c>
      <c r="K781" s="6" t="s">
        <v>3699</v>
      </c>
      <c r="L781" s="6" t="s">
        <v>54</v>
      </c>
      <c r="M781" s="6" t="s">
        <v>54</v>
      </c>
      <c r="N781" s="6" t="s">
        <v>3327</v>
      </c>
      <c r="O781" s="6" t="s">
        <v>979</v>
      </c>
      <c r="P781" s="6"/>
      <c r="Q781" s="8">
        <v>165</v>
      </c>
      <c r="R781" s="8">
        <v>165.495</v>
      </c>
      <c r="S781" s="8">
        <v>329.9</v>
      </c>
      <c r="T781" s="8">
        <v>14</v>
      </c>
      <c r="U781" s="8"/>
      <c r="V781" s="8">
        <f t="shared" si="10"/>
        <v>0</v>
      </c>
      <c r="W781" s="12">
        <f t="shared" si="11"/>
        <v>0</v>
      </c>
      <c r="Y781">
        <v>0</v>
      </c>
    </row>
    <row r="782" spans="1:25" ht="40" customHeight="1">
      <c r="A782" s="5" t="s">
        <v>3881</v>
      </c>
      <c r="B782" s="6" t="s">
        <v>3882</v>
      </c>
      <c r="C782" s="6">
        <v>221262</v>
      </c>
      <c r="D782" s="6" t="s">
        <v>445</v>
      </c>
      <c r="E782" s="6" t="s">
        <v>3883</v>
      </c>
      <c r="F782" s="6"/>
      <c r="G782" s="6" t="s">
        <v>976</v>
      </c>
      <c r="H782" s="6" t="s">
        <v>215</v>
      </c>
      <c r="I782" s="6" t="s">
        <v>417</v>
      </c>
      <c r="J782" s="6" t="s">
        <v>3884</v>
      </c>
      <c r="K782" s="6" t="s">
        <v>3885</v>
      </c>
      <c r="L782" s="6" t="s">
        <v>54</v>
      </c>
      <c r="M782" s="6" t="s">
        <v>54</v>
      </c>
      <c r="N782" s="6" t="s">
        <v>3327</v>
      </c>
      <c r="O782" s="6" t="s">
        <v>934</v>
      </c>
      <c r="P782" s="6"/>
      <c r="Q782" s="8">
        <v>150</v>
      </c>
      <c r="R782" s="8">
        <v>150.44999999999999</v>
      </c>
      <c r="S782" s="8">
        <v>299.89999999999998</v>
      </c>
      <c r="T782" s="8">
        <v>14</v>
      </c>
      <c r="U782" s="8">
        <v>2</v>
      </c>
      <c r="V782" s="8">
        <f t="shared" si="10"/>
        <v>28</v>
      </c>
      <c r="W782" s="12">
        <f t="shared" si="11"/>
        <v>4212.6000000000004</v>
      </c>
      <c r="Y782">
        <v>2</v>
      </c>
    </row>
    <row r="783" spans="1:25" ht="40" customHeight="1">
      <c r="A783" s="5" t="s">
        <v>3886</v>
      </c>
      <c r="B783" s="6" t="s">
        <v>3887</v>
      </c>
      <c r="C783" s="6">
        <v>221262</v>
      </c>
      <c r="D783" s="6" t="s">
        <v>40</v>
      </c>
      <c r="E783" s="6" t="s">
        <v>3888</v>
      </c>
      <c r="F783" s="6"/>
      <c r="G783" s="6" t="s">
        <v>976</v>
      </c>
      <c r="H783" s="6" t="s">
        <v>215</v>
      </c>
      <c r="I783" s="6" t="s">
        <v>417</v>
      </c>
      <c r="J783" s="6" t="s">
        <v>3884</v>
      </c>
      <c r="K783" s="6" t="s">
        <v>1437</v>
      </c>
      <c r="L783" s="6" t="s">
        <v>54</v>
      </c>
      <c r="M783" s="6" t="s">
        <v>54</v>
      </c>
      <c r="N783" s="6" t="s">
        <v>3327</v>
      </c>
      <c r="O783" s="6" t="s">
        <v>934</v>
      </c>
      <c r="P783" s="6"/>
      <c r="Q783" s="8">
        <v>150</v>
      </c>
      <c r="R783" s="8">
        <v>150.44999999999999</v>
      </c>
      <c r="S783" s="8">
        <v>299.89999999999998</v>
      </c>
      <c r="T783" s="8">
        <v>14</v>
      </c>
      <c r="U783" s="8">
        <v>2</v>
      </c>
      <c r="V783" s="8">
        <f t="shared" si="10"/>
        <v>28</v>
      </c>
      <c r="W783" s="12">
        <f t="shared" si="11"/>
        <v>4212.6000000000004</v>
      </c>
      <c r="Y783">
        <v>2</v>
      </c>
    </row>
    <row r="784" spans="1:25" ht="40" customHeight="1">
      <c r="A784" s="5" t="s">
        <v>3889</v>
      </c>
      <c r="B784" s="6" t="s">
        <v>3890</v>
      </c>
      <c r="C784" s="6">
        <v>221262</v>
      </c>
      <c r="D784" s="6" t="s">
        <v>89</v>
      </c>
      <c r="E784" s="6" t="s">
        <v>3891</v>
      </c>
      <c r="F784" s="6"/>
      <c r="G784" s="6" t="s">
        <v>976</v>
      </c>
      <c r="H784" s="6" t="s">
        <v>215</v>
      </c>
      <c r="I784" s="6" t="s">
        <v>417</v>
      </c>
      <c r="J784" s="6" t="s">
        <v>3884</v>
      </c>
      <c r="K784" s="6" t="s">
        <v>1009</v>
      </c>
      <c r="L784" s="6" t="s">
        <v>54</v>
      </c>
      <c r="M784" s="6" t="s">
        <v>54</v>
      </c>
      <c r="N784" s="6" t="s">
        <v>3327</v>
      </c>
      <c r="O784" s="6" t="s">
        <v>934</v>
      </c>
      <c r="P784" s="6"/>
      <c r="Q784" s="8">
        <v>150</v>
      </c>
      <c r="R784" s="8">
        <v>150.44999999999999</v>
      </c>
      <c r="S784" s="8">
        <v>299.89999999999998</v>
      </c>
      <c r="T784" s="8">
        <v>14</v>
      </c>
      <c r="U784" s="8">
        <v>2</v>
      </c>
      <c r="V784" s="8">
        <f t="shared" si="10"/>
        <v>28</v>
      </c>
      <c r="W784" s="12">
        <f t="shared" si="11"/>
        <v>4212.6000000000004</v>
      </c>
      <c r="Y784">
        <v>2</v>
      </c>
    </row>
    <row r="785" spans="1:25" ht="40" customHeight="1">
      <c r="A785" s="5" t="s">
        <v>3892</v>
      </c>
      <c r="B785" s="6" t="s">
        <v>3893</v>
      </c>
      <c r="C785" s="6">
        <v>221262</v>
      </c>
      <c r="D785" s="6" t="s">
        <v>357</v>
      </c>
      <c r="E785" s="6" t="s">
        <v>3894</v>
      </c>
      <c r="F785" s="6"/>
      <c r="G785" s="6" t="s">
        <v>976</v>
      </c>
      <c r="H785" s="6" t="s">
        <v>215</v>
      </c>
      <c r="I785" s="6" t="s">
        <v>417</v>
      </c>
      <c r="J785" s="6" t="s">
        <v>3884</v>
      </c>
      <c r="K785" s="6" t="s">
        <v>3565</v>
      </c>
      <c r="L785" s="6" t="s">
        <v>54</v>
      </c>
      <c r="M785" s="6" t="s">
        <v>54</v>
      </c>
      <c r="N785" s="6" t="s">
        <v>3327</v>
      </c>
      <c r="O785" s="6" t="s">
        <v>934</v>
      </c>
      <c r="P785" s="6"/>
      <c r="Q785" s="8">
        <v>150</v>
      </c>
      <c r="R785" s="8">
        <v>150.44999999999999</v>
      </c>
      <c r="S785" s="8">
        <v>299.89999999999998</v>
      </c>
      <c r="T785" s="8">
        <v>14</v>
      </c>
      <c r="U785" s="8">
        <v>2</v>
      </c>
      <c r="V785" s="8">
        <f t="shared" si="10"/>
        <v>28</v>
      </c>
      <c r="W785" s="12">
        <f t="shared" si="11"/>
        <v>4212.6000000000004</v>
      </c>
      <c r="Y785">
        <v>2</v>
      </c>
    </row>
    <row r="786" spans="1:25" ht="40" customHeight="1">
      <c r="A786" s="5" t="s">
        <v>3895</v>
      </c>
      <c r="B786" s="6" t="s">
        <v>3896</v>
      </c>
      <c r="C786" s="6">
        <v>232278</v>
      </c>
      <c r="D786" s="6" t="s">
        <v>27</v>
      </c>
      <c r="E786" s="6" t="s">
        <v>3897</v>
      </c>
      <c r="F786" s="6"/>
      <c r="G786" s="6"/>
      <c r="H786" s="6"/>
      <c r="I786" s="6" t="s">
        <v>417</v>
      </c>
      <c r="J786" s="8"/>
      <c r="K786" s="8"/>
      <c r="L786" s="8"/>
      <c r="M786" s="8"/>
      <c r="N786" s="8"/>
      <c r="O786" s="8"/>
      <c r="P786" s="8"/>
      <c r="Q786" s="8">
        <v>125</v>
      </c>
      <c r="R786" s="8">
        <v>125.375</v>
      </c>
      <c r="S786" s="8">
        <v>249.9</v>
      </c>
      <c r="T786" s="8">
        <v>14</v>
      </c>
      <c r="U786" s="8">
        <v>0</v>
      </c>
      <c r="V786" s="8">
        <f t="shared" si="10"/>
        <v>0</v>
      </c>
      <c r="W786" s="12">
        <f t="shared" si="11"/>
        <v>0</v>
      </c>
      <c r="Y786">
        <v>0</v>
      </c>
    </row>
    <row r="787" spans="1:25" ht="40" customHeight="1">
      <c r="A787" s="5" t="s">
        <v>3898</v>
      </c>
      <c r="B787" s="6" t="s">
        <v>3899</v>
      </c>
      <c r="C787" s="6">
        <v>232296</v>
      </c>
      <c r="D787" s="6" t="s">
        <v>27</v>
      </c>
      <c r="E787" s="6" t="s">
        <v>3900</v>
      </c>
      <c r="F787" s="6"/>
      <c r="G787" s="6" t="s">
        <v>1486</v>
      </c>
      <c r="H787" s="6" t="s">
        <v>3901</v>
      </c>
      <c r="I787" s="6" t="s">
        <v>417</v>
      </c>
      <c r="J787" s="6" t="s">
        <v>3902</v>
      </c>
      <c r="K787" s="6" t="s">
        <v>3903</v>
      </c>
      <c r="L787" s="6" t="s">
        <v>262</v>
      </c>
      <c r="M787" s="6" t="s">
        <v>3904</v>
      </c>
      <c r="N787" s="6" t="s">
        <v>3905</v>
      </c>
      <c r="O787" s="6" t="s">
        <v>3906</v>
      </c>
      <c r="P787" s="6" t="s">
        <v>3907</v>
      </c>
      <c r="Q787" s="8">
        <v>120</v>
      </c>
      <c r="R787" s="8">
        <v>120.36</v>
      </c>
      <c r="S787" s="8">
        <v>239.9</v>
      </c>
      <c r="T787" s="8">
        <v>14</v>
      </c>
      <c r="U787" s="8">
        <v>2</v>
      </c>
      <c r="V787" s="8">
        <f t="shared" si="10"/>
        <v>28</v>
      </c>
      <c r="W787" s="12">
        <f t="shared" si="11"/>
        <v>3370.08</v>
      </c>
      <c r="Y787">
        <v>2</v>
      </c>
    </row>
    <row r="788" spans="1:25" ht="40" customHeight="1">
      <c r="A788" s="5" t="s">
        <v>3908</v>
      </c>
      <c r="B788" s="6" t="s">
        <v>3909</v>
      </c>
      <c r="C788" s="6">
        <v>232296</v>
      </c>
      <c r="D788" s="6" t="s">
        <v>147</v>
      </c>
      <c r="E788" s="6" t="s">
        <v>3910</v>
      </c>
      <c r="F788" s="6"/>
      <c r="G788" s="6" t="s">
        <v>1486</v>
      </c>
      <c r="H788" s="6" t="s">
        <v>3901</v>
      </c>
      <c r="I788" s="6" t="s">
        <v>417</v>
      </c>
      <c r="J788" s="6" t="s">
        <v>3902</v>
      </c>
      <c r="K788" s="6" t="s">
        <v>744</v>
      </c>
      <c r="L788" s="6" t="s">
        <v>262</v>
      </c>
      <c r="M788" s="6" t="s">
        <v>3904</v>
      </c>
      <c r="N788" s="6" t="s">
        <v>3905</v>
      </c>
      <c r="O788" s="6" t="s">
        <v>3906</v>
      </c>
      <c r="P788" s="6" t="s">
        <v>3907</v>
      </c>
      <c r="Q788" s="8">
        <v>120</v>
      </c>
      <c r="R788" s="8">
        <v>120.36</v>
      </c>
      <c r="S788" s="8">
        <v>239.9</v>
      </c>
      <c r="T788" s="8">
        <v>14</v>
      </c>
      <c r="U788" s="8"/>
      <c r="V788" s="8">
        <f t="shared" si="10"/>
        <v>0</v>
      </c>
      <c r="W788" s="12">
        <f t="shared" si="11"/>
        <v>0</v>
      </c>
      <c r="Y788">
        <v>0</v>
      </c>
    </row>
    <row r="789" spans="1:25" ht="40" customHeight="1">
      <c r="A789" s="5" t="s">
        <v>3911</v>
      </c>
      <c r="B789" s="6" t="s">
        <v>3912</v>
      </c>
      <c r="C789" s="6">
        <v>232303</v>
      </c>
      <c r="D789" s="6" t="s">
        <v>40</v>
      </c>
      <c r="E789" s="6" t="s">
        <v>3913</v>
      </c>
      <c r="F789" s="6"/>
      <c r="G789" s="6"/>
      <c r="H789" s="6"/>
      <c r="I789" s="6" t="s">
        <v>417</v>
      </c>
      <c r="J789" s="8"/>
      <c r="K789" s="8"/>
      <c r="L789" s="8"/>
      <c r="M789" s="8"/>
      <c r="N789" s="8"/>
      <c r="O789" s="8"/>
      <c r="P789" s="8"/>
      <c r="Q789" s="8">
        <v>175</v>
      </c>
      <c r="R789" s="8">
        <v>175.52500000000001</v>
      </c>
      <c r="S789" s="8">
        <v>349.9</v>
      </c>
      <c r="T789" s="8">
        <v>14</v>
      </c>
      <c r="U789" s="8">
        <v>1</v>
      </c>
      <c r="V789" s="8">
        <f t="shared" si="10"/>
        <v>14</v>
      </c>
      <c r="W789" s="12">
        <f t="shared" si="11"/>
        <v>2457.35</v>
      </c>
      <c r="Y789">
        <v>1</v>
      </c>
    </row>
    <row r="790" spans="1:25" ht="40" customHeight="1">
      <c r="A790" s="5" t="s">
        <v>3914</v>
      </c>
      <c r="B790" s="6" t="s">
        <v>3915</v>
      </c>
      <c r="C790" s="6">
        <v>232474</v>
      </c>
      <c r="D790" s="6" t="s">
        <v>27</v>
      </c>
      <c r="E790" s="6" t="s">
        <v>3916</v>
      </c>
      <c r="F790" s="6"/>
      <c r="G790" s="6"/>
      <c r="H790" s="6"/>
      <c r="I790" s="6" t="s">
        <v>417</v>
      </c>
      <c r="J790" s="8"/>
      <c r="K790" s="8"/>
      <c r="L790" s="8"/>
      <c r="M790" s="8"/>
      <c r="N790" s="8"/>
      <c r="O790" s="8"/>
      <c r="P790" s="8"/>
      <c r="Q790" s="8">
        <v>125</v>
      </c>
      <c r="R790" s="8">
        <v>125.375</v>
      </c>
      <c r="S790" s="8">
        <v>249.9</v>
      </c>
      <c r="T790" s="8">
        <v>14</v>
      </c>
      <c r="U790" s="8"/>
      <c r="V790" s="8">
        <f t="shared" si="10"/>
        <v>0</v>
      </c>
      <c r="W790" s="12">
        <f t="shared" si="11"/>
        <v>0</v>
      </c>
      <c r="Y790">
        <v>0</v>
      </c>
    </row>
    <row r="791" spans="1:25" ht="40" customHeight="1">
      <c r="A791" s="5" t="s">
        <v>3917</v>
      </c>
      <c r="B791" s="6" t="s">
        <v>3918</v>
      </c>
      <c r="C791" s="6">
        <v>232474</v>
      </c>
      <c r="D791" s="6" t="s">
        <v>64</v>
      </c>
      <c r="E791" s="6" t="s">
        <v>3919</v>
      </c>
      <c r="F791" s="6"/>
      <c r="G791" s="6"/>
      <c r="H791" s="6"/>
      <c r="I791" s="6" t="s">
        <v>417</v>
      </c>
      <c r="J791" s="8"/>
      <c r="K791" s="8"/>
      <c r="L791" s="8"/>
      <c r="M791" s="8"/>
      <c r="N791" s="8"/>
      <c r="O791" s="8"/>
      <c r="P791" s="8"/>
      <c r="Q791" s="8">
        <v>125</v>
      </c>
      <c r="R791" s="8">
        <v>125.375</v>
      </c>
      <c r="S791" s="8">
        <v>249.9</v>
      </c>
      <c r="T791" s="8">
        <v>14</v>
      </c>
      <c r="U791" s="8"/>
      <c r="V791" s="8">
        <f t="shared" si="10"/>
        <v>0</v>
      </c>
      <c r="W791" s="12">
        <f t="shared" si="11"/>
        <v>0</v>
      </c>
      <c r="Y791">
        <v>0</v>
      </c>
    </row>
    <row r="792" spans="1:25" ht="40" customHeight="1">
      <c r="A792" s="6" t="s">
        <v>3920</v>
      </c>
      <c r="B792" s="6" t="s">
        <v>3921</v>
      </c>
      <c r="C792" s="6">
        <v>232474</v>
      </c>
      <c r="D792" s="6" t="s">
        <v>1426</v>
      </c>
      <c r="E792" s="6" t="s">
        <v>3922</v>
      </c>
      <c r="F792" s="6"/>
      <c r="G792" s="6"/>
      <c r="H792" s="6"/>
      <c r="I792" s="6" t="s">
        <v>417</v>
      </c>
      <c r="J792" s="8"/>
      <c r="K792" s="8"/>
      <c r="L792" s="8"/>
      <c r="M792" s="8"/>
      <c r="N792" s="8"/>
      <c r="O792" s="8"/>
      <c r="P792" s="8"/>
      <c r="Q792" s="8">
        <v>125</v>
      </c>
      <c r="R792" s="8">
        <v>125.375</v>
      </c>
      <c r="S792" s="8">
        <v>249.9</v>
      </c>
      <c r="T792" s="8">
        <v>14</v>
      </c>
      <c r="U792" s="8"/>
      <c r="V792" s="8">
        <f t="shared" si="10"/>
        <v>0</v>
      </c>
      <c r="W792" s="12">
        <f t="shared" si="11"/>
        <v>0</v>
      </c>
      <c r="Y792">
        <v>0</v>
      </c>
    </row>
    <row r="793" spans="1:25" ht="40" customHeight="1">
      <c r="A793" s="5" t="s">
        <v>3923</v>
      </c>
      <c r="B793" s="6" t="s">
        <v>3924</v>
      </c>
      <c r="C793" s="6">
        <v>232478</v>
      </c>
      <c r="D793" s="6" t="s">
        <v>126</v>
      </c>
      <c r="E793" s="6" t="s">
        <v>3925</v>
      </c>
      <c r="F793" s="6"/>
      <c r="G793" s="6"/>
      <c r="H793" s="6"/>
      <c r="I793" s="6" t="s">
        <v>417</v>
      </c>
      <c r="J793" s="8"/>
      <c r="K793" s="8"/>
      <c r="L793" s="8"/>
      <c r="M793" s="8"/>
      <c r="N793" s="8"/>
      <c r="O793" s="8"/>
      <c r="P793" s="8"/>
      <c r="Q793" s="8">
        <v>150</v>
      </c>
      <c r="R793" s="8">
        <v>150.44999999999999</v>
      </c>
      <c r="S793" s="8">
        <v>299.89999999999998</v>
      </c>
      <c r="T793" s="8">
        <v>14</v>
      </c>
      <c r="U793" s="8">
        <v>2</v>
      </c>
      <c r="V793" s="8">
        <f t="shared" si="10"/>
        <v>28</v>
      </c>
      <c r="W793" s="12">
        <f t="shared" si="11"/>
        <v>4212.6000000000004</v>
      </c>
      <c r="Y793">
        <v>2</v>
      </c>
    </row>
    <row r="794" spans="1:25" ht="40" customHeight="1">
      <c r="A794" s="5" t="s">
        <v>3926</v>
      </c>
      <c r="B794" s="6" t="s">
        <v>3927</v>
      </c>
      <c r="C794" s="7">
        <v>232619</v>
      </c>
      <c r="D794" s="6" t="s">
        <v>147</v>
      </c>
      <c r="E794" s="7" t="s">
        <v>3928</v>
      </c>
      <c r="F794" s="6"/>
      <c r="G794" s="6" t="s">
        <v>1655</v>
      </c>
      <c r="H794" s="6" t="s">
        <v>3929</v>
      </c>
      <c r="I794" s="6" t="s">
        <v>417</v>
      </c>
      <c r="J794" s="6" t="s">
        <v>3930</v>
      </c>
      <c r="K794" s="6" t="s">
        <v>3931</v>
      </c>
      <c r="L794" s="6" t="s">
        <v>1729</v>
      </c>
      <c r="M794" s="6" t="s">
        <v>1659</v>
      </c>
      <c r="N794" s="6" t="s">
        <v>3905</v>
      </c>
      <c r="O794" s="6" t="s">
        <v>3932</v>
      </c>
      <c r="P794" s="6"/>
      <c r="Q794" s="8">
        <v>150</v>
      </c>
      <c r="R794" s="8">
        <v>150.44999999999999</v>
      </c>
      <c r="S794" s="8">
        <v>299.89999999999998</v>
      </c>
      <c r="T794" s="8">
        <v>14</v>
      </c>
      <c r="U794" s="8"/>
      <c r="V794" s="8">
        <f t="shared" si="10"/>
        <v>0</v>
      </c>
      <c r="W794" s="12">
        <f t="shared" si="11"/>
        <v>0</v>
      </c>
      <c r="Y794">
        <v>0</v>
      </c>
    </row>
    <row r="795" spans="1:25" ht="40" customHeight="1">
      <c r="A795" s="6" t="s">
        <v>3933</v>
      </c>
      <c r="B795" s="6" t="s">
        <v>3934</v>
      </c>
      <c r="C795" s="6">
        <v>232619</v>
      </c>
      <c r="D795" s="6" t="s">
        <v>3935</v>
      </c>
      <c r="E795" s="6" t="s">
        <v>3936</v>
      </c>
      <c r="F795" s="6"/>
      <c r="G795" s="6" t="s">
        <v>1655</v>
      </c>
      <c r="H795" s="6" t="s">
        <v>3929</v>
      </c>
      <c r="I795" s="6" t="s">
        <v>417</v>
      </c>
      <c r="J795" s="6" t="s">
        <v>3930</v>
      </c>
      <c r="K795" s="6" t="s">
        <v>3937</v>
      </c>
      <c r="L795" s="6" t="s">
        <v>1729</v>
      </c>
      <c r="M795" s="6" t="s">
        <v>1659</v>
      </c>
      <c r="N795" s="6" t="s">
        <v>3905</v>
      </c>
      <c r="O795" s="6" t="s">
        <v>3932</v>
      </c>
      <c r="P795" s="6"/>
      <c r="Q795" s="8">
        <v>150</v>
      </c>
      <c r="R795" s="8">
        <v>150.44999999999999</v>
      </c>
      <c r="S795" s="8">
        <v>299.89999999999998</v>
      </c>
      <c r="T795" s="8">
        <v>14</v>
      </c>
      <c r="U795" s="8"/>
      <c r="V795" s="8">
        <f t="shared" si="10"/>
        <v>0</v>
      </c>
      <c r="W795" s="12">
        <f t="shared" si="11"/>
        <v>0</v>
      </c>
      <c r="Y795">
        <v>0</v>
      </c>
    </row>
    <row r="796" spans="1:25" ht="40" customHeight="1">
      <c r="A796" s="6" t="s">
        <v>3938</v>
      </c>
      <c r="B796" s="8" t="s">
        <v>3939</v>
      </c>
      <c r="C796" s="1" t="s">
        <v>3940</v>
      </c>
      <c r="D796" s="6" t="s">
        <v>27</v>
      </c>
      <c r="E796" s="1" t="s">
        <v>3941</v>
      </c>
      <c r="F796" s="6" t="s">
        <v>5</v>
      </c>
      <c r="G796" s="6" t="s">
        <v>1655</v>
      </c>
      <c r="H796" s="6" t="s">
        <v>3929</v>
      </c>
      <c r="I796" s="6" t="s">
        <v>417</v>
      </c>
      <c r="J796" s="6" t="s">
        <v>3930</v>
      </c>
      <c r="K796" s="6" t="s">
        <v>3942</v>
      </c>
      <c r="L796" s="6" t="s">
        <v>1729</v>
      </c>
      <c r="M796" s="6" t="s">
        <v>1659</v>
      </c>
      <c r="N796" s="6" t="s">
        <v>3905</v>
      </c>
      <c r="O796" s="6" t="s">
        <v>3932</v>
      </c>
      <c r="P796" s="6"/>
      <c r="Q796" s="8">
        <v>150</v>
      </c>
      <c r="R796" s="8">
        <v>150.44999999999999</v>
      </c>
      <c r="S796" s="8">
        <v>299.89999999999998</v>
      </c>
      <c r="T796" s="8">
        <v>14</v>
      </c>
      <c r="U796" s="8"/>
      <c r="V796" s="8">
        <f t="shared" si="10"/>
        <v>0</v>
      </c>
      <c r="W796" s="12">
        <f t="shared" si="11"/>
        <v>0</v>
      </c>
      <c r="Y796">
        <v>0</v>
      </c>
    </row>
    <row r="797" spans="1:25" ht="40" customHeight="1">
      <c r="A797" s="6" t="s">
        <v>3943</v>
      </c>
      <c r="B797" s="6" t="s">
        <v>3944</v>
      </c>
      <c r="C797" s="6">
        <v>232619</v>
      </c>
      <c r="D797" s="6" t="s">
        <v>94</v>
      </c>
      <c r="E797" s="6" t="s">
        <v>3945</v>
      </c>
      <c r="F797" s="6"/>
      <c r="G797" s="6" t="s">
        <v>1655</v>
      </c>
      <c r="H797" s="6" t="s">
        <v>3929</v>
      </c>
      <c r="I797" s="6" t="s">
        <v>417</v>
      </c>
      <c r="J797" s="6" t="s">
        <v>3930</v>
      </c>
      <c r="K797" s="6" t="s">
        <v>3946</v>
      </c>
      <c r="L797" s="6" t="s">
        <v>1729</v>
      </c>
      <c r="M797" s="6" t="s">
        <v>1659</v>
      </c>
      <c r="N797" s="6" t="s">
        <v>3905</v>
      </c>
      <c r="O797" s="6" t="s">
        <v>3932</v>
      </c>
      <c r="P797" s="6"/>
      <c r="Q797" s="8">
        <v>150</v>
      </c>
      <c r="R797" s="8">
        <v>150.44999999999999</v>
      </c>
      <c r="S797" s="8">
        <v>299.89999999999998</v>
      </c>
      <c r="T797" s="8">
        <v>14</v>
      </c>
      <c r="U797" s="8"/>
      <c r="V797" s="8">
        <f t="shared" si="10"/>
        <v>0</v>
      </c>
      <c r="W797" s="12">
        <f t="shared" si="11"/>
        <v>0</v>
      </c>
      <c r="Y797">
        <v>0</v>
      </c>
    </row>
    <row r="798" spans="1:25" ht="40" customHeight="1">
      <c r="A798" s="6" t="s">
        <v>3947</v>
      </c>
      <c r="B798" s="8" t="s">
        <v>3948</v>
      </c>
      <c r="C798" s="8" t="s">
        <v>3940</v>
      </c>
      <c r="D798" s="6" t="s">
        <v>64</v>
      </c>
      <c r="E798" s="8" t="s">
        <v>3949</v>
      </c>
      <c r="F798" s="6" t="s">
        <v>5</v>
      </c>
      <c r="G798" s="6" t="s">
        <v>1655</v>
      </c>
      <c r="H798" s="6" t="s">
        <v>3929</v>
      </c>
      <c r="I798" s="6" t="s">
        <v>417</v>
      </c>
      <c r="J798" s="6" t="s">
        <v>3950</v>
      </c>
      <c r="K798" s="6" t="s">
        <v>3951</v>
      </c>
      <c r="L798" s="6" t="s">
        <v>1729</v>
      </c>
      <c r="M798" s="6" t="s">
        <v>3952</v>
      </c>
      <c r="N798" s="6" t="s">
        <v>3905</v>
      </c>
      <c r="O798" s="6" t="s">
        <v>3953</v>
      </c>
      <c r="P798" s="6"/>
      <c r="Q798" s="8">
        <v>150</v>
      </c>
      <c r="R798" s="8">
        <v>150.44999999999999</v>
      </c>
      <c r="S798" s="8">
        <v>299.89999999999998</v>
      </c>
      <c r="T798" s="8">
        <v>14</v>
      </c>
      <c r="U798" s="8"/>
      <c r="V798" s="8">
        <f t="shared" si="10"/>
        <v>0</v>
      </c>
      <c r="W798" s="12">
        <f t="shared" si="11"/>
        <v>0</v>
      </c>
      <c r="Y798">
        <v>0</v>
      </c>
    </row>
    <row r="799" spans="1:25" ht="40" customHeight="1">
      <c r="A799" s="6" t="s">
        <v>3954</v>
      </c>
      <c r="B799" s="8" t="s">
        <v>3955</v>
      </c>
      <c r="C799" s="1" t="s">
        <v>3940</v>
      </c>
      <c r="D799" s="6" t="s">
        <v>3559</v>
      </c>
      <c r="E799" s="1" t="s">
        <v>3956</v>
      </c>
      <c r="F799" s="6" t="s">
        <v>5</v>
      </c>
      <c r="G799" s="6" t="s">
        <v>1655</v>
      </c>
      <c r="H799" s="6" t="s">
        <v>3929</v>
      </c>
      <c r="I799" s="6" t="s">
        <v>417</v>
      </c>
      <c r="J799" s="6" t="s">
        <v>3930</v>
      </c>
      <c r="K799" s="6" t="s">
        <v>3957</v>
      </c>
      <c r="L799" s="6" t="s">
        <v>1729</v>
      </c>
      <c r="M799" s="6" t="s">
        <v>1659</v>
      </c>
      <c r="N799" s="6" t="s">
        <v>3905</v>
      </c>
      <c r="O799" s="6" t="s">
        <v>3932</v>
      </c>
      <c r="P799" s="6"/>
      <c r="Q799" s="8">
        <v>150</v>
      </c>
      <c r="R799" s="8">
        <v>150.44999999999999</v>
      </c>
      <c r="S799" s="8">
        <v>299.89999999999998</v>
      </c>
      <c r="T799" s="8">
        <v>14</v>
      </c>
      <c r="U799" s="8"/>
      <c r="V799" s="8">
        <f t="shared" si="10"/>
        <v>0</v>
      </c>
      <c r="W799" s="12">
        <f t="shared" si="11"/>
        <v>0</v>
      </c>
      <c r="Y799">
        <v>0</v>
      </c>
    </row>
    <row r="800" spans="1:25" ht="40" customHeight="1">
      <c r="A800" s="6" t="s">
        <v>3958</v>
      </c>
      <c r="B800" s="6" t="s">
        <v>3959</v>
      </c>
      <c r="C800" s="6">
        <v>232619</v>
      </c>
      <c r="D800" s="6" t="s">
        <v>126</v>
      </c>
      <c r="E800" s="6" t="s">
        <v>3960</v>
      </c>
      <c r="F800" s="6"/>
      <c r="G800" s="6" t="s">
        <v>1655</v>
      </c>
      <c r="H800" s="6" t="s">
        <v>3929</v>
      </c>
      <c r="I800" s="6" t="s">
        <v>417</v>
      </c>
      <c r="J800" s="6" t="s">
        <v>3930</v>
      </c>
      <c r="K800" s="6" t="s">
        <v>3961</v>
      </c>
      <c r="L800" s="6" t="s">
        <v>1729</v>
      </c>
      <c r="M800" s="6" t="s">
        <v>1659</v>
      </c>
      <c r="N800" s="6" t="s">
        <v>3905</v>
      </c>
      <c r="O800" s="6" t="s">
        <v>3932</v>
      </c>
      <c r="P800" s="6"/>
      <c r="Q800" s="8">
        <v>150</v>
      </c>
      <c r="R800" s="8">
        <v>150.44999999999999</v>
      </c>
      <c r="S800" s="8">
        <v>299.89999999999998</v>
      </c>
      <c r="T800" s="8">
        <v>14</v>
      </c>
      <c r="U800" s="8"/>
      <c r="V800" s="8">
        <f t="shared" si="10"/>
        <v>0</v>
      </c>
      <c r="W800" s="12">
        <f t="shared" si="11"/>
        <v>0</v>
      </c>
      <c r="Y800">
        <v>0</v>
      </c>
    </row>
    <row r="801" spans="1:25" ht="40" customHeight="1">
      <c r="A801" s="6" t="s">
        <v>3962</v>
      </c>
      <c r="B801" s="6" t="s">
        <v>3963</v>
      </c>
      <c r="C801" s="6">
        <v>232619</v>
      </c>
      <c r="D801" s="6" t="s">
        <v>1699</v>
      </c>
      <c r="E801" s="6" t="s">
        <v>3964</v>
      </c>
      <c r="F801" s="6"/>
      <c r="G801" s="6" t="s">
        <v>1655</v>
      </c>
      <c r="H801" s="6" t="s">
        <v>3929</v>
      </c>
      <c r="I801" s="6" t="s">
        <v>417</v>
      </c>
      <c r="J801" s="6" t="s">
        <v>3930</v>
      </c>
      <c r="K801" s="6" t="s">
        <v>3965</v>
      </c>
      <c r="L801" s="6" t="s">
        <v>1729</v>
      </c>
      <c r="M801" s="6" t="s">
        <v>1659</v>
      </c>
      <c r="N801" s="6" t="s">
        <v>3905</v>
      </c>
      <c r="O801" s="6" t="s">
        <v>3932</v>
      </c>
      <c r="P801" s="6"/>
      <c r="Q801" s="8">
        <v>150</v>
      </c>
      <c r="R801" s="8">
        <v>150.44999999999999</v>
      </c>
      <c r="S801" s="8">
        <v>299.89999999999998</v>
      </c>
      <c r="T801" s="8">
        <v>14</v>
      </c>
      <c r="U801" s="8"/>
      <c r="V801" s="8">
        <f t="shared" si="10"/>
        <v>0</v>
      </c>
      <c r="W801" s="12">
        <f t="shared" si="11"/>
        <v>0</v>
      </c>
      <c r="Y801">
        <v>0</v>
      </c>
    </row>
    <row r="802" spans="1:25" ht="40" customHeight="1">
      <c r="A802" s="6" t="s">
        <v>3966</v>
      </c>
      <c r="B802" s="6" t="s">
        <v>3967</v>
      </c>
      <c r="C802" s="6" t="s">
        <v>3940</v>
      </c>
      <c r="D802" s="6" t="s">
        <v>3619</v>
      </c>
      <c r="E802" s="6" t="s">
        <v>3968</v>
      </c>
      <c r="F802" s="6" t="s">
        <v>5</v>
      </c>
      <c r="G802" s="6" t="s">
        <v>1655</v>
      </c>
      <c r="H802" s="6" t="s">
        <v>3929</v>
      </c>
      <c r="I802" s="6" t="s">
        <v>417</v>
      </c>
      <c r="J802" s="6" t="s">
        <v>3950</v>
      </c>
      <c r="K802" s="6" t="s">
        <v>3969</v>
      </c>
      <c r="L802" s="6" t="s">
        <v>1729</v>
      </c>
      <c r="M802" s="6" t="s">
        <v>3952</v>
      </c>
      <c r="N802" s="6" t="s">
        <v>3905</v>
      </c>
      <c r="O802" s="6" t="s">
        <v>3953</v>
      </c>
      <c r="P802" s="6"/>
      <c r="Q802" s="8">
        <v>150</v>
      </c>
      <c r="R802" s="8">
        <v>150.44999999999999</v>
      </c>
      <c r="S802" s="8">
        <v>299.89999999999998</v>
      </c>
      <c r="T802" s="8">
        <v>14</v>
      </c>
      <c r="U802" s="8"/>
      <c r="V802" s="8">
        <f t="shared" si="10"/>
        <v>0</v>
      </c>
      <c r="W802" s="12">
        <f t="shared" si="11"/>
        <v>0</v>
      </c>
      <c r="Y802">
        <v>0</v>
      </c>
    </row>
    <row r="803" spans="1:25" ht="40" customHeight="1">
      <c r="A803" s="6" t="s">
        <v>3970</v>
      </c>
      <c r="B803" s="6" t="s">
        <v>3971</v>
      </c>
      <c r="C803" s="6" t="s">
        <v>3940</v>
      </c>
      <c r="D803" s="6" t="s">
        <v>94</v>
      </c>
      <c r="E803" s="6" t="s">
        <v>3972</v>
      </c>
      <c r="F803" s="6" t="s">
        <v>5</v>
      </c>
      <c r="G803" s="6" t="s">
        <v>1655</v>
      </c>
      <c r="H803" s="6" t="s">
        <v>3929</v>
      </c>
      <c r="I803" s="6" t="s">
        <v>417</v>
      </c>
      <c r="J803" s="6" t="s">
        <v>3950</v>
      </c>
      <c r="K803" s="6" t="s">
        <v>3946</v>
      </c>
      <c r="L803" s="6" t="s">
        <v>1729</v>
      </c>
      <c r="M803" s="6" t="s">
        <v>3952</v>
      </c>
      <c r="N803" s="6" t="s">
        <v>3905</v>
      </c>
      <c r="O803" s="6" t="s">
        <v>3953</v>
      </c>
      <c r="P803" s="6"/>
      <c r="Q803" s="8">
        <v>150</v>
      </c>
      <c r="R803" s="8">
        <v>150.44999999999999</v>
      </c>
      <c r="S803" s="8">
        <v>299.89999999999998</v>
      </c>
      <c r="T803" s="8">
        <v>14</v>
      </c>
      <c r="U803" s="8"/>
      <c r="V803" s="8">
        <f t="shared" si="10"/>
        <v>0</v>
      </c>
      <c r="W803" s="12">
        <f t="shared" si="11"/>
        <v>0</v>
      </c>
      <c r="Y803">
        <v>0</v>
      </c>
    </row>
    <row r="804" spans="1:25" ht="40" customHeight="1">
      <c r="A804" s="5" t="s">
        <v>3973</v>
      </c>
      <c r="B804" s="6" t="s">
        <v>3974</v>
      </c>
      <c r="C804" s="6">
        <v>232655</v>
      </c>
      <c r="D804" s="6" t="s">
        <v>27</v>
      </c>
      <c r="E804" s="6" t="s">
        <v>3975</v>
      </c>
      <c r="F804" s="6"/>
      <c r="G804" s="6" t="s">
        <v>3976</v>
      </c>
      <c r="H804" s="6" t="s">
        <v>215</v>
      </c>
      <c r="I804" s="6" t="s">
        <v>417</v>
      </c>
      <c r="J804" s="6" t="s">
        <v>3977</v>
      </c>
      <c r="K804" s="6" t="s">
        <v>3978</v>
      </c>
      <c r="L804" s="6" t="s">
        <v>3979</v>
      </c>
      <c r="M804" s="6" t="s">
        <v>3980</v>
      </c>
      <c r="N804" s="6" t="s">
        <v>3905</v>
      </c>
      <c r="O804" s="6" t="s">
        <v>3981</v>
      </c>
      <c r="P804" s="6"/>
      <c r="Q804" s="8">
        <v>175</v>
      </c>
      <c r="R804" s="8">
        <v>175.52500000000001</v>
      </c>
      <c r="S804" s="8">
        <v>349.9</v>
      </c>
      <c r="T804" s="8">
        <v>14</v>
      </c>
      <c r="U804" s="8"/>
      <c r="V804" s="8">
        <f t="shared" si="10"/>
        <v>0</v>
      </c>
      <c r="W804" s="12">
        <f t="shared" si="11"/>
        <v>0</v>
      </c>
      <c r="Y804">
        <v>0</v>
      </c>
    </row>
    <row r="805" spans="1:25" ht="40" customHeight="1">
      <c r="A805" s="6" t="s">
        <v>3982</v>
      </c>
      <c r="B805" s="6" t="s">
        <v>3983</v>
      </c>
      <c r="C805" s="6">
        <v>232655</v>
      </c>
      <c r="D805" s="6" t="s">
        <v>3984</v>
      </c>
      <c r="E805" s="6" t="s">
        <v>3985</v>
      </c>
      <c r="F805" s="6"/>
      <c r="G805" s="6" t="s">
        <v>3976</v>
      </c>
      <c r="H805" s="6" t="s">
        <v>215</v>
      </c>
      <c r="I805" s="6" t="s">
        <v>417</v>
      </c>
      <c r="J805" s="6" t="s">
        <v>3977</v>
      </c>
      <c r="K805" s="6" t="s">
        <v>2023</v>
      </c>
      <c r="L805" s="6" t="s">
        <v>3979</v>
      </c>
      <c r="M805" s="6" t="s">
        <v>3980</v>
      </c>
      <c r="N805" s="6" t="s">
        <v>3905</v>
      </c>
      <c r="O805" s="6" t="s">
        <v>3981</v>
      </c>
      <c r="P805" s="6"/>
      <c r="Q805" s="8">
        <v>175</v>
      </c>
      <c r="R805" s="8">
        <v>175.52500000000001</v>
      </c>
      <c r="S805" s="8">
        <v>349.9</v>
      </c>
      <c r="T805" s="8">
        <v>14</v>
      </c>
      <c r="U805" s="8"/>
      <c r="V805" s="8">
        <f t="shared" si="10"/>
        <v>0</v>
      </c>
      <c r="W805" s="12">
        <f t="shared" si="11"/>
        <v>0</v>
      </c>
      <c r="Y805">
        <v>0</v>
      </c>
    </row>
    <row r="806" spans="1:25" ht="40" customHeight="1">
      <c r="A806" s="6" t="s">
        <v>3986</v>
      </c>
      <c r="B806" s="6" t="s">
        <v>3987</v>
      </c>
      <c r="C806" s="6">
        <v>232655</v>
      </c>
      <c r="D806" s="6" t="s">
        <v>3101</v>
      </c>
      <c r="E806" s="6" t="s">
        <v>3988</v>
      </c>
      <c r="F806" s="6"/>
      <c r="G806" s="6" t="s">
        <v>3976</v>
      </c>
      <c r="H806" s="6" t="s">
        <v>215</v>
      </c>
      <c r="I806" s="6" t="s">
        <v>417</v>
      </c>
      <c r="J806" s="6" t="s">
        <v>3977</v>
      </c>
      <c r="K806" s="8"/>
      <c r="L806" s="8"/>
      <c r="M806" s="8"/>
      <c r="N806" s="8"/>
      <c r="O806" s="8"/>
      <c r="P806" s="8"/>
      <c r="Q806" s="8">
        <v>175</v>
      </c>
      <c r="R806" s="8">
        <v>175.52500000000001</v>
      </c>
      <c r="S806" s="8">
        <v>349.9</v>
      </c>
      <c r="T806" s="8">
        <v>14</v>
      </c>
      <c r="U806" s="8"/>
      <c r="V806" s="8">
        <f t="shared" si="10"/>
        <v>0</v>
      </c>
      <c r="W806" s="12">
        <f t="shared" si="11"/>
        <v>0</v>
      </c>
      <c r="Y806">
        <v>0</v>
      </c>
    </row>
    <row r="807" spans="1:25" ht="40" customHeight="1">
      <c r="A807" s="6" t="s">
        <v>3989</v>
      </c>
      <c r="B807" s="6" t="s">
        <v>3990</v>
      </c>
      <c r="C807" s="6">
        <v>232655</v>
      </c>
      <c r="D807" s="6" t="s">
        <v>109</v>
      </c>
      <c r="E807" s="6" t="s">
        <v>3991</v>
      </c>
      <c r="F807" s="6"/>
      <c r="G807" s="6" t="s">
        <v>3976</v>
      </c>
      <c r="H807" s="6" t="s">
        <v>215</v>
      </c>
      <c r="I807" s="6" t="s">
        <v>417</v>
      </c>
      <c r="J807" s="6" t="s">
        <v>3977</v>
      </c>
      <c r="K807" s="6" t="s">
        <v>3992</v>
      </c>
      <c r="L807" s="6" t="s">
        <v>3979</v>
      </c>
      <c r="M807" s="6" t="s">
        <v>3980</v>
      </c>
      <c r="N807" s="6" t="s">
        <v>3905</v>
      </c>
      <c r="O807" s="6" t="s">
        <v>3981</v>
      </c>
      <c r="P807" s="6"/>
      <c r="Q807" s="8">
        <v>175</v>
      </c>
      <c r="R807" s="8">
        <v>175.52500000000001</v>
      </c>
      <c r="S807" s="8">
        <v>349.9</v>
      </c>
      <c r="T807" s="8">
        <v>14</v>
      </c>
      <c r="U807" s="8"/>
      <c r="V807" s="8">
        <f t="shared" ref="V807:V870" si="12">T807*U807</f>
        <v>0</v>
      </c>
      <c r="W807" s="12">
        <f t="shared" ref="W807:W870" si="13">R807*V807</f>
        <v>0</v>
      </c>
      <c r="Y807">
        <v>0</v>
      </c>
    </row>
    <row r="808" spans="1:25" ht="40" customHeight="1">
      <c r="A808" s="6" t="s">
        <v>3993</v>
      </c>
      <c r="B808" s="6" t="s">
        <v>3994</v>
      </c>
      <c r="C808" s="6">
        <v>232655</v>
      </c>
      <c r="D808" s="6" t="s">
        <v>3995</v>
      </c>
      <c r="E808" s="6" t="s">
        <v>3996</v>
      </c>
      <c r="F808" s="6"/>
      <c r="G808" s="6" t="s">
        <v>3976</v>
      </c>
      <c r="H808" s="6" t="s">
        <v>215</v>
      </c>
      <c r="I808" s="6" t="s">
        <v>417</v>
      </c>
      <c r="J808" s="6" t="s">
        <v>3977</v>
      </c>
      <c r="K808" s="8"/>
      <c r="L808" s="8"/>
      <c r="M808" s="8"/>
      <c r="N808" s="8"/>
      <c r="O808" s="8"/>
      <c r="P808" s="8"/>
      <c r="Q808" s="8">
        <v>175</v>
      </c>
      <c r="R808" s="8">
        <v>175.52500000000001</v>
      </c>
      <c r="S808" s="8">
        <v>349.9</v>
      </c>
      <c r="T808" s="8">
        <v>14</v>
      </c>
      <c r="U808" s="8"/>
      <c r="V808" s="8">
        <f t="shared" si="12"/>
        <v>0</v>
      </c>
      <c r="W808" s="12">
        <f t="shared" si="13"/>
        <v>0</v>
      </c>
      <c r="Y808">
        <v>0</v>
      </c>
    </row>
    <row r="809" spans="1:25" ht="40" customHeight="1">
      <c r="A809" s="5" t="s">
        <v>3997</v>
      </c>
      <c r="B809" s="6" t="s">
        <v>3998</v>
      </c>
      <c r="C809" s="6">
        <v>232657</v>
      </c>
      <c r="D809" s="6" t="s">
        <v>27</v>
      </c>
      <c r="E809" s="6" t="s">
        <v>3999</v>
      </c>
      <c r="F809" s="6"/>
      <c r="G809" s="6" t="s">
        <v>3976</v>
      </c>
      <c r="H809" s="6" t="s">
        <v>4000</v>
      </c>
      <c r="I809" s="6" t="s">
        <v>417</v>
      </c>
      <c r="J809" s="6" t="s">
        <v>4001</v>
      </c>
      <c r="K809" s="6" t="s">
        <v>464</v>
      </c>
      <c r="L809" s="6" t="s">
        <v>4002</v>
      </c>
      <c r="M809" s="6" t="s">
        <v>4003</v>
      </c>
      <c r="N809" s="6" t="s">
        <v>3905</v>
      </c>
      <c r="O809" s="6" t="s">
        <v>2231</v>
      </c>
      <c r="P809" s="6"/>
      <c r="Q809" s="8">
        <v>175</v>
      </c>
      <c r="R809" s="8">
        <v>175.52500000000001</v>
      </c>
      <c r="S809" s="8">
        <v>349.9</v>
      </c>
      <c r="T809" s="8">
        <v>14</v>
      </c>
      <c r="U809" s="8"/>
      <c r="V809" s="8">
        <f t="shared" si="12"/>
        <v>0</v>
      </c>
      <c r="W809" s="12">
        <f t="shared" si="13"/>
        <v>0</v>
      </c>
      <c r="Y809">
        <v>0</v>
      </c>
    </row>
    <row r="810" spans="1:25" ht="40" customHeight="1">
      <c r="A810" s="6" t="s">
        <v>4004</v>
      </c>
      <c r="B810" s="6" t="s">
        <v>4005</v>
      </c>
      <c r="C810" s="6">
        <v>232657</v>
      </c>
      <c r="D810" s="6" t="s">
        <v>94</v>
      </c>
      <c r="E810" s="6" t="s">
        <v>4006</v>
      </c>
      <c r="F810" s="6"/>
      <c r="G810" s="6" t="s">
        <v>3976</v>
      </c>
      <c r="H810" s="6" t="s">
        <v>4000</v>
      </c>
      <c r="I810" s="6" t="s">
        <v>417</v>
      </c>
      <c r="J810" s="6" t="s">
        <v>4001</v>
      </c>
      <c r="K810" s="6" t="s">
        <v>4007</v>
      </c>
      <c r="L810" s="6" t="s">
        <v>4002</v>
      </c>
      <c r="M810" s="6" t="s">
        <v>4003</v>
      </c>
      <c r="N810" s="6" t="s">
        <v>3905</v>
      </c>
      <c r="O810" s="6" t="s">
        <v>2231</v>
      </c>
      <c r="P810" s="6"/>
      <c r="Q810" s="8">
        <v>175</v>
      </c>
      <c r="R810" s="8">
        <v>175.52500000000001</v>
      </c>
      <c r="S810" s="8">
        <v>349.9</v>
      </c>
      <c r="T810" s="8">
        <v>14</v>
      </c>
      <c r="U810" s="8"/>
      <c r="V810" s="8">
        <f t="shared" si="12"/>
        <v>0</v>
      </c>
      <c r="W810" s="12">
        <f t="shared" si="13"/>
        <v>0</v>
      </c>
      <c r="Y810">
        <v>0</v>
      </c>
    </row>
    <row r="811" spans="1:25" ht="40" customHeight="1">
      <c r="A811" s="5" t="s">
        <v>4008</v>
      </c>
      <c r="B811" s="6" t="s">
        <v>4009</v>
      </c>
      <c r="C811" s="6">
        <v>232713</v>
      </c>
      <c r="D811" s="6" t="s">
        <v>27</v>
      </c>
      <c r="E811" s="6" t="s">
        <v>4010</v>
      </c>
      <c r="F811" s="6"/>
      <c r="G811" s="6" t="s">
        <v>1514</v>
      </c>
      <c r="H811" s="6" t="s">
        <v>4011</v>
      </c>
      <c r="I811" s="6" t="s">
        <v>417</v>
      </c>
      <c r="J811" s="6" t="s">
        <v>4012</v>
      </c>
      <c r="K811" s="6" t="s">
        <v>4013</v>
      </c>
      <c r="L811" s="6" t="s">
        <v>54</v>
      </c>
      <c r="M811" s="6" t="s">
        <v>54</v>
      </c>
      <c r="N811" s="6" t="s">
        <v>3905</v>
      </c>
      <c r="O811" s="6" t="s">
        <v>4014</v>
      </c>
      <c r="P811" s="6"/>
      <c r="Q811" s="8">
        <v>200</v>
      </c>
      <c r="R811" s="8">
        <v>200.6</v>
      </c>
      <c r="S811" s="8">
        <v>399.9</v>
      </c>
      <c r="T811" s="8">
        <v>14</v>
      </c>
      <c r="U811" s="8">
        <v>2</v>
      </c>
      <c r="V811" s="8">
        <f t="shared" si="12"/>
        <v>28</v>
      </c>
      <c r="W811" s="12">
        <f t="shared" si="13"/>
        <v>5616.8</v>
      </c>
      <c r="Y811">
        <v>2</v>
      </c>
    </row>
    <row r="812" spans="1:25" ht="40" customHeight="1">
      <c r="A812" s="5" t="s">
        <v>4015</v>
      </c>
      <c r="B812" s="6" t="s">
        <v>4016</v>
      </c>
      <c r="C812" s="6">
        <v>232713</v>
      </c>
      <c r="D812" s="6" t="s">
        <v>4017</v>
      </c>
      <c r="E812" s="6" t="s">
        <v>4018</v>
      </c>
      <c r="F812" s="6"/>
      <c r="G812" s="6" t="s">
        <v>1514</v>
      </c>
      <c r="H812" s="6" t="s">
        <v>4011</v>
      </c>
      <c r="I812" s="6" t="s">
        <v>417</v>
      </c>
      <c r="J812" s="6" t="s">
        <v>4012</v>
      </c>
      <c r="K812" s="6" t="s">
        <v>4019</v>
      </c>
      <c r="L812" s="6" t="s">
        <v>54</v>
      </c>
      <c r="M812" s="6" t="s">
        <v>54</v>
      </c>
      <c r="N812" s="6" t="s">
        <v>3905</v>
      </c>
      <c r="O812" s="6" t="s">
        <v>4014</v>
      </c>
      <c r="P812" s="6"/>
      <c r="Q812" s="8">
        <v>200</v>
      </c>
      <c r="R812" s="8">
        <v>200.6</v>
      </c>
      <c r="S812" s="8">
        <v>399.9</v>
      </c>
      <c r="T812" s="8">
        <v>14</v>
      </c>
      <c r="U812" s="8"/>
      <c r="V812" s="8">
        <f t="shared" si="12"/>
        <v>0</v>
      </c>
      <c r="W812" s="12">
        <f t="shared" si="13"/>
        <v>0</v>
      </c>
      <c r="Y812">
        <v>0</v>
      </c>
    </row>
    <row r="813" spans="1:25" ht="40" customHeight="1">
      <c r="A813" s="5" t="s">
        <v>4020</v>
      </c>
      <c r="B813" s="6" t="s">
        <v>4021</v>
      </c>
      <c r="C813" s="6">
        <v>232713</v>
      </c>
      <c r="D813" s="6" t="s">
        <v>4022</v>
      </c>
      <c r="E813" s="6" t="s">
        <v>4023</v>
      </c>
      <c r="F813" s="6"/>
      <c r="G813" s="6" t="s">
        <v>1514</v>
      </c>
      <c r="H813" s="6" t="s">
        <v>4011</v>
      </c>
      <c r="I813" s="6" t="s">
        <v>417</v>
      </c>
      <c r="J813" s="6" t="s">
        <v>4012</v>
      </c>
      <c r="K813" s="6" t="s">
        <v>4024</v>
      </c>
      <c r="L813" s="6" t="s">
        <v>54</v>
      </c>
      <c r="M813" s="6" t="s">
        <v>54</v>
      </c>
      <c r="N813" s="6" t="s">
        <v>3905</v>
      </c>
      <c r="O813" s="6" t="s">
        <v>4014</v>
      </c>
      <c r="P813" s="6"/>
      <c r="Q813" s="8">
        <v>200</v>
      </c>
      <c r="R813" s="8">
        <v>200.6</v>
      </c>
      <c r="S813" s="8">
        <v>399.9</v>
      </c>
      <c r="T813" s="8">
        <v>14</v>
      </c>
      <c r="U813" s="8"/>
      <c r="V813" s="8">
        <f t="shared" si="12"/>
        <v>0</v>
      </c>
      <c r="W813" s="12">
        <f t="shared" si="13"/>
        <v>0</v>
      </c>
      <c r="Y813">
        <v>0</v>
      </c>
    </row>
    <row r="814" spans="1:25" ht="40" customHeight="1">
      <c r="A814" s="5" t="s">
        <v>4025</v>
      </c>
      <c r="B814" s="8" t="s">
        <v>4026</v>
      </c>
      <c r="C814" s="1" t="s">
        <v>4027</v>
      </c>
      <c r="D814" s="6" t="s">
        <v>27</v>
      </c>
      <c r="E814" s="1" t="s">
        <v>4028</v>
      </c>
      <c r="F814" s="6" t="s">
        <v>5</v>
      </c>
      <c r="G814" s="6" t="s">
        <v>4029</v>
      </c>
      <c r="H814" s="6" t="s">
        <v>4030</v>
      </c>
      <c r="I814" s="6" t="s">
        <v>417</v>
      </c>
      <c r="J814" s="6" t="s">
        <v>4031</v>
      </c>
      <c r="K814" s="6" t="s">
        <v>4032</v>
      </c>
      <c r="L814" s="6" t="s">
        <v>4033</v>
      </c>
      <c r="M814" s="6" t="s">
        <v>4034</v>
      </c>
      <c r="N814" s="6" t="s">
        <v>3905</v>
      </c>
      <c r="O814" s="6" t="s">
        <v>4035</v>
      </c>
      <c r="P814" s="6"/>
      <c r="Q814" s="8">
        <v>150</v>
      </c>
      <c r="R814" s="8">
        <v>150.44999999999999</v>
      </c>
      <c r="S814" s="8">
        <v>299.89999999999998</v>
      </c>
      <c r="T814" s="8">
        <v>14</v>
      </c>
      <c r="U814" s="8"/>
      <c r="V814" s="8">
        <f t="shared" si="12"/>
        <v>0</v>
      </c>
      <c r="W814" s="12">
        <f t="shared" si="13"/>
        <v>0</v>
      </c>
      <c r="Y814">
        <v>0</v>
      </c>
    </row>
    <row r="815" spans="1:25" ht="40" customHeight="1">
      <c r="A815" s="5" t="s">
        <v>4036</v>
      </c>
      <c r="B815" s="8" t="s">
        <v>4037</v>
      </c>
      <c r="C815" s="1" t="s">
        <v>4027</v>
      </c>
      <c r="D815" s="6" t="s">
        <v>1699</v>
      </c>
      <c r="E815" s="1" t="s">
        <v>4038</v>
      </c>
      <c r="F815" s="6" t="s">
        <v>5</v>
      </c>
      <c r="G815" s="6" t="s">
        <v>4029</v>
      </c>
      <c r="H815" s="6" t="s">
        <v>4030</v>
      </c>
      <c r="I815" s="6" t="s">
        <v>417</v>
      </c>
      <c r="J815" s="6" t="s">
        <v>4031</v>
      </c>
      <c r="K815" s="6" t="s">
        <v>4039</v>
      </c>
      <c r="L815" s="6" t="s">
        <v>4033</v>
      </c>
      <c r="M815" s="6" t="s">
        <v>4034</v>
      </c>
      <c r="N815" s="6" t="s">
        <v>3905</v>
      </c>
      <c r="O815" s="6" t="s">
        <v>4035</v>
      </c>
      <c r="P815" s="6"/>
      <c r="Q815" s="8">
        <v>150</v>
      </c>
      <c r="R815" s="8">
        <v>150.44999999999999</v>
      </c>
      <c r="S815" s="8">
        <v>299.89999999999998</v>
      </c>
      <c r="T815" s="8">
        <v>14</v>
      </c>
      <c r="U815" s="8"/>
      <c r="V815" s="8">
        <f t="shared" si="12"/>
        <v>0</v>
      </c>
      <c r="W815" s="12">
        <f t="shared" si="13"/>
        <v>0</v>
      </c>
      <c r="X815">
        <f>VLOOKUP(E815,[1]Sheet2!$A:$C,3,FALSE)</f>
        <v>1</v>
      </c>
      <c r="Y815">
        <v>1</v>
      </c>
    </row>
    <row r="816" spans="1:25" ht="40" customHeight="1">
      <c r="A816" s="5" t="s">
        <v>4040</v>
      </c>
      <c r="B816" s="6" t="s">
        <v>4041</v>
      </c>
      <c r="C816" s="6">
        <v>232844</v>
      </c>
      <c r="D816" s="6" t="s">
        <v>27</v>
      </c>
      <c r="E816" s="6" t="s">
        <v>4042</v>
      </c>
      <c r="F816" s="6"/>
      <c r="G816" s="6" t="s">
        <v>4043</v>
      </c>
      <c r="H816" s="6" t="s">
        <v>4044</v>
      </c>
      <c r="I816" s="6" t="s">
        <v>417</v>
      </c>
      <c r="J816" s="6" t="s">
        <v>4045</v>
      </c>
      <c r="K816" s="6" t="s">
        <v>4046</v>
      </c>
      <c r="L816" s="6" t="s">
        <v>4047</v>
      </c>
      <c r="M816" s="6" t="s">
        <v>4048</v>
      </c>
      <c r="N816" s="6" t="s">
        <v>3905</v>
      </c>
      <c r="O816" s="6" t="s">
        <v>4049</v>
      </c>
      <c r="P816" s="6"/>
      <c r="Q816" s="8">
        <v>150</v>
      </c>
      <c r="R816" s="8">
        <v>150.44999999999999</v>
      </c>
      <c r="S816" s="8">
        <v>299.89999999999998</v>
      </c>
      <c r="T816" s="8">
        <v>14</v>
      </c>
      <c r="U816" s="8"/>
      <c r="V816" s="8">
        <f t="shared" si="12"/>
        <v>0</v>
      </c>
      <c r="W816" s="12">
        <f t="shared" si="13"/>
        <v>0</v>
      </c>
      <c r="Y816">
        <v>0</v>
      </c>
    </row>
    <row r="817" spans="1:25" ht="40" customHeight="1">
      <c r="A817" s="5" t="s">
        <v>4050</v>
      </c>
      <c r="B817" s="6" t="s">
        <v>4051</v>
      </c>
      <c r="C817" s="6">
        <v>232844</v>
      </c>
      <c r="D817" s="6" t="s">
        <v>64</v>
      </c>
      <c r="E817" s="6" t="s">
        <v>4052</v>
      </c>
      <c r="F817" s="6"/>
      <c r="G817" s="6" t="s">
        <v>4043</v>
      </c>
      <c r="H817" s="6" t="s">
        <v>4044</v>
      </c>
      <c r="I817" s="6" t="s">
        <v>417</v>
      </c>
      <c r="J817" s="6" t="s">
        <v>4045</v>
      </c>
      <c r="K817" s="6" t="s">
        <v>4053</v>
      </c>
      <c r="L817" s="6" t="s">
        <v>4047</v>
      </c>
      <c r="M817" s="6" t="s">
        <v>4048</v>
      </c>
      <c r="N817" s="6" t="s">
        <v>3905</v>
      </c>
      <c r="O817" s="6" t="s">
        <v>4049</v>
      </c>
      <c r="P817" s="6"/>
      <c r="Q817" s="8">
        <v>150</v>
      </c>
      <c r="R817" s="8">
        <v>150.44999999999999</v>
      </c>
      <c r="S817" s="8">
        <v>299.89999999999998</v>
      </c>
      <c r="T817" s="8">
        <v>14</v>
      </c>
      <c r="U817" s="8"/>
      <c r="V817" s="8">
        <f t="shared" si="12"/>
        <v>0</v>
      </c>
      <c r="W817" s="12">
        <f t="shared" si="13"/>
        <v>0</v>
      </c>
      <c r="Y817">
        <v>0</v>
      </c>
    </row>
    <row r="818" spans="1:25" ht="40" customHeight="1">
      <c r="A818" s="5" t="s">
        <v>4054</v>
      </c>
      <c r="B818" s="6" t="s">
        <v>4055</v>
      </c>
      <c r="C818" s="6">
        <v>232844</v>
      </c>
      <c r="D818" s="6" t="s">
        <v>1426</v>
      </c>
      <c r="E818" s="6" t="s">
        <v>4056</v>
      </c>
      <c r="F818" s="6"/>
      <c r="G818" s="6" t="s">
        <v>4043</v>
      </c>
      <c r="H818" s="6" t="s">
        <v>4044</v>
      </c>
      <c r="I818" s="6" t="s">
        <v>417</v>
      </c>
      <c r="J818" s="6" t="s">
        <v>4045</v>
      </c>
      <c r="K818" s="6" t="s">
        <v>4057</v>
      </c>
      <c r="L818" s="6" t="s">
        <v>4047</v>
      </c>
      <c r="M818" s="6" t="s">
        <v>4048</v>
      </c>
      <c r="N818" s="6" t="s">
        <v>3905</v>
      </c>
      <c r="O818" s="6" t="s">
        <v>4049</v>
      </c>
      <c r="P818" s="6"/>
      <c r="Q818" s="8">
        <v>150</v>
      </c>
      <c r="R818" s="8">
        <v>150.44999999999999</v>
      </c>
      <c r="S818" s="8">
        <v>299.89999999999998</v>
      </c>
      <c r="T818" s="8">
        <v>14</v>
      </c>
      <c r="U818" s="8"/>
      <c r="V818" s="8">
        <f t="shared" si="12"/>
        <v>0</v>
      </c>
      <c r="W818" s="12">
        <f t="shared" si="13"/>
        <v>0</v>
      </c>
      <c r="Y818">
        <v>0</v>
      </c>
    </row>
    <row r="819" spans="1:25" ht="40" customHeight="1">
      <c r="A819" s="6" t="s">
        <v>4058</v>
      </c>
      <c r="B819" s="6" t="s">
        <v>4059</v>
      </c>
      <c r="C819" s="6">
        <v>232844</v>
      </c>
      <c r="D819" s="6" t="s">
        <v>40</v>
      </c>
      <c r="E819" s="6" t="s">
        <v>4060</v>
      </c>
      <c r="F819" s="6"/>
      <c r="G819" s="6" t="s">
        <v>4043</v>
      </c>
      <c r="H819" s="6" t="s">
        <v>4044</v>
      </c>
      <c r="I819" s="6" t="s">
        <v>417</v>
      </c>
      <c r="J819" s="6" t="s">
        <v>4045</v>
      </c>
      <c r="K819" s="6" t="s">
        <v>4061</v>
      </c>
      <c r="L819" s="6" t="s">
        <v>4047</v>
      </c>
      <c r="M819" s="6" t="s">
        <v>4048</v>
      </c>
      <c r="N819" s="6" t="s">
        <v>3905</v>
      </c>
      <c r="O819" s="6" t="s">
        <v>4049</v>
      </c>
      <c r="P819" s="6"/>
      <c r="Q819" s="8">
        <v>150</v>
      </c>
      <c r="R819" s="8">
        <v>150.44999999999999</v>
      </c>
      <c r="S819" s="8">
        <v>299.89999999999998</v>
      </c>
      <c r="T819" s="8">
        <v>14</v>
      </c>
      <c r="U819" s="8"/>
      <c r="V819" s="8">
        <f t="shared" si="12"/>
        <v>0</v>
      </c>
      <c r="W819" s="12">
        <f t="shared" si="13"/>
        <v>0</v>
      </c>
      <c r="X819">
        <f>VLOOKUP(E819,[1]Sheet2!$A:$C,3,FALSE)</f>
        <v>1</v>
      </c>
      <c r="Y819">
        <v>1</v>
      </c>
    </row>
    <row r="820" spans="1:25" ht="40" customHeight="1">
      <c r="A820" s="6" t="s">
        <v>4062</v>
      </c>
      <c r="B820" s="6" t="s">
        <v>4063</v>
      </c>
      <c r="C820" s="6">
        <v>232844</v>
      </c>
      <c r="D820" s="6" t="s">
        <v>74</v>
      </c>
      <c r="E820" s="6" t="s">
        <v>4064</v>
      </c>
      <c r="F820" s="6"/>
      <c r="G820" s="6" t="s">
        <v>4043</v>
      </c>
      <c r="H820" s="6" t="s">
        <v>4044</v>
      </c>
      <c r="I820" s="6" t="s">
        <v>417</v>
      </c>
      <c r="J820" s="6" t="s">
        <v>4045</v>
      </c>
      <c r="K820" s="6" t="s">
        <v>4065</v>
      </c>
      <c r="L820" s="6" t="s">
        <v>4047</v>
      </c>
      <c r="M820" s="6" t="s">
        <v>4048</v>
      </c>
      <c r="N820" s="6" t="s">
        <v>3905</v>
      </c>
      <c r="O820" s="6" t="s">
        <v>4049</v>
      </c>
      <c r="P820" s="6"/>
      <c r="Q820" s="8">
        <v>150</v>
      </c>
      <c r="R820" s="8">
        <v>150.44999999999999</v>
      </c>
      <c r="S820" s="8">
        <v>299.89999999999998</v>
      </c>
      <c r="T820" s="8">
        <v>14</v>
      </c>
      <c r="U820" s="8"/>
      <c r="V820" s="8">
        <f t="shared" si="12"/>
        <v>0</v>
      </c>
      <c r="W820" s="12">
        <f t="shared" si="13"/>
        <v>0</v>
      </c>
      <c r="Y820">
        <v>0</v>
      </c>
    </row>
    <row r="821" spans="1:25" ht="40" customHeight="1">
      <c r="A821" s="5" t="s">
        <v>4066</v>
      </c>
      <c r="B821" s="6" t="s">
        <v>4067</v>
      </c>
      <c r="C821" s="6">
        <v>232846</v>
      </c>
      <c r="D821" s="6" t="s">
        <v>27</v>
      </c>
      <c r="E821" s="6" t="s">
        <v>4068</v>
      </c>
      <c r="F821" s="6"/>
      <c r="G821" s="6" t="s">
        <v>4043</v>
      </c>
      <c r="H821" s="6" t="s">
        <v>4069</v>
      </c>
      <c r="I821" s="6" t="s">
        <v>417</v>
      </c>
      <c r="J821" s="6" t="s">
        <v>4070</v>
      </c>
      <c r="K821" s="6" t="s">
        <v>4071</v>
      </c>
      <c r="L821" s="6" t="s">
        <v>54</v>
      </c>
      <c r="M821" s="6" t="s">
        <v>54</v>
      </c>
      <c r="N821" s="6" t="s">
        <v>3905</v>
      </c>
      <c r="O821" s="6" t="s">
        <v>4072</v>
      </c>
      <c r="P821" s="6"/>
      <c r="Q821" s="8">
        <v>165</v>
      </c>
      <c r="R821" s="8">
        <v>165.495</v>
      </c>
      <c r="S821" s="8">
        <v>329.9</v>
      </c>
      <c r="T821" s="8">
        <v>14</v>
      </c>
      <c r="U821" s="8">
        <v>1</v>
      </c>
      <c r="V821" s="8">
        <f t="shared" si="12"/>
        <v>14</v>
      </c>
      <c r="W821" s="12">
        <f t="shared" si="13"/>
        <v>2316.9299999999998</v>
      </c>
      <c r="Y821">
        <v>1</v>
      </c>
    </row>
    <row r="822" spans="1:25" ht="40" customHeight="1">
      <c r="A822" s="5" t="s">
        <v>4073</v>
      </c>
      <c r="B822" s="6" t="s">
        <v>4074</v>
      </c>
      <c r="C822" s="6">
        <v>232846</v>
      </c>
      <c r="D822" s="6" t="s">
        <v>64</v>
      </c>
      <c r="E822" s="6" t="s">
        <v>4075</v>
      </c>
      <c r="F822" s="6"/>
      <c r="G822" s="6" t="s">
        <v>4043</v>
      </c>
      <c r="H822" s="6" t="s">
        <v>4069</v>
      </c>
      <c r="I822" s="6" t="s">
        <v>417</v>
      </c>
      <c r="J822" s="6" t="s">
        <v>4070</v>
      </c>
      <c r="K822" s="6" t="s">
        <v>4076</v>
      </c>
      <c r="L822" s="6" t="s">
        <v>54</v>
      </c>
      <c r="M822" s="6" t="s">
        <v>54</v>
      </c>
      <c r="N822" s="6" t="s">
        <v>3905</v>
      </c>
      <c r="O822" s="6" t="s">
        <v>4072</v>
      </c>
      <c r="P822" s="6"/>
      <c r="Q822" s="8">
        <v>165</v>
      </c>
      <c r="R822" s="8">
        <v>165.495</v>
      </c>
      <c r="S822" s="8">
        <v>329.9</v>
      </c>
      <c r="T822" s="8">
        <v>14</v>
      </c>
      <c r="U822" s="8">
        <v>1</v>
      </c>
      <c r="V822" s="8">
        <f t="shared" si="12"/>
        <v>14</v>
      </c>
      <c r="W822" s="12">
        <f t="shared" si="13"/>
        <v>2316.9299999999998</v>
      </c>
      <c r="Y822">
        <v>1</v>
      </c>
    </row>
    <row r="823" spans="1:25" ht="40" customHeight="1">
      <c r="A823" s="5" t="s">
        <v>4077</v>
      </c>
      <c r="B823" s="6" t="s">
        <v>4078</v>
      </c>
      <c r="C823" s="6">
        <v>232846</v>
      </c>
      <c r="D823" s="6" t="s">
        <v>94</v>
      </c>
      <c r="E823" s="6" t="s">
        <v>4079</v>
      </c>
      <c r="F823" s="6"/>
      <c r="G823" s="6" t="s">
        <v>4043</v>
      </c>
      <c r="H823" s="6" t="s">
        <v>4069</v>
      </c>
      <c r="I823" s="6" t="s">
        <v>417</v>
      </c>
      <c r="J823" s="6" t="s">
        <v>4070</v>
      </c>
      <c r="K823" s="6" t="s">
        <v>4080</v>
      </c>
      <c r="L823" s="6" t="s">
        <v>54</v>
      </c>
      <c r="M823" s="6" t="s">
        <v>54</v>
      </c>
      <c r="N823" s="6" t="s">
        <v>3905</v>
      </c>
      <c r="O823" s="6" t="s">
        <v>4072</v>
      </c>
      <c r="P823" s="6"/>
      <c r="Q823" s="8">
        <v>165</v>
      </c>
      <c r="R823" s="8">
        <v>165.495</v>
      </c>
      <c r="S823" s="8">
        <v>329.9</v>
      </c>
      <c r="T823" s="8">
        <v>14</v>
      </c>
      <c r="U823" s="8">
        <v>1</v>
      </c>
      <c r="V823" s="8">
        <f t="shared" si="12"/>
        <v>14</v>
      </c>
      <c r="W823" s="12">
        <f t="shared" si="13"/>
        <v>2316.9299999999998</v>
      </c>
      <c r="Y823">
        <v>1</v>
      </c>
    </row>
    <row r="824" spans="1:25" ht="40" customHeight="1">
      <c r="A824" s="5" t="s">
        <v>4081</v>
      </c>
      <c r="B824" s="6" t="s">
        <v>4082</v>
      </c>
      <c r="C824" s="6">
        <v>232900</v>
      </c>
      <c r="D824" s="6" t="s">
        <v>27</v>
      </c>
      <c r="E824" s="6" t="s">
        <v>4083</v>
      </c>
      <c r="F824" s="6"/>
      <c r="G824" s="6" t="s">
        <v>1514</v>
      </c>
      <c r="H824" s="6" t="s">
        <v>4084</v>
      </c>
      <c r="I824" s="6" t="s">
        <v>417</v>
      </c>
      <c r="J824" s="6" t="s">
        <v>4085</v>
      </c>
      <c r="K824" s="6" t="s">
        <v>2068</v>
      </c>
      <c r="L824" s="6" t="s">
        <v>4086</v>
      </c>
      <c r="M824" s="6" t="s">
        <v>4087</v>
      </c>
      <c r="N824" s="6" t="s">
        <v>3905</v>
      </c>
      <c r="O824" s="6" t="s">
        <v>4088</v>
      </c>
      <c r="P824" s="6"/>
      <c r="Q824" s="8">
        <v>175</v>
      </c>
      <c r="R824" s="8">
        <v>175.52500000000001</v>
      </c>
      <c r="S824" s="8">
        <v>349.9</v>
      </c>
      <c r="T824" s="8">
        <v>14</v>
      </c>
      <c r="U824" s="8">
        <v>2</v>
      </c>
      <c r="V824" s="8">
        <f t="shared" si="12"/>
        <v>28</v>
      </c>
      <c r="W824" s="12">
        <f t="shared" si="13"/>
        <v>4914.7</v>
      </c>
      <c r="Y824">
        <v>2</v>
      </c>
    </row>
    <row r="825" spans="1:25" ht="40" customHeight="1">
      <c r="A825" s="5" t="s">
        <v>4089</v>
      </c>
      <c r="B825" s="6" t="s">
        <v>4090</v>
      </c>
      <c r="C825" s="6">
        <v>232900</v>
      </c>
      <c r="D825" s="6" t="s">
        <v>89</v>
      </c>
      <c r="E825" s="6" t="s">
        <v>4091</v>
      </c>
      <c r="F825" s="6"/>
      <c r="G825" s="6" t="s">
        <v>1514</v>
      </c>
      <c r="H825" s="6" t="s">
        <v>4084</v>
      </c>
      <c r="I825" s="6" t="s">
        <v>417</v>
      </c>
      <c r="J825" s="6" t="s">
        <v>4085</v>
      </c>
      <c r="K825" s="6" t="s">
        <v>530</v>
      </c>
      <c r="L825" s="6" t="s">
        <v>4086</v>
      </c>
      <c r="M825" s="6" t="s">
        <v>4087</v>
      </c>
      <c r="N825" s="6" t="s">
        <v>3905</v>
      </c>
      <c r="O825" s="6" t="s">
        <v>4088</v>
      </c>
      <c r="P825" s="6"/>
      <c r="Q825" s="8">
        <v>175</v>
      </c>
      <c r="R825" s="8">
        <v>175.52500000000001</v>
      </c>
      <c r="S825" s="8">
        <v>349.9</v>
      </c>
      <c r="T825" s="8">
        <v>14</v>
      </c>
      <c r="U825" s="8">
        <v>1</v>
      </c>
      <c r="V825" s="8">
        <f t="shared" si="12"/>
        <v>14</v>
      </c>
      <c r="W825" s="12">
        <f t="shared" si="13"/>
        <v>2457.35</v>
      </c>
      <c r="Y825">
        <v>1</v>
      </c>
    </row>
    <row r="826" spans="1:25" ht="40" customHeight="1">
      <c r="A826" s="5" t="s">
        <v>4092</v>
      </c>
      <c r="B826" s="6" t="s">
        <v>4093</v>
      </c>
      <c r="C826" s="6">
        <v>232900</v>
      </c>
      <c r="D826" s="6" t="s">
        <v>200</v>
      </c>
      <c r="E826" s="6" t="s">
        <v>4094</v>
      </c>
      <c r="F826" s="6"/>
      <c r="G826" s="6" t="s">
        <v>1514</v>
      </c>
      <c r="H826" s="6" t="s">
        <v>4084</v>
      </c>
      <c r="I826" s="6" t="s">
        <v>417</v>
      </c>
      <c r="J826" s="6" t="s">
        <v>4085</v>
      </c>
      <c r="K826" s="6" t="s">
        <v>342</v>
      </c>
      <c r="L826" s="6" t="s">
        <v>4086</v>
      </c>
      <c r="M826" s="6" t="s">
        <v>4087</v>
      </c>
      <c r="N826" s="6" t="s">
        <v>3905</v>
      </c>
      <c r="O826" s="6" t="s">
        <v>4088</v>
      </c>
      <c r="P826" s="6"/>
      <c r="Q826" s="8">
        <v>175</v>
      </c>
      <c r="R826" s="8">
        <v>175.52500000000001</v>
      </c>
      <c r="S826" s="8">
        <v>349.9</v>
      </c>
      <c r="T826" s="8">
        <v>14</v>
      </c>
      <c r="U826" s="8">
        <v>1</v>
      </c>
      <c r="V826" s="8">
        <f t="shared" si="12"/>
        <v>14</v>
      </c>
      <c r="W826" s="12">
        <f t="shared" si="13"/>
        <v>2457.35</v>
      </c>
      <c r="Y826">
        <v>1</v>
      </c>
    </row>
    <row r="827" spans="1:25" ht="40" customHeight="1">
      <c r="A827" s="5" t="s">
        <v>4095</v>
      </c>
      <c r="B827" s="6" t="s">
        <v>4096</v>
      </c>
      <c r="C827" s="7">
        <v>232930</v>
      </c>
      <c r="D827" s="6" t="s">
        <v>3101</v>
      </c>
      <c r="E827" s="7" t="s">
        <v>4097</v>
      </c>
      <c r="F827" s="6"/>
      <c r="G827" s="6" t="s">
        <v>1739</v>
      </c>
      <c r="H827" s="6" t="s">
        <v>215</v>
      </c>
      <c r="I827" s="6" t="s">
        <v>417</v>
      </c>
      <c r="J827" s="6" t="s">
        <v>4098</v>
      </c>
      <c r="K827" s="6" t="s">
        <v>4099</v>
      </c>
      <c r="L827" s="6" t="s">
        <v>4100</v>
      </c>
      <c r="M827" s="6" t="s">
        <v>4101</v>
      </c>
      <c r="N827" s="6" t="s">
        <v>3905</v>
      </c>
      <c r="O827" s="6" t="s">
        <v>1744</v>
      </c>
      <c r="P827" s="6"/>
      <c r="Q827" s="8">
        <v>215</v>
      </c>
      <c r="R827" s="8">
        <v>215.64500000000001</v>
      </c>
      <c r="S827" s="8">
        <v>429.9</v>
      </c>
      <c r="T827" s="8">
        <v>14</v>
      </c>
      <c r="U827" s="8"/>
      <c r="V827" s="8">
        <f t="shared" si="12"/>
        <v>0</v>
      </c>
      <c r="W827" s="12">
        <f t="shared" si="13"/>
        <v>0</v>
      </c>
      <c r="Y827">
        <v>0</v>
      </c>
    </row>
    <row r="828" spans="1:25" ht="40" customHeight="1">
      <c r="A828" s="6" t="s">
        <v>4102</v>
      </c>
      <c r="B828" s="6" t="s">
        <v>4103</v>
      </c>
      <c r="C828" s="7">
        <v>232930</v>
      </c>
      <c r="D828" s="6" t="s">
        <v>74</v>
      </c>
      <c r="E828" s="7" t="s">
        <v>4104</v>
      </c>
      <c r="F828" s="6"/>
      <c r="G828" s="6" t="s">
        <v>1739</v>
      </c>
      <c r="H828" s="6" t="s">
        <v>215</v>
      </c>
      <c r="I828" s="6" t="s">
        <v>417</v>
      </c>
      <c r="J828" s="6" t="s">
        <v>4098</v>
      </c>
      <c r="K828" s="6" t="s">
        <v>4105</v>
      </c>
      <c r="L828" s="6" t="s">
        <v>4100</v>
      </c>
      <c r="M828" s="6" t="s">
        <v>4101</v>
      </c>
      <c r="N828" s="6" t="s">
        <v>3905</v>
      </c>
      <c r="O828" s="6" t="s">
        <v>1744</v>
      </c>
      <c r="P828" s="6"/>
      <c r="Q828" s="8">
        <v>215</v>
      </c>
      <c r="R828" s="8">
        <v>215.64500000000001</v>
      </c>
      <c r="S828" s="8">
        <v>429.9</v>
      </c>
      <c r="T828" s="8">
        <v>14</v>
      </c>
      <c r="U828" s="8"/>
      <c r="V828" s="8">
        <f t="shared" si="12"/>
        <v>0</v>
      </c>
      <c r="W828" s="12">
        <f t="shared" si="13"/>
        <v>0</v>
      </c>
      <c r="Y828">
        <v>0</v>
      </c>
    </row>
    <row r="829" spans="1:25" ht="40" customHeight="1">
      <c r="A829" s="6" t="s">
        <v>4106</v>
      </c>
      <c r="B829" s="8" t="s">
        <v>4107</v>
      </c>
      <c r="C829" s="8" t="s">
        <v>4108</v>
      </c>
      <c r="D829" s="6" t="s">
        <v>27</v>
      </c>
      <c r="E829" s="8" t="s">
        <v>4109</v>
      </c>
      <c r="F829" s="6" t="s">
        <v>5</v>
      </c>
      <c r="G829" s="6" t="s">
        <v>1739</v>
      </c>
      <c r="H829" s="6" t="s">
        <v>215</v>
      </c>
      <c r="I829" s="6" t="s">
        <v>417</v>
      </c>
      <c r="J829" s="6" t="s">
        <v>4098</v>
      </c>
      <c r="K829" s="6" t="s">
        <v>4110</v>
      </c>
      <c r="L829" s="6" t="s">
        <v>4100</v>
      </c>
      <c r="M829" s="6" t="s">
        <v>4101</v>
      </c>
      <c r="N829" s="6" t="s">
        <v>3905</v>
      </c>
      <c r="O829" s="6" t="s">
        <v>1744</v>
      </c>
      <c r="P829" s="6"/>
      <c r="Q829" s="8">
        <v>215</v>
      </c>
      <c r="R829" s="8">
        <v>215.64500000000001</v>
      </c>
      <c r="S829" s="8">
        <v>429.9</v>
      </c>
      <c r="T829" s="8">
        <v>14</v>
      </c>
      <c r="U829" s="8"/>
      <c r="V829" s="8">
        <f t="shared" si="12"/>
        <v>0</v>
      </c>
      <c r="W829" s="12">
        <f t="shared" si="13"/>
        <v>0</v>
      </c>
      <c r="Y829">
        <v>0</v>
      </c>
    </row>
    <row r="830" spans="1:25" ht="40" customHeight="1">
      <c r="A830" s="6" t="s">
        <v>4111</v>
      </c>
      <c r="B830" s="8" t="s">
        <v>4112</v>
      </c>
      <c r="C830" s="8" t="s">
        <v>4108</v>
      </c>
      <c r="D830" s="6" t="s">
        <v>147</v>
      </c>
      <c r="E830" s="8" t="s">
        <v>4113</v>
      </c>
      <c r="F830" s="6" t="s">
        <v>5</v>
      </c>
      <c r="G830" s="6" t="s">
        <v>1739</v>
      </c>
      <c r="H830" s="6" t="s">
        <v>215</v>
      </c>
      <c r="I830" s="6" t="s">
        <v>417</v>
      </c>
      <c r="J830" s="6" t="s">
        <v>4098</v>
      </c>
      <c r="K830" s="6" t="s">
        <v>4110</v>
      </c>
      <c r="L830" s="6" t="s">
        <v>4100</v>
      </c>
      <c r="M830" s="6" t="s">
        <v>4101</v>
      </c>
      <c r="N830" s="6" t="s">
        <v>3905</v>
      </c>
      <c r="O830" s="6" t="s">
        <v>1744</v>
      </c>
      <c r="P830" s="6"/>
      <c r="Q830" s="8">
        <v>215</v>
      </c>
      <c r="R830" s="8">
        <v>215.64500000000001</v>
      </c>
      <c r="S830" s="8">
        <v>429.9</v>
      </c>
      <c r="T830" s="8">
        <v>14</v>
      </c>
      <c r="U830" s="8"/>
      <c r="V830" s="8">
        <f t="shared" si="12"/>
        <v>0</v>
      </c>
      <c r="W830" s="12">
        <f t="shared" si="13"/>
        <v>0</v>
      </c>
      <c r="Y830">
        <v>0</v>
      </c>
    </row>
    <row r="831" spans="1:25" ht="40" customHeight="1">
      <c r="A831" s="5" t="s">
        <v>4114</v>
      </c>
      <c r="B831" s="8" t="s">
        <v>4115</v>
      </c>
      <c r="C831" s="1" t="s">
        <v>4108</v>
      </c>
      <c r="D831" s="6" t="s">
        <v>89</v>
      </c>
      <c r="E831" s="1" t="s">
        <v>4116</v>
      </c>
      <c r="F831" s="6" t="s">
        <v>5</v>
      </c>
      <c r="G831" s="6" t="s">
        <v>1739</v>
      </c>
      <c r="H831" s="6" t="s">
        <v>215</v>
      </c>
      <c r="I831" s="6" t="s">
        <v>417</v>
      </c>
      <c r="J831" s="6" t="s">
        <v>4098</v>
      </c>
      <c r="K831" s="6" t="s">
        <v>4117</v>
      </c>
      <c r="L831" s="6" t="s">
        <v>4100</v>
      </c>
      <c r="M831" s="6" t="s">
        <v>4101</v>
      </c>
      <c r="N831" s="6" t="s">
        <v>3905</v>
      </c>
      <c r="O831" s="6" t="s">
        <v>1744</v>
      </c>
      <c r="P831" s="6"/>
      <c r="Q831" s="8">
        <v>215</v>
      </c>
      <c r="R831" s="8">
        <v>215.64500000000001</v>
      </c>
      <c r="S831" s="8">
        <v>429.9</v>
      </c>
      <c r="T831" s="8">
        <v>14</v>
      </c>
      <c r="U831" s="8"/>
      <c r="V831" s="8">
        <f t="shared" si="12"/>
        <v>0</v>
      </c>
      <c r="W831" s="12">
        <f t="shared" si="13"/>
        <v>0</v>
      </c>
      <c r="Y831">
        <v>0</v>
      </c>
    </row>
    <row r="832" spans="1:25" ht="40" customHeight="1">
      <c r="A832" s="5" t="s">
        <v>4118</v>
      </c>
      <c r="B832" s="6" t="s">
        <v>4119</v>
      </c>
      <c r="C832" s="6">
        <v>233023</v>
      </c>
      <c r="D832" s="6" t="s">
        <v>3525</v>
      </c>
      <c r="E832" s="6" t="s">
        <v>4120</v>
      </c>
      <c r="F832" s="6"/>
      <c r="G832" s="6" t="s">
        <v>1823</v>
      </c>
      <c r="H832" s="6" t="s">
        <v>4121</v>
      </c>
      <c r="I832" s="6" t="s">
        <v>417</v>
      </c>
      <c r="J832" s="6" t="s">
        <v>4122</v>
      </c>
      <c r="K832" s="6" t="s">
        <v>4123</v>
      </c>
      <c r="L832" s="6" t="s">
        <v>4124</v>
      </c>
      <c r="M832" s="6" t="s">
        <v>4125</v>
      </c>
      <c r="N832" s="6" t="s">
        <v>3905</v>
      </c>
      <c r="O832" s="6" t="s">
        <v>4126</v>
      </c>
      <c r="P832" s="6"/>
      <c r="Q832" s="8">
        <v>215</v>
      </c>
      <c r="R832" s="8">
        <v>215.64500000000001</v>
      </c>
      <c r="S832" s="8">
        <v>429.9</v>
      </c>
      <c r="T832" s="8">
        <v>14</v>
      </c>
      <c r="U832" s="8">
        <v>1</v>
      </c>
      <c r="V832" s="8">
        <f t="shared" si="12"/>
        <v>14</v>
      </c>
      <c r="W832" s="12">
        <f t="shared" si="13"/>
        <v>3019.03</v>
      </c>
      <c r="Y832">
        <v>1</v>
      </c>
    </row>
    <row r="833" spans="1:25" ht="40" customHeight="1">
      <c r="A833" s="5" t="s">
        <v>4127</v>
      </c>
      <c r="B833" s="6" t="s">
        <v>4128</v>
      </c>
      <c r="C833" s="6">
        <v>233023</v>
      </c>
      <c r="D833" s="6" t="s">
        <v>3239</v>
      </c>
      <c r="E833" s="6" t="s">
        <v>4129</v>
      </c>
      <c r="F833" s="6"/>
      <c r="G833" s="6" t="s">
        <v>1823</v>
      </c>
      <c r="H833" s="6" t="s">
        <v>4121</v>
      </c>
      <c r="I833" s="6" t="s">
        <v>417</v>
      </c>
      <c r="J833" s="6" t="s">
        <v>4122</v>
      </c>
      <c r="K833" s="6" t="s">
        <v>4130</v>
      </c>
      <c r="L833" s="6" t="s">
        <v>4124</v>
      </c>
      <c r="M833" s="6" t="s">
        <v>4125</v>
      </c>
      <c r="N833" s="6" t="s">
        <v>3905</v>
      </c>
      <c r="O833" s="6" t="s">
        <v>4126</v>
      </c>
      <c r="P833" s="6"/>
      <c r="Q833" s="8">
        <v>215</v>
      </c>
      <c r="R833" s="8">
        <v>215.64500000000001</v>
      </c>
      <c r="S833" s="8">
        <v>429.9</v>
      </c>
      <c r="T833" s="8">
        <v>14</v>
      </c>
      <c r="U833" s="8">
        <v>1</v>
      </c>
      <c r="V833" s="8">
        <f t="shared" si="12"/>
        <v>14</v>
      </c>
      <c r="W833" s="12">
        <f t="shared" si="13"/>
        <v>3019.03</v>
      </c>
      <c r="Y833">
        <v>1</v>
      </c>
    </row>
    <row r="834" spans="1:25" ht="40" customHeight="1">
      <c r="A834" s="5" t="s">
        <v>4131</v>
      </c>
      <c r="B834" s="6" t="s">
        <v>4132</v>
      </c>
      <c r="C834" s="6">
        <v>233023</v>
      </c>
      <c r="D834" s="6" t="s">
        <v>357</v>
      </c>
      <c r="E834" s="6" t="s">
        <v>4133</v>
      </c>
      <c r="F834" s="6"/>
      <c r="G834" s="6" t="s">
        <v>1823</v>
      </c>
      <c r="H834" s="6" t="s">
        <v>4121</v>
      </c>
      <c r="I834" s="6" t="s">
        <v>417</v>
      </c>
      <c r="J834" s="6" t="s">
        <v>4122</v>
      </c>
      <c r="K834" s="6" t="s">
        <v>4134</v>
      </c>
      <c r="L834" s="6" t="s">
        <v>4124</v>
      </c>
      <c r="M834" s="6" t="s">
        <v>4125</v>
      </c>
      <c r="N834" s="6" t="s">
        <v>3905</v>
      </c>
      <c r="O834" s="6" t="s">
        <v>4126</v>
      </c>
      <c r="P834" s="6"/>
      <c r="Q834" s="8">
        <v>215</v>
      </c>
      <c r="R834" s="8">
        <v>215.64500000000001</v>
      </c>
      <c r="S834" s="8">
        <v>429.9</v>
      </c>
      <c r="T834" s="8">
        <v>14</v>
      </c>
      <c r="U834" s="8">
        <v>1</v>
      </c>
      <c r="V834" s="8">
        <f t="shared" si="12"/>
        <v>14</v>
      </c>
      <c r="W834" s="12">
        <f t="shared" si="13"/>
        <v>3019.03</v>
      </c>
      <c r="Y834">
        <v>1</v>
      </c>
    </row>
    <row r="835" spans="1:25" ht="40" customHeight="1">
      <c r="A835" s="5" t="s">
        <v>4135</v>
      </c>
      <c r="B835" s="6" t="s">
        <v>4136</v>
      </c>
      <c r="C835" s="6">
        <v>233035</v>
      </c>
      <c r="D835" s="6" t="s">
        <v>27</v>
      </c>
      <c r="E835" s="6" t="s">
        <v>4137</v>
      </c>
      <c r="F835" s="6"/>
      <c r="G835" s="6" t="s">
        <v>4138</v>
      </c>
      <c r="H835" s="6" t="s">
        <v>4139</v>
      </c>
      <c r="I835" s="6" t="s">
        <v>417</v>
      </c>
      <c r="J835" s="6" t="s">
        <v>4140</v>
      </c>
      <c r="K835" s="6" t="s">
        <v>2917</v>
      </c>
      <c r="L835" s="6" t="s">
        <v>54</v>
      </c>
      <c r="M835" s="6" t="s">
        <v>54</v>
      </c>
      <c r="N835" s="6" t="s">
        <v>3905</v>
      </c>
      <c r="O835" s="6" t="s">
        <v>1549</v>
      </c>
      <c r="P835" s="6"/>
      <c r="Q835" s="8">
        <v>165</v>
      </c>
      <c r="R835" s="8">
        <v>165.495</v>
      </c>
      <c r="S835" s="8">
        <v>329.9</v>
      </c>
      <c r="T835" s="8">
        <v>14</v>
      </c>
      <c r="U835" s="8">
        <v>2</v>
      </c>
      <c r="V835" s="8">
        <f t="shared" si="12"/>
        <v>28</v>
      </c>
      <c r="W835" s="12">
        <f t="shared" si="13"/>
        <v>4633.8599999999997</v>
      </c>
      <c r="Y835">
        <v>2</v>
      </c>
    </row>
    <row r="836" spans="1:25" ht="40" customHeight="1">
      <c r="A836" s="5" t="s">
        <v>4141</v>
      </c>
      <c r="B836" s="6" t="s">
        <v>4142</v>
      </c>
      <c r="C836" s="6">
        <v>233035</v>
      </c>
      <c r="D836" s="6" t="s">
        <v>445</v>
      </c>
      <c r="E836" s="6" t="s">
        <v>4143</v>
      </c>
      <c r="F836" s="6"/>
      <c r="G836" s="6" t="s">
        <v>4138</v>
      </c>
      <c r="H836" s="6" t="s">
        <v>4139</v>
      </c>
      <c r="I836" s="6" t="s">
        <v>417</v>
      </c>
      <c r="J836" s="6" t="s">
        <v>4140</v>
      </c>
      <c r="K836" s="6" t="s">
        <v>4144</v>
      </c>
      <c r="L836" s="6" t="s">
        <v>54</v>
      </c>
      <c r="M836" s="6" t="s">
        <v>54</v>
      </c>
      <c r="N836" s="6" t="s">
        <v>3905</v>
      </c>
      <c r="O836" s="6" t="s">
        <v>1549</v>
      </c>
      <c r="P836" s="6"/>
      <c r="Q836" s="8">
        <v>165</v>
      </c>
      <c r="R836" s="8">
        <v>165.495</v>
      </c>
      <c r="S836" s="8">
        <v>329.9</v>
      </c>
      <c r="T836" s="8">
        <v>14</v>
      </c>
      <c r="U836" s="8">
        <v>1</v>
      </c>
      <c r="V836" s="8">
        <f t="shared" si="12"/>
        <v>14</v>
      </c>
      <c r="W836" s="12">
        <f t="shared" si="13"/>
        <v>2316.9299999999998</v>
      </c>
      <c r="Y836">
        <v>1</v>
      </c>
    </row>
    <row r="837" spans="1:25" ht="40" customHeight="1">
      <c r="A837" s="5" t="s">
        <v>4145</v>
      </c>
      <c r="B837" s="6" t="s">
        <v>4146</v>
      </c>
      <c r="C837" s="6">
        <v>233035</v>
      </c>
      <c r="D837" s="6" t="s">
        <v>3559</v>
      </c>
      <c r="E837" s="6" t="s">
        <v>4147</v>
      </c>
      <c r="F837" s="6"/>
      <c r="G837" s="6" t="s">
        <v>4138</v>
      </c>
      <c r="H837" s="6" t="s">
        <v>4139</v>
      </c>
      <c r="I837" s="6" t="s">
        <v>417</v>
      </c>
      <c r="J837" s="6" t="s">
        <v>4140</v>
      </c>
      <c r="K837" s="6" t="s">
        <v>4148</v>
      </c>
      <c r="L837" s="6" t="s">
        <v>54</v>
      </c>
      <c r="M837" s="6" t="s">
        <v>54</v>
      </c>
      <c r="N837" s="6" t="s">
        <v>3905</v>
      </c>
      <c r="O837" s="6" t="s">
        <v>1549</v>
      </c>
      <c r="P837" s="6"/>
      <c r="Q837" s="8">
        <v>165</v>
      </c>
      <c r="R837" s="8">
        <v>165.495</v>
      </c>
      <c r="S837" s="8">
        <v>329.9</v>
      </c>
      <c r="T837" s="8">
        <v>14</v>
      </c>
      <c r="U837" s="8">
        <v>1</v>
      </c>
      <c r="V837" s="8">
        <f t="shared" si="12"/>
        <v>14</v>
      </c>
      <c r="W837" s="12">
        <f t="shared" si="13"/>
        <v>2316.9299999999998</v>
      </c>
      <c r="Y837">
        <v>1</v>
      </c>
    </row>
    <row r="838" spans="1:25" ht="40" customHeight="1">
      <c r="A838" s="5" t="s">
        <v>4149</v>
      </c>
      <c r="B838" s="6" t="s">
        <v>4150</v>
      </c>
      <c r="C838" s="6">
        <v>233035</v>
      </c>
      <c r="D838" s="6" t="s">
        <v>109</v>
      </c>
      <c r="E838" s="6" t="s">
        <v>4151</v>
      </c>
      <c r="F838" s="6"/>
      <c r="G838" s="6" t="s">
        <v>4138</v>
      </c>
      <c r="H838" s="6" t="s">
        <v>4139</v>
      </c>
      <c r="I838" s="6" t="s">
        <v>417</v>
      </c>
      <c r="J838" s="6" t="s">
        <v>4140</v>
      </c>
      <c r="K838" s="6" t="s">
        <v>4152</v>
      </c>
      <c r="L838" s="6" t="s">
        <v>54</v>
      </c>
      <c r="M838" s="6" t="s">
        <v>54</v>
      </c>
      <c r="N838" s="6" t="s">
        <v>3905</v>
      </c>
      <c r="O838" s="6" t="s">
        <v>1549</v>
      </c>
      <c r="P838" s="6"/>
      <c r="Q838" s="8">
        <v>165</v>
      </c>
      <c r="R838" s="8">
        <v>165.495</v>
      </c>
      <c r="S838" s="8">
        <v>329.9</v>
      </c>
      <c r="T838" s="8">
        <v>14</v>
      </c>
      <c r="U838" s="8">
        <v>1</v>
      </c>
      <c r="V838" s="8">
        <f t="shared" si="12"/>
        <v>14</v>
      </c>
      <c r="W838" s="12">
        <f t="shared" si="13"/>
        <v>2316.9299999999998</v>
      </c>
      <c r="Y838">
        <v>1</v>
      </c>
    </row>
    <row r="839" spans="1:25" ht="40" customHeight="1">
      <c r="A839" s="5" t="s">
        <v>4153</v>
      </c>
      <c r="B839" s="6" t="s">
        <v>4154</v>
      </c>
      <c r="C839" s="6">
        <v>233037</v>
      </c>
      <c r="D839" s="6" t="s">
        <v>27</v>
      </c>
      <c r="E839" s="6" t="s">
        <v>4155</v>
      </c>
      <c r="F839" s="6"/>
      <c r="G839" s="6" t="s">
        <v>4156</v>
      </c>
      <c r="H839" s="6" t="s">
        <v>4157</v>
      </c>
      <c r="I839" s="6" t="s">
        <v>417</v>
      </c>
      <c r="J839" s="6" t="s">
        <v>4158</v>
      </c>
      <c r="K839" s="6" t="s">
        <v>4159</v>
      </c>
      <c r="L839" s="6" t="s">
        <v>54</v>
      </c>
      <c r="M839" s="6" t="s">
        <v>54</v>
      </c>
      <c r="N839" s="6" t="s">
        <v>3905</v>
      </c>
      <c r="O839" s="6" t="s">
        <v>4160</v>
      </c>
      <c r="P839" s="6"/>
      <c r="Q839" s="8">
        <v>150</v>
      </c>
      <c r="R839" s="8">
        <v>150.44999999999999</v>
      </c>
      <c r="S839" s="8">
        <v>299.89999999999998</v>
      </c>
      <c r="T839" s="8">
        <v>14</v>
      </c>
      <c r="U839" s="8">
        <v>2</v>
      </c>
      <c r="V839" s="8">
        <f t="shared" si="12"/>
        <v>28</v>
      </c>
      <c r="W839" s="12">
        <f t="shared" si="13"/>
        <v>4212.6000000000004</v>
      </c>
      <c r="Y839">
        <v>2</v>
      </c>
    </row>
    <row r="840" spans="1:25" ht="40" customHeight="1">
      <c r="A840" s="5" t="s">
        <v>4161</v>
      </c>
      <c r="B840" s="6" t="s">
        <v>4162</v>
      </c>
      <c r="C840" s="6">
        <v>233037</v>
      </c>
      <c r="D840" s="6" t="s">
        <v>3525</v>
      </c>
      <c r="E840" s="6" t="s">
        <v>4163</v>
      </c>
      <c r="F840" s="6"/>
      <c r="G840" s="6" t="s">
        <v>4156</v>
      </c>
      <c r="H840" s="6" t="s">
        <v>4157</v>
      </c>
      <c r="I840" s="6" t="s">
        <v>417</v>
      </c>
      <c r="J840" s="6" t="s">
        <v>4158</v>
      </c>
      <c r="K840" s="6" t="s">
        <v>4164</v>
      </c>
      <c r="L840" s="6" t="s">
        <v>54</v>
      </c>
      <c r="M840" s="6" t="s">
        <v>54</v>
      </c>
      <c r="N840" s="6" t="s">
        <v>3905</v>
      </c>
      <c r="O840" s="6" t="s">
        <v>4160</v>
      </c>
      <c r="P840" s="6"/>
      <c r="Q840" s="8">
        <v>150</v>
      </c>
      <c r="R840" s="8">
        <v>150.44999999999999</v>
      </c>
      <c r="S840" s="8">
        <v>299.89999999999998</v>
      </c>
      <c r="T840" s="8">
        <v>14</v>
      </c>
      <c r="U840" s="8">
        <v>2</v>
      </c>
      <c r="V840" s="8">
        <f t="shared" si="12"/>
        <v>28</v>
      </c>
      <c r="W840" s="12">
        <f t="shared" si="13"/>
        <v>4212.6000000000004</v>
      </c>
      <c r="X840">
        <f>VLOOKUP(E840,[1]Sheet2!$A:$C,3,FALSE)</f>
        <v>1</v>
      </c>
      <c r="Y840">
        <v>3</v>
      </c>
    </row>
    <row r="841" spans="1:25" ht="40" customHeight="1">
      <c r="A841" s="5" t="s">
        <v>4165</v>
      </c>
      <c r="B841" s="6" t="s">
        <v>4166</v>
      </c>
      <c r="C841" s="6">
        <v>233037</v>
      </c>
      <c r="D841" s="6" t="s">
        <v>937</v>
      </c>
      <c r="E841" s="6" t="s">
        <v>4167</v>
      </c>
      <c r="F841" s="6"/>
      <c r="G841" s="6" t="s">
        <v>4156</v>
      </c>
      <c r="H841" s="6" t="s">
        <v>4157</v>
      </c>
      <c r="I841" s="6" t="s">
        <v>417</v>
      </c>
      <c r="J841" s="6" t="s">
        <v>4158</v>
      </c>
      <c r="K841" s="8"/>
      <c r="L841" s="8"/>
      <c r="M841" s="8"/>
      <c r="N841" s="8"/>
      <c r="O841" s="8"/>
      <c r="P841" s="8"/>
      <c r="Q841" s="8">
        <v>150</v>
      </c>
      <c r="R841" s="8">
        <v>150.44999999999999</v>
      </c>
      <c r="S841" s="8">
        <v>299.89999999999998</v>
      </c>
      <c r="T841" s="8">
        <v>14</v>
      </c>
      <c r="U841" s="8"/>
      <c r="V841" s="8">
        <f t="shared" si="12"/>
        <v>0</v>
      </c>
      <c r="W841" s="12">
        <f t="shared" si="13"/>
        <v>0</v>
      </c>
      <c r="Y841">
        <v>0</v>
      </c>
    </row>
    <row r="842" spans="1:25" ht="40" customHeight="1">
      <c r="A842" s="5" t="s">
        <v>4168</v>
      </c>
      <c r="B842" s="6" t="s">
        <v>4169</v>
      </c>
      <c r="C842" s="6">
        <v>233037</v>
      </c>
      <c r="D842" s="6" t="s">
        <v>3559</v>
      </c>
      <c r="E842" s="6" t="s">
        <v>4170</v>
      </c>
      <c r="F842" s="6"/>
      <c r="G842" s="6" t="s">
        <v>4156</v>
      </c>
      <c r="H842" s="6" t="s">
        <v>4157</v>
      </c>
      <c r="I842" s="6" t="s">
        <v>417</v>
      </c>
      <c r="J842" s="6" t="s">
        <v>4158</v>
      </c>
      <c r="K842" s="6" t="s">
        <v>4171</v>
      </c>
      <c r="L842" s="6" t="s">
        <v>54</v>
      </c>
      <c r="M842" s="6" t="s">
        <v>54</v>
      </c>
      <c r="N842" s="6" t="s">
        <v>3905</v>
      </c>
      <c r="O842" s="6" t="s">
        <v>4160</v>
      </c>
      <c r="P842" s="6"/>
      <c r="Q842" s="8">
        <v>150</v>
      </c>
      <c r="R842" s="8">
        <v>150.44999999999999</v>
      </c>
      <c r="S842" s="8">
        <v>299.89999999999998</v>
      </c>
      <c r="T842" s="8">
        <v>14</v>
      </c>
      <c r="U842" s="8">
        <v>1</v>
      </c>
      <c r="V842" s="8">
        <f t="shared" si="12"/>
        <v>14</v>
      </c>
      <c r="W842" s="12">
        <f t="shared" si="13"/>
        <v>2106.3000000000002</v>
      </c>
      <c r="Y842">
        <v>1</v>
      </c>
    </row>
    <row r="843" spans="1:25" ht="40" customHeight="1">
      <c r="A843" s="5" t="s">
        <v>4172</v>
      </c>
      <c r="B843" s="6" t="s">
        <v>4173</v>
      </c>
      <c r="C843" s="6">
        <v>233045</v>
      </c>
      <c r="D843" s="6" t="s">
        <v>27</v>
      </c>
      <c r="E843" s="6" t="s">
        <v>4174</v>
      </c>
      <c r="F843" s="6"/>
      <c r="G843" s="6" t="s">
        <v>1486</v>
      </c>
      <c r="H843" s="6" t="s">
        <v>4175</v>
      </c>
      <c r="I843" s="6" t="s">
        <v>417</v>
      </c>
      <c r="J843" s="6" t="s">
        <v>4176</v>
      </c>
      <c r="K843" s="6" t="s">
        <v>4177</v>
      </c>
      <c r="L843" s="6" t="s">
        <v>437</v>
      </c>
      <c r="M843" s="6" t="s">
        <v>4178</v>
      </c>
      <c r="N843" s="6" t="s">
        <v>3905</v>
      </c>
      <c r="O843" s="6" t="s">
        <v>4179</v>
      </c>
      <c r="P843" s="6"/>
      <c r="Q843" s="8">
        <v>150</v>
      </c>
      <c r="R843" s="8">
        <v>150.44999999999999</v>
      </c>
      <c r="S843" s="8">
        <v>299.89999999999998</v>
      </c>
      <c r="T843" s="8">
        <v>14</v>
      </c>
      <c r="U843" s="8"/>
      <c r="V843" s="8">
        <f t="shared" si="12"/>
        <v>0</v>
      </c>
      <c r="W843" s="12">
        <f t="shared" si="13"/>
        <v>0</v>
      </c>
      <c r="Y843">
        <v>0</v>
      </c>
    </row>
    <row r="844" spans="1:25" ht="40" customHeight="1">
      <c r="A844" s="6" t="s">
        <v>4180</v>
      </c>
      <c r="B844" s="6" t="s">
        <v>4181</v>
      </c>
      <c r="C844" s="6">
        <v>233045</v>
      </c>
      <c r="D844" s="6" t="s">
        <v>3077</v>
      </c>
      <c r="E844" s="6" t="s">
        <v>4182</v>
      </c>
      <c r="F844" s="6"/>
      <c r="G844" s="6" t="s">
        <v>1486</v>
      </c>
      <c r="H844" s="6" t="s">
        <v>4175</v>
      </c>
      <c r="I844" s="6" t="s">
        <v>417</v>
      </c>
      <c r="J844" s="6" t="s">
        <v>4176</v>
      </c>
      <c r="K844" s="6" t="s">
        <v>4183</v>
      </c>
      <c r="L844" s="6" t="s">
        <v>437</v>
      </c>
      <c r="M844" s="6" t="s">
        <v>4178</v>
      </c>
      <c r="N844" s="6" t="s">
        <v>3905</v>
      </c>
      <c r="O844" s="6" t="s">
        <v>4179</v>
      </c>
      <c r="P844" s="6"/>
      <c r="Q844" s="8">
        <v>150</v>
      </c>
      <c r="R844" s="8">
        <v>150.44999999999999</v>
      </c>
      <c r="S844" s="8">
        <v>299.89999999999998</v>
      </c>
      <c r="T844" s="8">
        <v>14</v>
      </c>
      <c r="U844" s="8"/>
      <c r="V844" s="8">
        <f t="shared" si="12"/>
        <v>0</v>
      </c>
      <c r="W844" s="12">
        <f t="shared" si="13"/>
        <v>0</v>
      </c>
      <c r="Y844">
        <v>0</v>
      </c>
    </row>
    <row r="845" spans="1:25" ht="40" customHeight="1">
      <c r="A845" s="6" t="s">
        <v>4184</v>
      </c>
      <c r="B845" s="6" t="s">
        <v>4185</v>
      </c>
      <c r="C845" s="6" t="s">
        <v>4186</v>
      </c>
      <c r="D845" s="6" t="s">
        <v>3525</v>
      </c>
      <c r="E845" s="6" t="s">
        <v>4187</v>
      </c>
      <c r="F845" s="6" t="s">
        <v>5</v>
      </c>
      <c r="G845" s="6" t="s">
        <v>1486</v>
      </c>
      <c r="H845" s="6" t="s">
        <v>4175</v>
      </c>
      <c r="I845" s="6" t="s">
        <v>417</v>
      </c>
      <c r="J845" s="6" t="s">
        <v>4176</v>
      </c>
      <c r="K845" s="6" t="s">
        <v>4188</v>
      </c>
      <c r="L845" s="6" t="s">
        <v>437</v>
      </c>
      <c r="M845" s="6" t="s">
        <v>4178</v>
      </c>
      <c r="N845" s="6" t="s">
        <v>3905</v>
      </c>
      <c r="O845" s="6" t="s">
        <v>4189</v>
      </c>
      <c r="P845" s="6"/>
      <c r="Q845" s="8">
        <v>150</v>
      </c>
      <c r="R845" s="8">
        <v>150.44999999999999</v>
      </c>
      <c r="S845" s="8">
        <v>299.89999999999998</v>
      </c>
      <c r="T845" s="8">
        <v>14</v>
      </c>
      <c r="U845" s="8"/>
      <c r="V845" s="8">
        <f t="shared" si="12"/>
        <v>0</v>
      </c>
      <c r="W845" s="12">
        <f t="shared" si="13"/>
        <v>0</v>
      </c>
      <c r="Y845">
        <v>0</v>
      </c>
    </row>
    <row r="846" spans="1:25" ht="40" customHeight="1">
      <c r="A846" s="5" t="s">
        <v>4190</v>
      </c>
      <c r="B846" s="6" t="s">
        <v>4191</v>
      </c>
      <c r="C846" s="7">
        <v>233047</v>
      </c>
      <c r="D846" s="6" t="s">
        <v>4022</v>
      </c>
      <c r="E846" s="7" t="s">
        <v>4192</v>
      </c>
      <c r="F846" s="6"/>
      <c r="G846" s="6" t="s">
        <v>1486</v>
      </c>
      <c r="H846" s="6" t="s">
        <v>4193</v>
      </c>
      <c r="I846" s="6" t="s">
        <v>417</v>
      </c>
      <c r="J846" s="6" t="s">
        <v>4194</v>
      </c>
      <c r="K846" s="6" t="s">
        <v>4024</v>
      </c>
      <c r="L846" s="6" t="s">
        <v>1547</v>
      </c>
      <c r="M846" s="6" t="s">
        <v>4195</v>
      </c>
      <c r="N846" s="6" t="s">
        <v>3905</v>
      </c>
      <c r="O846" s="6" t="s">
        <v>4196</v>
      </c>
      <c r="P846" s="6"/>
      <c r="Q846" s="8">
        <v>150</v>
      </c>
      <c r="R846" s="8">
        <v>150.44999999999999</v>
      </c>
      <c r="S846" s="8">
        <v>299.89999999999998</v>
      </c>
      <c r="T846" s="8">
        <v>14</v>
      </c>
      <c r="U846" s="8"/>
      <c r="V846" s="8">
        <f t="shared" si="12"/>
        <v>0</v>
      </c>
      <c r="W846" s="12">
        <f t="shared" si="13"/>
        <v>0</v>
      </c>
      <c r="Y846">
        <v>0</v>
      </c>
    </row>
    <row r="847" spans="1:25" ht="40" customHeight="1">
      <c r="A847" s="6" t="s">
        <v>4197</v>
      </c>
      <c r="B847" s="6" t="s">
        <v>4198</v>
      </c>
      <c r="C847" s="7">
        <v>233047</v>
      </c>
      <c r="D847" s="6" t="s">
        <v>1842</v>
      </c>
      <c r="E847" s="7" t="s">
        <v>4199</v>
      </c>
      <c r="F847" s="6"/>
      <c r="G847" s="6" t="s">
        <v>1486</v>
      </c>
      <c r="H847" s="6" t="s">
        <v>4193</v>
      </c>
      <c r="I847" s="6" t="s">
        <v>417</v>
      </c>
      <c r="J847" s="6" t="s">
        <v>4194</v>
      </c>
      <c r="K847" s="6" t="s">
        <v>4200</v>
      </c>
      <c r="L847" s="6" t="s">
        <v>1547</v>
      </c>
      <c r="M847" s="6" t="s">
        <v>4195</v>
      </c>
      <c r="N847" s="6" t="s">
        <v>3905</v>
      </c>
      <c r="O847" s="6" t="s">
        <v>4196</v>
      </c>
      <c r="P847" s="6"/>
      <c r="Q847" s="8">
        <v>150</v>
      </c>
      <c r="R847" s="8">
        <v>150.44999999999999</v>
      </c>
      <c r="S847" s="8">
        <v>299.89999999999998</v>
      </c>
      <c r="T847" s="8">
        <v>14</v>
      </c>
      <c r="U847" s="8"/>
      <c r="V847" s="8">
        <f t="shared" si="12"/>
        <v>0</v>
      </c>
      <c r="W847" s="12">
        <f t="shared" si="13"/>
        <v>0</v>
      </c>
      <c r="Y847">
        <v>0</v>
      </c>
    </row>
    <row r="848" spans="1:25" ht="40" customHeight="1">
      <c r="A848" s="6" t="s">
        <v>4201</v>
      </c>
      <c r="B848" s="8" t="s">
        <v>4202</v>
      </c>
      <c r="C848" s="8" t="s">
        <v>4203</v>
      </c>
      <c r="D848" s="6" t="s">
        <v>27</v>
      </c>
      <c r="E848" s="8" t="s">
        <v>4204</v>
      </c>
      <c r="F848" s="6" t="s">
        <v>5</v>
      </c>
      <c r="G848" s="6" t="s">
        <v>1486</v>
      </c>
      <c r="H848" s="6" t="s">
        <v>4193</v>
      </c>
      <c r="I848" s="6" t="s">
        <v>417</v>
      </c>
      <c r="J848" s="6" t="s">
        <v>4194</v>
      </c>
      <c r="K848" s="6" t="s">
        <v>4205</v>
      </c>
      <c r="L848" s="6" t="s">
        <v>1547</v>
      </c>
      <c r="M848" s="6" t="s">
        <v>4195</v>
      </c>
      <c r="N848" s="6" t="s">
        <v>3905</v>
      </c>
      <c r="O848" s="6" t="s">
        <v>4196</v>
      </c>
      <c r="P848" s="6"/>
      <c r="Q848" s="8">
        <v>150</v>
      </c>
      <c r="R848" s="8">
        <v>150.44999999999999</v>
      </c>
      <c r="S848" s="8">
        <v>299.89999999999998</v>
      </c>
      <c r="T848" s="8">
        <v>14</v>
      </c>
      <c r="U848" s="8"/>
      <c r="V848" s="8">
        <f t="shared" si="12"/>
        <v>0</v>
      </c>
      <c r="W848" s="12">
        <f t="shared" si="13"/>
        <v>0</v>
      </c>
      <c r="Y848">
        <v>0</v>
      </c>
    </row>
    <row r="849" spans="1:25" ht="40" customHeight="1">
      <c r="A849" s="6" t="s">
        <v>4206</v>
      </c>
      <c r="B849" s="8" t="s">
        <v>4207</v>
      </c>
      <c r="C849" s="8" t="s">
        <v>4203</v>
      </c>
      <c r="D849" s="6" t="s">
        <v>64</v>
      </c>
      <c r="E849" s="8" t="s">
        <v>4208</v>
      </c>
      <c r="F849" s="6" t="s">
        <v>5</v>
      </c>
      <c r="G849" s="6" t="s">
        <v>1486</v>
      </c>
      <c r="H849" s="6" t="s">
        <v>4193</v>
      </c>
      <c r="I849" s="6" t="s">
        <v>417</v>
      </c>
      <c r="J849" s="6" t="s">
        <v>4194</v>
      </c>
      <c r="K849" s="6" t="s">
        <v>4209</v>
      </c>
      <c r="L849" s="6" t="s">
        <v>1547</v>
      </c>
      <c r="M849" s="6" t="s">
        <v>4195</v>
      </c>
      <c r="N849" s="6" t="s">
        <v>3905</v>
      </c>
      <c r="O849" s="6" t="s">
        <v>4196</v>
      </c>
      <c r="P849" s="6"/>
      <c r="Q849" s="8">
        <v>150</v>
      </c>
      <c r="R849" s="8">
        <v>150.44999999999999</v>
      </c>
      <c r="S849" s="8">
        <v>299.89999999999998</v>
      </c>
      <c r="T849" s="8">
        <v>14</v>
      </c>
      <c r="U849" s="8"/>
      <c r="V849" s="8">
        <f t="shared" si="12"/>
        <v>0</v>
      </c>
      <c r="W849" s="12">
        <f t="shared" si="13"/>
        <v>0</v>
      </c>
      <c r="Y849">
        <v>0</v>
      </c>
    </row>
    <row r="850" spans="1:25" ht="40" customHeight="1">
      <c r="A850" s="5" t="s">
        <v>4210</v>
      </c>
      <c r="B850" s="6" t="s">
        <v>4211</v>
      </c>
      <c r="C850" s="6">
        <v>233076</v>
      </c>
      <c r="D850" s="6" t="s">
        <v>3525</v>
      </c>
      <c r="E850" s="6" t="s">
        <v>4212</v>
      </c>
      <c r="F850" s="6"/>
      <c r="G850" s="6" t="s">
        <v>4213</v>
      </c>
      <c r="H850" s="6" t="s">
        <v>4214</v>
      </c>
      <c r="I850" s="6" t="s">
        <v>417</v>
      </c>
      <c r="J850" s="6" t="s">
        <v>4215</v>
      </c>
      <c r="K850" s="6" t="s">
        <v>4216</v>
      </c>
      <c r="L850" s="6" t="s">
        <v>1569</v>
      </c>
      <c r="M850" s="6" t="s">
        <v>4217</v>
      </c>
      <c r="N850" s="6" t="s">
        <v>3905</v>
      </c>
      <c r="O850" s="6" t="s">
        <v>1571</v>
      </c>
      <c r="P850" s="6"/>
      <c r="Q850" s="8">
        <v>150</v>
      </c>
      <c r="R850" s="8">
        <v>150.44999999999999</v>
      </c>
      <c r="S850" s="8">
        <v>299.89999999999998</v>
      </c>
      <c r="T850" s="8">
        <v>14</v>
      </c>
      <c r="U850" s="8"/>
      <c r="V850" s="8">
        <f t="shared" si="12"/>
        <v>0</v>
      </c>
      <c r="W850" s="12">
        <f t="shared" si="13"/>
        <v>0</v>
      </c>
      <c r="Y850">
        <v>0</v>
      </c>
    </row>
    <row r="851" spans="1:25" ht="40" customHeight="1">
      <c r="A851" s="6" t="s">
        <v>4218</v>
      </c>
      <c r="B851" s="6" t="s">
        <v>4219</v>
      </c>
      <c r="C851" s="6">
        <v>233076</v>
      </c>
      <c r="D851" s="6" t="s">
        <v>74</v>
      </c>
      <c r="E851" s="6" t="s">
        <v>4220</v>
      </c>
      <c r="F851" s="6"/>
      <c r="G851" s="6" t="s">
        <v>4213</v>
      </c>
      <c r="H851" s="6" t="s">
        <v>4214</v>
      </c>
      <c r="I851" s="6" t="s">
        <v>417</v>
      </c>
      <c r="J851" s="6" t="s">
        <v>4215</v>
      </c>
      <c r="K851" s="6" t="s">
        <v>4221</v>
      </c>
      <c r="L851" s="6" t="s">
        <v>1569</v>
      </c>
      <c r="M851" s="6" t="s">
        <v>4217</v>
      </c>
      <c r="N851" s="6" t="s">
        <v>3905</v>
      </c>
      <c r="O851" s="6" t="s">
        <v>1571</v>
      </c>
      <c r="P851" s="6"/>
      <c r="Q851" s="8">
        <v>150</v>
      </c>
      <c r="R851" s="8">
        <v>150.44999999999999</v>
      </c>
      <c r="S851" s="8">
        <v>299.89999999999998</v>
      </c>
      <c r="T851" s="8">
        <v>14</v>
      </c>
      <c r="U851" s="8"/>
      <c r="V851" s="8">
        <f t="shared" si="12"/>
        <v>0</v>
      </c>
      <c r="W851" s="12">
        <f t="shared" si="13"/>
        <v>0</v>
      </c>
      <c r="Y851">
        <v>0</v>
      </c>
    </row>
    <row r="852" spans="1:25" ht="40" customHeight="1">
      <c r="A852" s="6" t="s">
        <v>4222</v>
      </c>
      <c r="B852" s="6" t="s">
        <v>4223</v>
      </c>
      <c r="C852" s="6">
        <v>233076</v>
      </c>
      <c r="D852" s="6" t="s">
        <v>200</v>
      </c>
      <c r="E852" s="6" t="s">
        <v>4224</v>
      </c>
      <c r="F852" s="6"/>
      <c r="G852" s="6" t="s">
        <v>4213</v>
      </c>
      <c r="H852" s="6" t="s">
        <v>4214</v>
      </c>
      <c r="I852" s="6" t="s">
        <v>417</v>
      </c>
      <c r="J852" s="6" t="s">
        <v>4215</v>
      </c>
      <c r="K852" s="6" t="s">
        <v>4225</v>
      </c>
      <c r="L852" s="6" t="s">
        <v>1569</v>
      </c>
      <c r="M852" s="6" t="s">
        <v>4217</v>
      </c>
      <c r="N852" s="6" t="s">
        <v>3905</v>
      </c>
      <c r="O852" s="6" t="s">
        <v>1571</v>
      </c>
      <c r="P852" s="6"/>
      <c r="Q852" s="8">
        <v>150</v>
      </c>
      <c r="R852" s="8">
        <v>150.44999999999999</v>
      </c>
      <c r="S852" s="8">
        <v>299.89999999999998</v>
      </c>
      <c r="T852" s="8">
        <v>14</v>
      </c>
      <c r="U852" s="8"/>
      <c r="V852" s="8">
        <f t="shared" si="12"/>
        <v>0</v>
      </c>
      <c r="W852" s="12">
        <f t="shared" si="13"/>
        <v>0</v>
      </c>
      <c r="X852">
        <f>VLOOKUP(E852,[1]Sheet2!$A:$C,3,FALSE)</f>
        <v>1</v>
      </c>
      <c r="Y852">
        <v>1</v>
      </c>
    </row>
    <row r="853" spans="1:25" ht="40" customHeight="1">
      <c r="A853" s="5" t="s">
        <v>4226</v>
      </c>
      <c r="B853" s="6" t="s">
        <v>4227</v>
      </c>
      <c r="C853" s="6">
        <v>233110</v>
      </c>
      <c r="D853" s="6" t="s">
        <v>4228</v>
      </c>
      <c r="E853" s="6" t="s">
        <v>4229</v>
      </c>
      <c r="F853" s="6"/>
      <c r="G853" s="6" t="s">
        <v>1966</v>
      </c>
      <c r="H853" s="6" t="s">
        <v>215</v>
      </c>
      <c r="I853" s="6" t="s">
        <v>417</v>
      </c>
      <c r="J853" s="6" t="s">
        <v>4230</v>
      </c>
      <c r="K853" s="6" t="s">
        <v>4231</v>
      </c>
      <c r="L853" s="6" t="s">
        <v>4232</v>
      </c>
      <c r="M853" s="6" t="s">
        <v>4233</v>
      </c>
      <c r="N853" s="6" t="s">
        <v>3905</v>
      </c>
      <c r="O853" s="6" t="s">
        <v>1971</v>
      </c>
      <c r="P853" s="6"/>
      <c r="Q853" s="8">
        <v>200</v>
      </c>
      <c r="R853" s="8">
        <v>200.6</v>
      </c>
      <c r="S853" s="8">
        <v>399.9</v>
      </c>
      <c r="T853" s="8">
        <v>14</v>
      </c>
      <c r="U853" s="8"/>
      <c r="V853" s="8">
        <f t="shared" si="12"/>
        <v>0</v>
      </c>
      <c r="W853" s="12">
        <f t="shared" si="13"/>
        <v>0</v>
      </c>
      <c r="Y853">
        <v>0</v>
      </c>
    </row>
    <row r="854" spans="1:25" ht="40" customHeight="1">
      <c r="A854" s="5" t="s">
        <v>4234</v>
      </c>
      <c r="B854" s="6" t="s">
        <v>4235</v>
      </c>
      <c r="C854" s="6">
        <v>233110</v>
      </c>
      <c r="D854" s="6" t="s">
        <v>3846</v>
      </c>
      <c r="E854" s="6" t="s">
        <v>4236</v>
      </c>
      <c r="F854" s="6"/>
      <c r="G854" s="6" t="s">
        <v>1966</v>
      </c>
      <c r="H854" s="6" t="s">
        <v>215</v>
      </c>
      <c r="I854" s="6" t="s">
        <v>417</v>
      </c>
      <c r="J854" s="6" t="s">
        <v>4230</v>
      </c>
      <c r="K854" s="6" t="s">
        <v>4237</v>
      </c>
      <c r="L854" s="6" t="s">
        <v>4232</v>
      </c>
      <c r="M854" s="6" t="s">
        <v>4233</v>
      </c>
      <c r="N854" s="6" t="s">
        <v>3905</v>
      </c>
      <c r="O854" s="6" t="s">
        <v>1971</v>
      </c>
      <c r="P854" s="6"/>
      <c r="Q854" s="8">
        <v>200</v>
      </c>
      <c r="R854" s="8">
        <v>200.6</v>
      </c>
      <c r="S854" s="8">
        <v>399.9</v>
      </c>
      <c r="T854" s="8">
        <v>14</v>
      </c>
      <c r="U854" s="8">
        <v>1</v>
      </c>
      <c r="V854" s="8">
        <f t="shared" si="12"/>
        <v>14</v>
      </c>
      <c r="W854" s="12">
        <f t="shared" si="13"/>
        <v>2808.4</v>
      </c>
      <c r="Y854">
        <v>1</v>
      </c>
    </row>
    <row r="855" spans="1:25" ht="40" customHeight="1">
      <c r="A855" s="5" t="s">
        <v>4238</v>
      </c>
      <c r="B855" s="6" t="s">
        <v>4239</v>
      </c>
      <c r="C855" s="6">
        <v>233110</v>
      </c>
      <c r="D855" s="6" t="s">
        <v>4240</v>
      </c>
      <c r="E855" s="6" t="s">
        <v>4241</v>
      </c>
      <c r="F855" s="6"/>
      <c r="G855" s="6" t="s">
        <v>1966</v>
      </c>
      <c r="H855" s="6" t="s">
        <v>215</v>
      </c>
      <c r="I855" s="6" t="s">
        <v>417</v>
      </c>
      <c r="J855" s="6" t="s">
        <v>4230</v>
      </c>
      <c r="K855" s="6" t="s">
        <v>4242</v>
      </c>
      <c r="L855" s="6" t="s">
        <v>4232</v>
      </c>
      <c r="M855" s="6" t="s">
        <v>4233</v>
      </c>
      <c r="N855" s="6" t="s">
        <v>3905</v>
      </c>
      <c r="O855" s="6" t="s">
        <v>1971</v>
      </c>
      <c r="P855" s="6"/>
      <c r="Q855" s="8">
        <v>200</v>
      </c>
      <c r="R855" s="8">
        <v>200.6</v>
      </c>
      <c r="S855" s="8">
        <v>399.9</v>
      </c>
      <c r="T855" s="8">
        <v>14</v>
      </c>
      <c r="U855" s="8">
        <v>1</v>
      </c>
      <c r="V855" s="8">
        <f t="shared" si="12"/>
        <v>14</v>
      </c>
      <c r="W855" s="12">
        <f t="shared" si="13"/>
        <v>2808.4</v>
      </c>
      <c r="Y855">
        <v>1</v>
      </c>
    </row>
    <row r="856" spans="1:25" ht="40" customHeight="1">
      <c r="A856" s="5" t="s">
        <v>4243</v>
      </c>
      <c r="B856" s="6" t="s">
        <v>4244</v>
      </c>
      <c r="C856" s="6">
        <v>233113</v>
      </c>
      <c r="D856" s="6" t="s">
        <v>27</v>
      </c>
      <c r="E856" s="6" t="s">
        <v>4245</v>
      </c>
      <c r="F856" s="6"/>
      <c r="G856" s="6" t="s">
        <v>1966</v>
      </c>
      <c r="H856" s="6" t="s">
        <v>4246</v>
      </c>
      <c r="I856" s="6" t="s">
        <v>417</v>
      </c>
      <c r="J856" s="6" t="s">
        <v>4247</v>
      </c>
      <c r="K856" s="6" t="s">
        <v>4110</v>
      </c>
      <c r="L856" s="6" t="s">
        <v>54</v>
      </c>
      <c r="M856" s="6" t="s">
        <v>54</v>
      </c>
      <c r="N856" s="6" t="s">
        <v>3905</v>
      </c>
      <c r="O856" s="6" t="s">
        <v>4248</v>
      </c>
      <c r="P856" s="6"/>
      <c r="Q856" s="8">
        <v>175</v>
      </c>
      <c r="R856" s="8">
        <v>175.52500000000001</v>
      </c>
      <c r="S856" s="8">
        <v>349.9</v>
      </c>
      <c r="T856" s="8">
        <v>14</v>
      </c>
      <c r="U856" s="8">
        <v>1</v>
      </c>
      <c r="V856" s="8">
        <f t="shared" si="12"/>
        <v>14</v>
      </c>
      <c r="W856" s="12">
        <f t="shared" si="13"/>
        <v>2457.35</v>
      </c>
      <c r="Y856">
        <v>1</v>
      </c>
    </row>
    <row r="857" spans="1:25" ht="40" customHeight="1">
      <c r="A857" s="5" t="s">
        <v>4249</v>
      </c>
      <c r="B857" s="6" t="s">
        <v>4250</v>
      </c>
      <c r="C857" s="6">
        <v>233113</v>
      </c>
      <c r="D857" s="6" t="s">
        <v>195</v>
      </c>
      <c r="E857" s="6" t="s">
        <v>4251</v>
      </c>
      <c r="F857" s="6"/>
      <c r="G857" s="6" t="s">
        <v>1966</v>
      </c>
      <c r="H857" s="6" t="s">
        <v>4246</v>
      </c>
      <c r="I857" s="6" t="s">
        <v>417</v>
      </c>
      <c r="J857" s="6" t="s">
        <v>4247</v>
      </c>
      <c r="K857" s="6" t="s">
        <v>4252</v>
      </c>
      <c r="L857" s="6" t="s">
        <v>54</v>
      </c>
      <c r="M857" s="6" t="s">
        <v>54</v>
      </c>
      <c r="N857" s="6" t="s">
        <v>3905</v>
      </c>
      <c r="O857" s="6" t="s">
        <v>4248</v>
      </c>
      <c r="P857" s="6"/>
      <c r="Q857" s="8">
        <v>175</v>
      </c>
      <c r="R857" s="8">
        <v>175.52500000000001</v>
      </c>
      <c r="S857" s="8">
        <v>349.9</v>
      </c>
      <c r="T857" s="8">
        <v>14</v>
      </c>
      <c r="U857" s="8"/>
      <c r="V857" s="8">
        <f t="shared" si="12"/>
        <v>0</v>
      </c>
      <c r="W857" s="12">
        <f t="shared" si="13"/>
        <v>0</v>
      </c>
      <c r="Y857">
        <v>0</v>
      </c>
    </row>
    <row r="858" spans="1:25" ht="40" customHeight="1">
      <c r="A858" s="5" t="s">
        <v>4253</v>
      </c>
      <c r="B858" s="6" t="s">
        <v>4254</v>
      </c>
      <c r="C858" s="6">
        <v>233113</v>
      </c>
      <c r="D858" s="6" t="s">
        <v>3995</v>
      </c>
      <c r="E858" s="6" t="s">
        <v>4255</v>
      </c>
      <c r="F858" s="6"/>
      <c r="G858" s="6" t="s">
        <v>1966</v>
      </c>
      <c r="H858" s="6" t="s">
        <v>4246</v>
      </c>
      <c r="I858" s="6" t="s">
        <v>417</v>
      </c>
      <c r="J858" s="6" t="s">
        <v>4247</v>
      </c>
      <c r="K858" s="6" t="s">
        <v>4256</v>
      </c>
      <c r="L858" s="6" t="s">
        <v>54</v>
      </c>
      <c r="M858" s="6" t="s">
        <v>54</v>
      </c>
      <c r="N858" s="6" t="s">
        <v>3905</v>
      </c>
      <c r="O858" s="6" t="s">
        <v>4248</v>
      </c>
      <c r="P858" s="6"/>
      <c r="Q858" s="8">
        <v>175</v>
      </c>
      <c r="R858" s="8">
        <v>175.52500000000001</v>
      </c>
      <c r="S858" s="8">
        <v>349.9</v>
      </c>
      <c r="T858" s="8">
        <v>14</v>
      </c>
      <c r="U858" s="8"/>
      <c r="V858" s="8">
        <f t="shared" si="12"/>
        <v>0</v>
      </c>
      <c r="W858" s="12">
        <f t="shared" si="13"/>
        <v>0</v>
      </c>
      <c r="Y858">
        <v>0</v>
      </c>
    </row>
    <row r="859" spans="1:25" ht="40" customHeight="1">
      <c r="A859" s="5" t="s">
        <v>4257</v>
      </c>
      <c r="B859" s="6" t="s">
        <v>4258</v>
      </c>
      <c r="C859" s="6">
        <v>233132</v>
      </c>
      <c r="D859" s="6" t="s">
        <v>3984</v>
      </c>
      <c r="E859" s="6" t="s">
        <v>4259</v>
      </c>
      <c r="F859" s="6"/>
      <c r="G859" s="6" t="s">
        <v>1739</v>
      </c>
      <c r="H859" s="6" t="s">
        <v>4260</v>
      </c>
      <c r="I859" s="6" t="s">
        <v>417</v>
      </c>
      <c r="J859" s="6" t="s">
        <v>4261</v>
      </c>
      <c r="K859" s="6" t="s">
        <v>4262</v>
      </c>
      <c r="L859" s="6" t="s">
        <v>4263</v>
      </c>
      <c r="M859" s="6" t="s">
        <v>1805</v>
      </c>
      <c r="N859" s="6" t="s">
        <v>3905</v>
      </c>
      <c r="O859" s="6" t="s">
        <v>1806</v>
      </c>
      <c r="P859" s="6"/>
      <c r="Q859" s="8">
        <v>175</v>
      </c>
      <c r="R859" s="8">
        <v>175.52500000000001</v>
      </c>
      <c r="S859" s="8">
        <v>349.9</v>
      </c>
      <c r="T859" s="8">
        <v>14</v>
      </c>
      <c r="U859" s="8"/>
      <c r="V859" s="8">
        <f t="shared" si="12"/>
        <v>0</v>
      </c>
      <c r="W859" s="12">
        <f t="shared" si="13"/>
        <v>0</v>
      </c>
      <c r="Y859">
        <v>0</v>
      </c>
    </row>
    <row r="860" spans="1:25" ht="40" customHeight="1">
      <c r="A860" s="5" t="s">
        <v>4264</v>
      </c>
      <c r="B860" s="6" t="s">
        <v>4265</v>
      </c>
      <c r="C860" s="6">
        <v>233132</v>
      </c>
      <c r="D860" s="6" t="s">
        <v>3525</v>
      </c>
      <c r="E860" s="6" t="s">
        <v>4266</v>
      </c>
      <c r="F860" s="6"/>
      <c r="G860" s="6" t="s">
        <v>1739</v>
      </c>
      <c r="H860" s="6" t="s">
        <v>4260</v>
      </c>
      <c r="I860" s="6" t="s">
        <v>417</v>
      </c>
      <c r="J860" s="6" t="s">
        <v>4261</v>
      </c>
      <c r="K860" s="6" t="s">
        <v>4267</v>
      </c>
      <c r="L860" s="6" t="s">
        <v>4263</v>
      </c>
      <c r="M860" s="6" t="s">
        <v>1805</v>
      </c>
      <c r="N860" s="6" t="s">
        <v>3905</v>
      </c>
      <c r="O860" s="6" t="s">
        <v>1806</v>
      </c>
      <c r="P860" s="6"/>
      <c r="Q860" s="8">
        <v>175</v>
      </c>
      <c r="R860" s="8">
        <v>175.52500000000001</v>
      </c>
      <c r="S860" s="8">
        <v>349.9</v>
      </c>
      <c r="T860" s="8">
        <v>14</v>
      </c>
      <c r="U860" s="8">
        <v>1</v>
      </c>
      <c r="V860" s="8">
        <f t="shared" si="12"/>
        <v>14</v>
      </c>
      <c r="W860" s="12">
        <f t="shared" si="13"/>
        <v>2457.35</v>
      </c>
      <c r="Y860">
        <v>1</v>
      </c>
    </row>
    <row r="861" spans="1:25" ht="40" customHeight="1">
      <c r="A861" s="5" t="s">
        <v>4268</v>
      </c>
      <c r="B861" s="6" t="s">
        <v>4269</v>
      </c>
      <c r="C861" s="6">
        <v>233132</v>
      </c>
      <c r="D861" s="6" t="s">
        <v>64</v>
      </c>
      <c r="E861" s="6" t="s">
        <v>4270</v>
      </c>
      <c r="F861" s="6"/>
      <c r="G861" s="6" t="s">
        <v>1739</v>
      </c>
      <c r="H861" s="6" t="s">
        <v>4260</v>
      </c>
      <c r="I861" s="6" t="s">
        <v>417</v>
      </c>
      <c r="J861" s="6" t="s">
        <v>4261</v>
      </c>
      <c r="K861" s="6" t="s">
        <v>4271</v>
      </c>
      <c r="L861" s="6" t="s">
        <v>4263</v>
      </c>
      <c r="M861" s="6" t="s">
        <v>1805</v>
      </c>
      <c r="N861" s="6" t="s">
        <v>3905</v>
      </c>
      <c r="O861" s="6" t="s">
        <v>1806</v>
      </c>
      <c r="P861" s="6"/>
      <c r="Q861" s="8">
        <v>175</v>
      </c>
      <c r="R861" s="8">
        <v>175.52500000000001</v>
      </c>
      <c r="S861" s="8">
        <v>349.9</v>
      </c>
      <c r="T861" s="8">
        <v>14</v>
      </c>
      <c r="U861" s="8">
        <v>1</v>
      </c>
      <c r="V861" s="8">
        <f t="shared" si="12"/>
        <v>14</v>
      </c>
      <c r="W861" s="12">
        <f t="shared" si="13"/>
        <v>2457.35</v>
      </c>
      <c r="Y861">
        <v>1</v>
      </c>
    </row>
    <row r="862" spans="1:25" ht="40" customHeight="1">
      <c r="A862" s="5" t="s">
        <v>4272</v>
      </c>
      <c r="B862" s="6" t="s">
        <v>4273</v>
      </c>
      <c r="C862" s="6">
        <v>233132</v>
      </c>
      <c r="D862" s="6" t="s">
        <v>3619</v>
      </c>
      <c r="E862" s="6" t="s">
        <v>4274</v>
      </c>
      <c r="F862" s="6"/>
      <c r="G862" s="6" t="s">
        <v>1739</v>
      </c>
      <c r="H862" s="6" t="s">
        <v>4260</v>
      </c>
      <c r="I862" s="6" t="s">
        <v>417</v>
      </c>
      <c r="J862" s="6" t="s">
        <v>4261</v>
      </c>
      <c r="K862" s="6" t="s">
        <v>4275</v>
      </c>
      <c r="L862" s="6" t="s">
        <v>4263</v>
      </c>
      <c r="M862" s="6" t="s">
        <v>1805</v>
      </c>
      <c r="N862" s="6" t="s">
        <v>3905</v>
      </c>
      <c r="O862" s="6" t="s">
        <v>1806</v>
      </c>
      <c r="P862" s="6"/>
      <c r="Q862" s="8">
        <v>175</v>
      </c>
      <c r="R862" s="8">
        <v>175.52500000000001</v>
      </c>
      <c r="S862" s="8">
        <v>349.9</v>
      </c>
      <c r="T862" s="8">
        <v>14</v>
      </c>
      <c r="U862" s="8">
        <v>1</v>
      </c>
      <c r="V862" s="8">
        <f t="shared" si="12"/>
        <v>14</v>
      </c>
      <c r="W862" s="12">
        <f t="shared" si="13"/>
        <v>2457.35</v>
      </c>
      <c r="Y862">
        <v>1</v>
      </c>
    </row>
    <row r="863" spans="1:25" ht="40" customHeight="1">
      <c r="A863" s="5" t="s">
        <v>4276</v>
      </c>
      <c r="B863" s="6" t="s">
        <v>4277</v>
      </c>
      <c r="C863" s="6">
        <v>233132</v>
      </c>
      <c r="D863" s="6" t="s">
        <v>2406</v>
      </c>
      <c r="E863" s="6" t="s">
        <v>4278</v>
      </c>
      <c r="F863" s="6"/>
      <c r="G863" s="6" t="s">
        <v>1739</v>
      </c>
      <c r="H863" s="6" t="s">
        <v>4260</v>
      </c>
      <c r="I863" s="6" t="s">
        <v>417</v>
      </c>
      <c r="J863" s="6" t="s">
        <v>4261</v>
      </c>
      <c r="K863" s="6" t="s">
        <v>4279</v>
      </c>
      <c r="L863" s="6" t="s">
        <v>4263</v>
      </c>
      <c r="M863" s="6" t="s">
        <v>1805</v>
      </c>
      <c r="N863" s="6" t="s">
        <v>3905</v>
      </c>
      <c r="O863" s="6" t="s">
        <v>1806</v>
      </c>
      <c r="P863" s="6"/>
      <c r="Q863" s="8">
        <v>175</v>
      </c>
      <c r="R863" s="8">
        <v>175.52500000000001</v>
      </c>
      <c r="S863" s="8">
        <v>349.9</v>
      </c>
      <c r="T863" s="8">
        <v>14</v>
      </c>
      <c r="U863" s="8"/>
      <c r="V863" s="8">
        <f t="shared" si="12"/>
        <v>0</v>
      </c>
      <c r="W863" s="12">
        <f t="shared" si="13"/>
        <v>0</v>
      </c>
      <c r="Y863">
        <v>0</v>
      </c>
    </row>
    <row r="864" spans="1:25" ht="40" customHeight="1">
      <c r="A864" s="5" t="s">
        <v>4280</v>
      </c>
      <c r="B864" s="6" t="s">
        <v>4281</v>
      </c>
      <c r="C864" s="6">
        <v>233132</v>
      </c>
      <c r="D864" s="6" t="s">
        <v>45</v>
      </c>
      <c r="E864" s="6" t="s">
        <v>4282</v>
      </c>
      <c r="F864" s="6"/>
      <c r="G864" s="6" t="s">
        <v>1739</v>
      </c>
      <c r="H864" s="6" t="s">
        <v>4260</v>
      </c>
      <c r="I864" s="6" t="s">
        <v>417</v>
      </c>
      <c r="J864" s="6" t="s">
        <v>4261</v>
      </c>
      <c r="K864" s="6" t="s">
        <v>4283</v>
      </c>
      <c r="L864" s="6" t="s">
        <v>4263</v>
      </c>
      <c r="M864" s="6" t="s">
        <v>1805</v>
      </c>
      <c r="N864" s="6" t="s">
        <v>3905</v>
      </c>
      <c r="O864" s="6" t="s">
        <v>1806</v>
      </c>
      <c r="P864" s="6"/>
      <c r="Q864" s="8">
        <v>175</v>
      </c>
      <c r="R864" s="8">
        <v>175.52500000000001</v>
      </c>
      <c r="S864" s="8">
        <v>349.9</v>
      </c>
      <c r="T864" s="8">
        <v>14</v>
      </c>
      <c r="U864" s="8">
        <v>1</v>
      </c>
      <c r="V864" s="8">
        <f t="shared" si="12"/>
        <v>14</v>
      </c>
      <c r="W864" s="12">
        <f t="shared" si="13"/>
        <v>2457.35</v>
      </c>
      <c r="Y864">
        <v>1</v>
      </c>
    </row>
    <row r="865" spans="1:25" ht="40" customHeight="1">
      <c r="A865" s="5" t="s">
        <v>4284</v>
      </c>
      <c r="B865" s="6" t="s">
        <v>4285</v>
      </c>
      <c r="C865" s="6">
        <v>233132</v>
      </c>
      <c r="D865" s="6" t="s">
        <v>1690</v>
      </c>
      <c r="E865" s="6" t="s">
        <v>4286</v>
      </c>
      <c r="F865" s="6"/>
      <c r="G865" s="6" t="s">
        <v>1739</v>
      </c>
      <c r="H865" s="6" t="s">
        <v>4260</v>
      </c>
      <c r="I865" s="6" t="s">
        <v>417</v>
      </c>
      <c r="J865" s="6" t="s">
        <v>4261</v>
      </c>
      <c r="K865" s="6" t="s">
        <v>4287</v>
      </c>
      <c r="L865" s="6" t="s">
        <v>4263</v>
      </c>
      <c r="M865" s="6" t="s">
        <v>1805</v>
      </c>
      <c r="N865" s="6" t="s">
        <v>3905</v>
      </c>
      <c r="O865" s="6" t="s">
        <v>1806</v>
      </c>
      <c r="P865" s="6"/>
      <c r="Q865" s="8">
        <v>175</v>
      </c>
      <c r="R865" s="8">
        <v>175.52500000000001</v>
      </c>
      <c r="S865" s="8">
        <v>349.9</v>
      </c>
      <c r="T865" s="8">
        <v>14</v>
      </c>
      <c r="U865" s="8"/>
      <c r="V865" s="8">
        <f t="shared" si="12"/>
        <v>0</v>
      </c>
      <c r="W865" s="12">
        <f t="shared" si="13"/>
        <v>0</v>
      </c>
      <c r="Y865">
        <v>0</v>
      </c>
    </row>
    <row r="866" spans="1:25" ht="40" customHeight="1">
      <c r="A866" s="5" t="s">
        <v>4288</v>
      </c>
      <c r="B866" s="6" t="s">
        <v>4289</v>
      </c>
      <c r="C866" s="6">
        <v>233133</v>
      </c>
      <c r="D866" s="6" t="s">
        <v>27</v>
      </c>
      <c r="E866" s="6" t="s">
        <v>4290</v>
      </c>
      <c r="F866" s="6"/>
      <c r="G866" s="6" t="s">
        <v>1739</v>
      </c>
      <c r="H866" s="6" t="s">
        <v>4291</v>
      </c>
      <c r="I866" s="6" t="s">
        <v>417</v>
      </c>
      <c r="J866" s="6" t="s">
        <v>4292</v>
      </c>
      <c r="K866" s="6" t="s">
        <v>33</v>
      </c>
      <c r="L866" s="6" t="s">
        <v>54</v>
      </c>
      <c r="M866" s="6" t="s">
        <v>54</v>
      </c>
      <c r="N866" s="6" t="s">
        <v>3905</v>
      </c>
      <c r="O866" s="6" t="s">
        <v>55</v>
      </c>
      <c r="P866" s="6"/>
      <c r="Q866" s="8">
        <v>175</v>
      </c>
      <c r="R866" s="8">
        <v>175.52500000000001</v>
      </c>
      <c r="S866" s="8">
        <v>349.9</v>
      </c>
      <c r="T866" s="8">
        <v>14</v>
      </c>
      <c r="U866" s="8"/>
      <c r="V866" s="8">
        <f t="shared" si="12"/>
        <v>0</v>
      </c>
      <c r="W866" s="12">
        <f t="shared" si="13"/>
        <v>0</v>
      </c>
      <c r="Y866">
        <v>0</v>
      </c>
    </row>
    <row r="867" spans="1:25" ht="40" customHeight="1">
      <c r="A867" s="5" t="s">
        <v>4293</v>
      </c>
      <c r="B867" s="6" t="s">
        <v>4294</v>
      </c>
      <c r="C867" s="6">
        <v>233133</v>
      </c>
      <c r="D867" s="6" t="s">
        <v>147</v>
      </c>
      <c r="E867" s="6" t="s">
        <v>4295</v>
      </c>
      <c r="F867" s="6"/>
      <c r="G867" s="6" t="s">
        <v>1739</v>
      </c>
      <c r="H867" s="6" t="s">
        <v>4291</v>
      </c>
      <c r="I867" s="6" t="s">
        <v>417</v>
      </c>
      <c r="J867" s="6" t="s">
        <v>4292</v>
      </c>
      <c r="K867" s="6" t="s">
        <v>33</v>
      </c>
      <c r="L867" s="6" t="s">
        <v>54</v>
      </c>
      <c r="M867" s="6" t="s">
        <v>54</v>
      </c>
      <c r="N867" s="6" t="s">
        <v>3905</v>
      </c>
      <c r="O867" s="6" t="s">
        <v>55</v>
      </c>
      <c r="P867" s="6"/>
      <c r="Q867" s="8">
        <v>175</v>
      </c>
      <c r="R867" s="8">
        <v>175.52500000000001</v>
      </c>
      <c r="S867" s="8">
        <v>349.9</v>
      </c>
      <c r="T867" s="8">
        <v>14</v>
      </c>
      <c r="U867" s="8">
        <v>1</v>
      </c>
      <c r="V867" s="8">
        <f t="shared" si="12"/>
        <v>14</v>
      </c>
      <c r="W867" s="12">
        <f t="shared" si="13"/>
        <v>2457.35</v>
      </c>
      <c r="Y867">
        <v>1</v>
      </c>
    </row>
    <row r="868" spans="1:25" ht="40" customHeight="1">
      <c r="A868" s="5" t="s">
        <v>4296</v>
      </c>
      <c r="B868" s="6" t="s">
        <v>4297</v>
      </c>
      <c r="C868" s="6">
        <v>233133</v>
      </c>
      <c r="D868" s="6" t="s">
        <v>89</v>
      </c>
      <c r="E868" s="6" t="s">
        <v>4298</v>
      </c>
      <c r="F868" s="6"/>
      <c r="G868" s="6" t="s">
        <v>1739</v>
      </c>
      <c r="H868" s="6" t="s">
        <v>4291</v>
      </c>
      <c r="I868" s="6" t="s">
        <v>417</v>
      </c>
      <c r="J868" s="6" t="s">
        <v>4292</v>
      </c>
      <c r="K868" s="6" t="s">
        <v>530</v>
      </c>
      <c r="L868" s="6" t="s">
        <v>54</v>
      </c>
      <c r="M868" s="6" t="s">
        <v>54</v>
      </c>
      <c r="N868" s="6" t="s">
        <v>3905</v>
      </c>
      <c r="O868" s="6" t="s">
        <v>55</v>
      </c>
      <c r="P868" s="6"/>
      <c r="Q868" s="8">
        <v>175</v>
      </c>
      <c r="R868" s="8">
        <v>175.52500000000001</v>
      </c>
      <c r="S868" s="8">
        <v>349.9</v>
      </c>
      <c r="T868" s="8">
        <v>14</v>
      </c>
      <c r="U868" s="8"/>
      <c r="V868" s="8">
        <f t="shared" si="12"/>
        <v>0</v>
      </c>
      <c r="W868" s="12">
        <f t="shared" si="13"/>
        <v>0</v>
      </c>
      <c r="Y868">
        <v>0</v>
      </c>
    </row>
    <row r="869" spans="1:25" ht="40" customHeight="1">
      <c r="A869" s="5" t="s">
        <v>4299</v>
      </c>
      <c r="B869" s="6" t="s">
        <v>4300</v>
      </c>
      <c r="C869" s="6">
        <v>233133</v>
      </c>
      <c r="D869" s="6" t="s">
        <v>45</v>
      </c>
      <c r="E869" s="6" t="s">
        <v>4301</v>
      </c>
      <c r="F869" s="6"/>
      <c r="G869" s="6" t="s">
        <v>1739</v>
      </c>
      <c r="H869" s="6" t="s">
        <v>4291</v>
      </c>
      <c r="I869" s="6" t="s">
        <v>417</v>
      </c>
      <c r="J869" s="6" t="s">
        <v>4292</v>
      </c>
      <c r="K869" s="6" t="s">
        <v>47</v>
      </c>
      <c r="L869" s="6" t="s">
        <v>54</v>
      </c>
      <c r="M869" s="6" t="s">
        <v>54</v>
      </c>
      <c r="N869" s="6" t="s">
        <v>3905</v>
      </c>
      <c r="O869" s="6" t="s">
        <v>55</v>
      </c>
      <c r="P869" s="6"/>
      <c r="Q869" s="8">
        <v>175</v>
      </c>
      <c r="R869" s="8">
        <v>175.52500000000001</v>
      </c>
      <c r="S869" s="8">
        <v>349.9</v>
      </c>
      <c r="T869" s="8">
        <v>14</v>
      </c>
      <c r="U869" s="8"/>
      <c r="V869" s="8">
        <f t="shared" si="12"/>
        <v>0</v>
      </c>
      <c r="W869" s="12">
        <f t="shared" si="13"/>
        <v>0</v>
      </c>
      <c r="Y869">
        <v>0</v>
      </c>
    </row>
    <row r="870" spans="1:25" ht="40" customHeight="1">
      <c r="A870" s="5" t="s">
        <v>4302</v>
      </c>
      <c r="B870" s="6" t="s">
        <v>4303</v>
      </c>
      <c r="C870" s="6">
        <v>233135</v>
      </c>
      <c r="D870" s="6" t="s">
        <v>27</v>
      </c>
      <c r="E870" s="6" t="s">
        <v>4304</v>
      </c>
      <c r="F870" s="6"/>
      <c r="G870" s="6" t="s">
        <v>1739</v>
      </c>
      <c r="H870" s="6" t="s">
        <v>4305</v>
      </c>
      <c r="I870" s="6" t="s">
        <v>417</v>
      </c>
      <c r="J870" s="6" t="s">
        <v>4306</v>
      </c>
      <c r="K870" s="6" t="s">
        <v>3978</v>
      </c>
      <c r="L870" s="6" t="s">
        <v>54</v>
      </c>
      <c r="M870" s="6" t="s">
        <v>54</v>
      </c>
      <c r="N870" s="6" t="s">
        <v>3905</v>
      </c>
      <c r="O870" s="6" t="s">
        <v>4307</v>
      </c>
      <c r="P870" s="6"/>
      <c r="Q870" s="8">
        <v>225</v>
      </c>
      <c r="R870" s="8">
        <v>225.67500000000001</v>
      </c>
      <c r="S870" s="8">
        <v>449.9</v>
      </c>
      <c r="T870" s="8">
        <v>14</v>
      </c>
      <c r="U870" s="8"/>
      <c r="V870" s="8">
        <f t="shared" si="12"/>
        <v>0</v>
      </c>
      <c r="W870" s="12">
        <f t="shared" si="13"/>
        <v>0</v>
      </c>
      <c r="Y870">
        <v>0</v>
      </c>
    </row>
    <row r="871" spans="1:25" ht="40" customHeight="1">
      <c r="A871" s="6" t="s">
        <v>4308</v>
      </c>
      <c r="B871" s="6" t="s">
        <v>4309</v>
      </c>
      <c r="C871" s="6">
        <v>233135</v>
      </c>
      <c r="D871" s="6" t="s">
        <v>3101</v>
      </c>
      <c r="E871" s="6" t="s">
        <v>4310</v>
      </c>
      <c r="F871" s="6"/>
      <c r="G871" s="6" t="s">
        <v>1739</v>
      </c>
      <c r="H871" s="6" t="s">
        <v>4305</v>
      </c>
      <c r="I871" s="6" t="s">
        <v>417</v>
      </c>
      <c r="J871" s="6" t="s">
        <v>4306</v>
      </c>
      <c r="K871" s="6" t="s">
        <v>4311</v>
      </c>
      <c r="L871" s="6" t="s">
        <v>54</v>
      </c>
      <c r="M871" s="6" t="s">
        <v>54</v>
      </c>
      <c r="N871" s="6" t="s">
        <v>3905</v>
      </c>
      <c r="O871" s="6" t="s">
        <v>4307</v>
      </c>
      <c r="P871" s="6"/>
      <c r="Q871" s="8">
        <v>225</v>
      </c>
      <c r="R871" s="8">
        <v>225.67500000000001</v>
      </c>
      <c r="S871" s="8">
        <v>449.9</v>
      </c>
      <c r="T871" s="8">
        <v>14</v>
      </c>
      <c r="U871" s="8"/>
      <c r="V871" s="8">
        <f t="shared" ref="V871:V934" si="14">T871*U871</f>
        <v>0</v>
      </c>
      <c r="W871" s="12">
        <f t="shared" ref="W871:W934" si="15">R871*V871</f>
        <v>0</v>
      </c>
      <c r="Y871">
        <v>0</v>
      </c>
    </row>
    <row r="872" spans="1:25" ht="40" customHeight="1">
      <c r="A872" s="6" t="s">
        <v>4312</v>
      </c>
      <c r="B872" s="8" t="s">
        <v>4313</v>
      </c>
      <c r="C872" s="1" t="s">
        <v>4314</v>
      </c>
      <c r="D872" s="6" t="s">
        <v>27</v>
      </c>
      <c r="E872" s="1" t="s">
        <v>4315</v>
      </c>
      <c r="F872" s="6" t="s">
        <v>5</v>
      </c>
      <c r="G872" s="6" t="s">
        <v>1991</v>
      </c>
      <c r="H872" s="6" t="s">
        <v>4316</v>
      </c>
      <c r="I872" s="6" t="s">
        <v>417</v>
      </c>
      <c r="J872" s="6" t="s">
        <v>4317</v>
      </c>
      <c r="K872" s="6" t="s">
        <v>83</v>
      </c>
      <c r="L872" s="6" t="s">
        <v>4318</v>
      </c>
      <c r="M872" s="6" t="s">
        <v>4319</v>
      </c>
      <c r="N872" s="6" t="s">
        <v>3905</v>
      </c>
      <c r="O872" s="6" t="s">
        <v>4320</v>
      </c>
      <c r="P872" s="6"/>
      <c r="Q872" s="8">
        <v>150</v>
      </c>
      <c r="R872" s="8">
        <v>150.44999999999999</v>
      </c>
      <c r="S872" s="8">
        <v>299.89999999999998</v>
      </c>
      <c r="T872" s="8">
        <v>14</v>
      </c>
      <c r="U872" s="8"/>
      <c r="V872" s="8">
        <f t="shared" si="14"/>
        <v>0</v>
      </c>
      <c r="W872" s="12">
        <f t="shared" si="15"/>
        <v>0</v>
      </c>
      <c r="Y872">
        <v>0</v>
      </c>
    </row>
    <row r="873" spans="1:25" ht="40" customHeight="1">
      <c r="A873" s="6" t="s">
        <v>4321</v>
      </c>
      <c r="B873" s="8" t="s">
        <v>4322</v>
      </c>
      <c r="C873" s="1" t="s">
        <v>4314</v>
      </c>
      <c r="D873" s="6" t="s">
        <v>3984</v>
      </c>
      <c r="E873" s="1" t="s">
        <v>4323</v>
      </c>
      <c r="F873" s="6" t="s">
        <v>5</v>
      </c>
      <c r="G873" s="6" t="s">
        <v>1991</v>
      </c>
      <c r="H873" s="6" t="s">
        <v>4316</v>
      </c>
      <c r="I873" s="6" t="s">
        <v>417</v>
      </c>
      <c r="J873" s="6" t="s">
        <v>4317</v>
      </c>
      <c r="K873" s="6" t="s">
        <v>4324</v>
      </c>
      <c r="L873" s="6" t="s">
        <v>4318</v>
      </c>
      <c r="M873" s="6" t="s">
        <v>4319</v>
      </c>
      <c r="N873" s="6" t="s">
        <v>3905</v>
      </c>
      <c r="O873" s="6" t="s">
        <v>4320</v>
      </c>
      <c r="P873" s="6"/>
      <c r="Q873" s="8">
        <v>150</v>
      </c>
      <c r="R873" s="8">
        <v>150.44999999999999</v>
      </c>
      <c r="S873" s="8">
        <v>299.89999999999998</v>
      </c>
      <c r="T873" s="8">
        <v>14</v>
      </c>
      <c r="U873" s="8"/>
      <c r="V873" s="8">
        <f t="shared" si="14"/>
        <v>0</v>
      </c>
      <c r="W873" s="12">
        <f t="shared" si="15"/>
        <v>0</v>
      </c>
      <c r="Y873">
        <v>0</v>
      </c>
    </row>
    <row r="874" spans="1:25" ht="40" customHeight="1">
      <c r="A874" s="6" t="s">
        <v>4325</v>
      </c>
      <c r="B874" s="8" t="s">
        <v>4326</v>
      </c>
      <c r="C874" s="1" t="s">
        <v>4314</v>
      </c>
      <c r="D874" s="6" t="s">
        <v>4327</v>
      </c>
      <c r="E874" s="1" t="s">
        <v>4328</v>
      </c>
      <c r="F874" s="6" t="s">
        <v>5</v>
      </c>
      <c r="G874" s="6" t="s">
        <v>1991</v>
      </c>
      <c r="H874" s="6" t="s">
        <v>4316</v>
      </c>
      <c r="I874" s="6" t="s">
        <v>417</v>
      </c>
      <c r="J874" s="6" t="s">
        <v>4317</v>
      </c>
      <c r="K874" s="6" t="s">
        <v>4329</v>
      </c>
      <c r="L874" s="6" t="s">
        <v>4318</v>
      </c>
      <c r="M874" s="6" t="s">
        <v>4319</v>
      </c>
      <c r="N874" s="6" t="s">
        <v>3905</v>
      </c>
      <c r="O874" s="6" t="s">
        <v>4320</v>
      </c>
      <c r="P874" s="6"/>
      <c r="Q874" s="8">
        <v>150</v>
      </c>
      <c r="R874" s="8">
        <v>150.44999999999999</v>
      </c>
      <c r="S874" s="8">
        <v>299.89999999999998</v>
      </c>
      <c r="T874" s="8">
        <v>14</v>
      </c>
      <c r="U874" s="8"/>
      <c r="V874" s="8">
        <f t="shared" si="14"/>
        <v>0</v>
      </c>
      <c r="W874" s="12">
        <f t="shared" si="15"/>
        <v>0</v>
      </c>
      <c r="Y874">
        <v>0</v>
      </c>
    </row>
    <row r="875" spans="1:25" ht="40" customHeight="1">
      <c r="A875" s="5" t="s">
        <v>4330</v>
      </c>
      <c r="B875" s="6" t="s">
        <v>4331</v>
      </c>
      <c r="C875" s="7">
        <v>233184</v>
      </c>
      <c r="D875" s="6" t="s">
        <v>89</v>
      </c>
      <c r="E875" s="7" t="s">
        <v>4332</v>
      </c>
      <c r="F875" s="6"/>
      <c r="G875" s="6" t="s">
        <v>1871</v>
      </c>
      <c r="H875" s="6" t="s">
        <v>4333</v>
      </c>
      <c r="I875" s="6" t="s">
        <v>417</v>
      </c>
      <c r="J875" s="6" t="s">
        <v>1047</v>
      </c>
      <c r="K875" s="6" t="s">
        <v>4334</v>
      </c>
      <c r="L875" s="6" t="s">
        <v>4335</v>
      </c>
      <c r="M875" s="6" t="s">
        <v>4336</v>
      </c>
      <c r="N875" s="6" t="s">
        <v>3905</v>
      </c>
      <c r="O875" s="6" t="s">
        <v>1898</v>
      </c>
      <c r="P875" s="6"/>
      <c r="Q875" s="8">
        <v>135</v>
      </c>
      <c r="R875" s="8">
        <v>135.405</v>
      </c>
      <c r="S875" s="8">
        <v>269.89999999999998</v>
      </c>
      <c r="T875" s="8">
        <v>14</v>
      </c>
      <c r="U875" s="8"/>
      <c r="V875" s="8">
        <f t="shared" si="14"/>
        <v>0</v>
      </c>
      <c r="W875" s="12">
        <f t="shared" si="15"/>
        <v>0</v>
      </c>
      <c r="Y875">
        <v>0</v>
      </c>
    </row>
    <row r="876" spans="1:25" ht="40" customHeight="1">
      <c r="A876" s="6" t="s">
        <v>4337</v>
      </c>
      <c r="B876" s="14" t="s">
        <v>4338</v>
      </c>
      <c r="C876" s="1" t="s">
        <v>4339</v>
      </c>
      <c r="D876" s="6" t="s">
        <v>27</v>
      </c>
      <c r="E876" s="1" t="s">
        <v>4340</v>
      </c>
      <c r="F876" s="6" t="s">
        <v>5</v>
      </c>
      <c r="G876" s="6" t="s">
        <v>1871</v>
      </c>
      <c r="H876" s="6" t="s">
        <v>4333</v>
      </c>
      <c r="I876" s="6" t="s">
        <v>417</v>
      </c>
      <c r="J876" s="6" t="s">
        <v>1047</v>
      </c>
      <c r="K876" s="6" t="s">
        <v>4013</v>
      </c>
      <c r="L876" s="6" t="s">
        <v>4335</v>
      </c>
      <c r="M876" s="6" t="s">
        <v>4336</v>
      </c>
      <c r="N876" s="6" t="s">
        <v>3905</v>
      </c>
      <c r="O876" s="6" t="s">
        <v>1898</v>
      </c>
      <c r="P876" s="6"/>
      <c r="Q876" s="8">
        <v>135</v>
      </c>
      <c r="R876" s="8">
        <v>135.405</v>
      </c>
      <c r="S876" s="8">
        <v>269.89999999999998</v>
      </c>
      <c r="T876" s="8">
        <v>14</v>
      </c>
      <c r="U876" s="8"/>
      <c r="V876" s="8">
        <f t="shared" si="14"/>
        <v>0</v>
      </c>
      <c r="W876" s="12">
        <f t="shared" si="15"/>
        <v>0</v>
      </c>
      <c r="Y876">
        <v>0</v>
      </c>
    </row>
    <row r="877" spans="1:25" ht="40" customHeight="1">
      <c r="A877" s="6" t="s">
        <v>4341</v>
      </c>
      <c r="B877" s="14" t="s">
        <v>4342</v>
      </c>
      <c r="C877" s="8" t="s">
        <v>4339</v>
      </c>
      <c r="D877" s="6" t="s">
        <v>445</v>
      </c>
      <c r="E877" s="8" t="s">
        <v>4343</v>
      </c>
      <c r="F877" s="6" t="s">
        <v>5</v>
      </c>
      <c r="G877" s="6" t="s">
        <v>1871</v>
      </c>
      <c r="H877" s="6" t="s">
        <v>4333</v>
      </c>
      <c r="I877" s="6" t="s">
        <v>417</v>
      </c>
      <c r="J877" s="6" t="s">
        <v>1047</v>
      </c>
      <c r="K877" s="6" t="s">
        <v>4344</v>
      </c>
      <c r="L877" s="6" t="s">
        <v>4335</v>
      </c>
      <c r="M877" s="6" t="s">
        <v>4336</v>
      </c>
      <c r="N877" s="6" t="s">
        <v>3905</v>
      </c>
      <c r="O877" s="6" t="s">
        <v>1898</v>
      </c>
      <c r="P877" s="6"/>
      <c r="Q877" s="8">
        <v>135</v>
      </c>
      <c r="R877" s="8">
        <v>135.405</v>
      </c>
      <c r="S877" s="8">
        <v>269.89999999999998</v>
      </c>
      <c r="T877" s="8">
        <v>14</v>
      </c>
      <c r="U877" s="8"/>
      <c r="V877" s="8">
        <f t="shared" si="14"/>
        <v>0</v>
      </c>
      <c r="W877" s="12">
        <f t="shared" si="15"/>
        <v>0</v>
      </c>
      <c r="Y877">
        <v>0</v>
      </c>
    </row>
    <row r="878" spans="1:25" ht="40" customHeight="1">
      <c r="A878" s="5" t="s">
        <v>4345</v>
      </c>
      <c r="B878" s="6" t="s">
        <v>4346</v>
      </c>
      <c r="C878" s="6">
        <v>233201</v>
      </c>
      <c r="D878" s="6" t="s">
        <v>27</v>
      </c>
      <c r="E878" s="6" t="s">
        <v>4347</v>
      </c>
      <c r="F878" s="6"/>
      <c r="G878" s="6" t="s">
        <v>2065</v>
      </c>
      <c r="H878" s="6" t="s">
        <v>4348</v>
      </c>
      <c r="I878" s="6" t="s">
        <v>417</v>
      </c>
      <c r="J878" s="6" t="s">
        <v>4349</v>
      </c>
      <c r="K878" s="6" t="s">
        <v>33</v>
      </c>
      <c r="L878" s="6" t="s">
        <v>135</v>
      </c>
      <c r="M878" s="6" t="s">
        <v>4350</v>
      </c>
      <c r="N878" s="6" t="s">
        <v>3905</v>
      </c>
      <c r="O878" s="6" t="s">
        <v>4351</v>
      </c>
      <c r="P878" s="6"/>
      <c r="Q878" s="8">
        <v>175</v>
      </c>
      <c r="R878" s="8">
        <v>175.52500000000001</v>
      </c>
      <c r="S878" s="8">
        <v>349.9</v>
      </c>
      <c r="T878" s="8">
        <v>14</v>
      </c>
      <c r="U878" s="8"/>
      <c r="V878" s="8">
        <f t="shared" si="14"/>
        <v>0</v>
      </c>
      <c r="W878" s="12">
        <f t="shared" si="15"/>
        <v>0</v>
      </c>
      <c r="Y878">
        <v>0</v>
      </c>
    </row>
    <row r="879" spans="1:25" ht="40" customHeight="1">
      <c r="A879" s="5" t="s">
        <v>4352</v>
      </c>
      <c r="B879" s="6" t="s">
        <v>4353</v>
      </c>
      <c r="C879" s="6">
        <v>233201</v>
      </c>
      <c r="D879" s="6" t="s">
        <v>445</v>
      </c>
      <c r="E879" s="6" t="s">
        <v>4354</v>
      </c>
      <c r="F879" s="6"/>
      <c r="G879" s="6" t="s">
        <v>2065</v>
      </c>
      <c r="H879" s="6" t="s">
        <v>4348</v>
      </c>
      <c r="I879" s="6" t="s">
        <v>417</v>
      </c>
      <c r="J879" s="6" t="s">
        <v>4349</v>
      </c>
      <c r="K879" s="6" t="s">
        <v>33</v>
      </c>
      <c r="L879" s="6" t="s">
        <v>135</v>
      </c>
      <c r="M879" s="6" t="s">
        <v>4350</v>
      </c>
      <c r="N879" s="6" t="s">
        <v>3905</v>
      </c>
      <c r="O879" s="6" t="s">
        <v>4351</v>
      </c>
      <c r="P879" s="6"/>
      <c r="Q879" s="8">
        <v>175</v>
      </c>
      <c r="R879" s="8">
        <v>175.52500000000001</v>
      </c>
      <c r="S879" s="8">
        <v>349.9</v>
      </c>
      <c r="T879" s="8">
        <v>14</v>
      </c>
      <c r="U879" s="8"/>
      <c r="V879" s="8">
        <f t="shared" si="14"/>
        <v>0</v>
      </c>
      <c r="W879" s="12">
        <f t="shared" si="15"/>
        <v>0</v>
      </c>
      <c r="Y879">
        <v>0</v>
      </c>
    </row>
    <row r="880" spans="1:25" ht="40" customHeight="1">
      <c r="A880" s="6" t="s">
        <v>4355</v>
      </c>
      <c r="B880" s="6" t="s">
        <v>4356</v>
      </c>
      <c r="C880" s="6">
        <v>233201</v>
      </c>
      <c r="D880" s="6" t="s">
        <v>3101</v>
      </c>
      <c r="E880" s="6" t="s">
        <v>4357</v>
      </c>
      <c r="F880" s="6"/>
      <c r="G880" s="6" t="s">
        <v>2065</v>
      </c>
      <c r="H880" s="6" t="s">
        <v>4348</v>
      </c>
      <c r="I880" s="6" t="s">
        <v>417</v>
      </c>
      <c r="J880" s="6" t="s">
        <v>4349</v>
      </c>
      <c r="K880" s="6" t="s">
        <v>4358</v>
      </c>
      <c r="L880" s="6" t="s">
        <v>135</v>
      </c>
      <c r="M880" s="6" t="s">
        <v>4350</v>
      </c>
      <c r="N880" s="6" t="s">
        <v>3905</v>
      </c>
      <c r="O880" s="6" t="s">
        <v>4351</v>
      </c>
      <c r="P880" s="6"/>
      <c r="Q880" s="8">
        <v>175</v>
      </c>
      <c r="R880" s="8">
        <v>175.52500000000001</v>
      </c>
      <c r="S880" s="8">
        <v>349.9</v>
      </c>
      <c r="T880" s="8">
        <v>14</v>
      </c>
      <c r="U880" s="8"/>
      <c r="V880" s="8">
        <f t="shared" si="14"/>
        <v>0</v>
      </c>
      <c r="W880" s="12">
        <f t="shared" si="15"/>
        <v>0</v>
      </c>
      <c r="X880">
        <f>VLOOKUP(E880,[1]Sheet2!$A:$C,3,FALSE)</f>
        <v>1</v>
      </c>
      <c r="Y880">
        <v>1</v>
      </c>
    </row>
    <row r="881" spans="1:25" ht="40" customHeight="1">
      <c r="A881" s="5" t="s">
        <v>4359</v>
      </c>
      <c r="B881" s="6" t="s">
        <v>4360</v>
      </c>
      <c r="C881" s="6">
        <v>233201</v>
      </c>
      <c r="D881" s="6" t="s">
        <v>605</v>
      </c>
      <c r="E881" s="6" t="s">
        <v>4361</v>
      </c>
      <c r="F881" s="6"/>
      <c r="G881" s="6" t="s">
        <v>2065</v>
      </c>
      <c r="H881" s="6" t="s">
        <v>4348</v>
      </c>
      <c r="I881" s="6" t="s">
        <v>417</v>
      </c>
      <c r="J881" s="6" t="s">
        <v>4349</v>
      </c>
      <c r="K881" s="6" t="s">
        <v>4362</v>
      </c>
      <c r="L881" s="6" t="s">
        <v>135</v>
      </c>
      <c r="M881" s="6" t="s">
        <v>4350</v>
      </c>
      <c r="N881" s="6" t="s">
        <v>3905</v>
      </c>
      <c r="O881" s="6" t="s">
        <v>4351</v>
      </c>
      <c r="P881" s="6"/>
      <c r="Q881" s="8">
        <v>175</v>
      </c>
      <c r="R881" s="8">
        <v>175.52500000000001</v>
      </c>
      <c r="S881" s="8">
        <v>349.9</v>
      </c>
      <c r="T881" s="8">
        <v>14</v>
      </c>
      <c r="U881" s="8"/>
      <c r="V881" s="8">
        <f t="shared" si="14"/>
        <v>0</v>
      </c>
      <c r="W881" s="12">
        <f t="shared" si="15"/>
        <v>0</v>
      </c>
      <c r="Y881">
        <v>0</v>
      </c>
    </row>
    <row r="882" spans="1:25" ht="40" customHeight="1">
      <c r="A882" s="5" t="s">
        <v>4363</v>
      </c>
      <c r="B882" s="6" t="s">
        <v>4364</v>
      </c>
      <c r="C882" s="6">
        <v>233201</v>
      </c>
      <c r="D882" s="6" t="s">
        <v>89</v>
      </c>
      <c r="E882" s="6" t="s">
        <v>4365</v>
      </c>
      <c r="F882" s="6"/>
      <c r="G882" s="6" t="s">
        <v>2065</v>
      </c>
      <c r="H882" s="6" t="s">
        <v>4348</v>
      </c>
      <c r="I882" s="6" t="s">
        <v>417</v>
      </c>
      <c r="J882" s="6" t="s">
        <v>4349</v>
      </c>
      <c r="K882" s="6" t="s">
        <v>530</v>
      </c>
      <c r="L882" s="6" t="s">
        <v>135</v>
      </c>
      <c r="M882" s="6" t="s">
        <v>4350</v>
      </c>
      <c r="N882" s="6" t="s">
        <v>3905</v>
      </c>
      <c r="O882" s="6" t="s">
        <v>4351</v>
      </c>
      <c r="P882" s="6"/>
      <c r="Q882" s="8">
        <v>175</v>
      </c>
      <c r="R882" s="8">
        <v>175.52500000000001</v>
      </c>
      <c r="S882" s="8">
        <v>349.9</v>
      </c>
      <c r="T882" s="8">
        <v>14</v>
      </c>
      <c r="U882" s="8"/>
      <c r="V882" s="8">
        <f t="shared" si="14"/>
        <v>0</v>
      </c>
      <c r="W882" s="12">
        <f t="shared" si="15"/>
        <v>0</v>
      </c>
      <c r="X882">
        <f>VLOOKUP(E882,[1]Sheet2!$A:$C,3,FALSE)</f>
        <v>1</v>
      </c>
      <c r="Y882">
        <v>1</v>
      </c>
    </row>
    <row r="883" spans="1:25" ht="40" customHeight="1">
      <c r="A883" s="5" t="s">
        <v>4366</v>
      </c>
      <c r="B883" s="6" t="s">
        <v>4367</v>
      </c>
      <c r="C883" s="6">
        <v>233201</v>
      </c>
      <c r="D883" s="6" t="s">
        <v>45</v>
      </c>
      <c r="E883" s="6" t="s">
        <v>4368</v>
      </c>
      <c r="F883" s="6"/>
      <c r="G883" s="6" t="s">
        <v>2065</v>
      </c>
      <c r="H883" s="6" t="s">
        <v>4348</v>
      </c>
      <c r="I883" s="6" t="s">
        <v>417</v>
      </c>
      <c r="J883" s="6" t="s">
        <v>4349</v>
      </c>
      <c r="K883" s="6" t="s">
        <v>47</v>
      </c>
      <c r="L883" s="6" t="s">
        <v>135</v>
      </c>
      <c r="M883" s="6" t="s">
        <v>4350</v>
      </c>
      <c r="N883" s="6" t="s">
        <v>3905</v>
      </c>
      <c r="O883" s="6" t="s">
        <v>4351</v>
      </c>
      <c r="P883" s="6"/>
      <c r="Q883" s="8">
        <v>175</v>
      </c>
      <c r="R883" s="8">
        <v>175.52500000000001</v>
      </c>
      <c r="S883" s="8">
        <v>349.9</v>
      </c>
      <c r="T883" s="8">
        <v>14</v>
      </c>
      <c r="U883" s="8"/>
      <c r="V883" s="8">
        <f t="shared" si="14"/>
        <v>0</v>
      </c>
      <c r="W883" s="12">
        <f t="shared" si="15"/>
        <v>0</v>
      </c>
      <c r="Y883">
        <v>0</v>
      </c>
    </row>
    <row r="884" spans="1:25" ht="40" customHeight="1">
      <c r="A884" s="5" t="s">
        <v>4369</v>
      </c>
      <c r="B884" s="6" t="s">
        <v>4370</v>
      </c>
      <c r="C884" s="6">
        <v>233218</v>
      </c>
      <c r="D884" s="6" t="s">
        <v>27</v>
      </c>
      <c r="E884" s="6" t="s">
        <v>4371</v>
      </c>
      <c r="F884" s="6"/>
      <c r="G884" s="6" t="s">
        <v>2118</v>
      </c>
      <c r="H884" s="6" t="s">
        <v>215</v>
      </c>
      <c r="I884" s="6" t="s">
        <v>417</v>
      </c>
      <c r="J884" s="6" t="s">
        <v>4372</v>
      </c>
      <c r="K884" s="6" t="s">
        <v>3978</v>
      </c>
      <c r="L884" s="6" t="s">
        <v>54</v>
      </c>
      <c r="M884" s="6" t="s">
        <v>54</v>
      </c>
      <c r="N884" s="6" t="s">
        <v>3905</v>
      </c>
      <c r="O884" s="6" t="s">
        <v>4373</v>
      </c>
      <c r="P884" s="6"/>
      <c r="Q884" s="8">
        <v>175</v>
      </c>
      <c r="R884" s="8">
        <v>175.52500000000001</v>
      </c>
      <c r="S884" s="8">
        <v>349.9</v>
      </c>
      <c r="T884" s="8">
        <v>14</v>
      </c>
      <c r="U884" s="8">
        <v>3</v>
      </c>
      <c r="V884" s="8">
        <f t="shared" si="14"/>
        <v>42</v>
      </c>
      <c r="W884" s="12">
        <f t="shared" si="15"/>
        <v>7372.05</v>
      </c>
      <c r="Y884">
        <v>3</v>
      </c>
    </row>
    <row r="885" spans="1:25" ht="40" customHeight="1">
      <c r="A885" s="5" t="s">
        <v>4374</v>
      </c>
      <c r="B885" s="6" t="s">
        <v>4375</v>
      </c>
      <c r="C885" s="6">
        <v>233218</v>
      </c>
      <c r="D885" s="6" t="s">
        <v>3559</v>
      </c>
      <c r="E885" s="6" t="s">
        <v>4376</v>
      </c>
      <c r="F885" s="6"/>
      <c r="G885" s="6" t="s">
        <v>2118</v>
      </c>
      <c r="H885" s="6" t="s">
        <v>215</v>
      </c>
      <c r="I885" s="6" t="s">
        <v>417</v>
      </c>
      <c r="J885" s="6" t="s">
        <v>4372</v>
      </c>
      <c r="K885" s="6" t="s">
        <v>4377</v>
      </c>
      <c r="L885" s="6" t="s">
        <v>54</v>
      </c>
      <c r="M885" s="6" t="s">
        <v>54</v>
      </c>
      <c r="N885" s="6" t="s">
        <v>3905</v>
      </c>
      <c r="O885" s="6" t="s">
        <v>4373</v>
      </c>
      <c r="P885" s="6"/>
      <c r="Q885" s="8">
        <v>175</v>
      </c>
      <c r="R885" s="8">
        <v>175.52500000000001</v>
      </c>
      <c r="S885" s="8">
        <v>349.9</v>
      </c>
      <c r="T885" s="8">
        <v>14</v>
      </c>
      <c r="U885" s="8">
        <v>3</v>
      </c>
      <c r="V885" s="8">
        <f t="shared" si="14"/>
        <v>42</v>
      </c>
      <c r="W885" s="12">
        <f t="shared" si="15"/>
        <v>7372.05</v>
      </c>
      <c r="Y885">
        <v>3</v>
      </c>
    </row>
    <row r="886" spans="1:25" ht="40" customHeight="1">
      <c r="A886" s="5" t="s">
        <v>4378</v>
      </c>
      <c r="B886" s="6" t="s">
        <v>4379</v>
      </c>
      <c r="C886" s="6">
        <v>233218</v>
      </c>
      <c r="D886" s="6" t="s">
        <v>747</v>
      </c>
      <c r="E886" s="6" t="s">
        <v>4380</v>
      </c>
      <c r="F886" s="6"/>
      <c r="G886" s="6" t="s">
        <v>2118</v>
      </c>
      <c r="H886" s="6" t="s">
        <v>215</v>
      </c>
      <c r="I886" s="6" t="s">
        <v>417</v>
      </c>
      <c r="J886" s="6" t="s">
        <v>4372</v>
      </c>
      <c r="K886" s="6" t="s">
        <v>4381</v>
      </c>
      <c r="L886" s="6" t="s">
        <v>54</v>
      </c>
      <c r="M886" s="6" t="s">
        <v>54</v>
      </c>
      <c r="N886" s="6" t="s">
        <v>3905</v>
      </c>
      <c r="O886" s="6" t="s">
        <v>4373</v>
      </c>
      <c r="P886" s="6"/>
      <c r="Q886" s="8">
        <v>175</v>
      </c>
      <c r="R886" s="8">
        <v>175.52500000000001</v>
      </c>
      <c r="S886" s="8">
        <v>349.9</v>
      </c>
      <c r="T886" s="8">
        <v>14</v>
      </c>
      <c r="U886" s="8">
        <v>1</v>
      </c>
      <c r="V886" s="8">
        <f t="shared" si="14"/>
        <v>14</v>
      </c>
      <c r="W886" s="12">
        <f t="shared" si="15"/>
        <v>2457.35</v>
      </c>
      <c r="Y886">
        <v>1</v>
      </c>
    </row>
    <row r="887" spans="1:25" ht="40" customHeight="1">
      <c r="A887" s="5" t="s">
        <v>4382</v>
      </c>
      <c r="B887" s="6" t="s">
        <v>4383</v>
      </c>
      <c r="C887" s="6">
        <v>233244</v>
      </c>
      <c r="D887" s="6" t="s">
        <v>3525</v>
      </c>
      <c r="E887" s="6" t="s">
        <v>4384</v>
      </c>
      <c r="F887" s="6"/>
      <c r="G887" s="6" t="s">
        <v>4385</v>
      </c>
      <c r="H887" s="6" t="s">
        <v>4386</v>
      </c>
      <c r="I887" s="6" t="s">
        <v>417</v>
      </c>
      <c r="J887" s="6" t="s">
        <v>4387</v>
      </c>
      <c r="K887" s="6" t="s">
        <v>4388</v>
      </c>
      <c r="L887" s="6" t="s">
        <v>4389</v>
      </c>
      <c r="M887" s="6" t="s">
        <v>4390</v>
      </c>
      <c r="N887" s="6" t="s">
        <v>3905</v>
      </c>
      <c r="O887" s="6" t="s">
        <v>4391</v>
      </c>
      <c r="P887" s="6"/>
      <c r="Q887" s="8">
        <v>185</v>
      </c>
      <c r="R887" s="8">
        <v>185.55500000000001</v>
      </c>
      <c r="S887" s="8">
        <v>369.9</v>
      </c>
      <c r="T887" s="8">
        <v>14</v>
      </c>
      <c r="U887" s="8"/>
      <c r="V887" s="8">
        <f t="shared" si="14"/>
        <v>0</v>
      </c>
      <c r="W887" s="12">
        <f t="shared" si="15"/>
        <v>0</v>
      </c>
      <c r="Y887">
        <v>0</v>
      </c>
    </row>
    <row r="888" spans="1:25" ht="40" customHeight="1">
      <c r="A888" s="5" t="s">
        <v>4392</v>
      </c>
      <c r="B888" s="6" t="s">
        <v>4393</v>
      </c>
      <c r="C888" s="6">
        <v>233244</v>
      </c>
      <c r="D888" s="6" t="s">
        <v>3239</v>
      </c>
      <c r="E888" s="6" t="s">
        <v>4394</v>
      </c>
      <c r="F888" s="6"/>
      <c r="G888" s="6" t="s">
        <v>4385</v>
      </c>
      <c r="H888" s="6" t="s">
        <v>4386</v>
      </c>
      <c r="I888" s="6" t="s">
        <v>417</v>
      </c>
      <c r="J888" s="6" t="s">
        <v>4387</v>
      </c>
      <c r="K888" s="6" t="s">
        <v>4395</v>
      </c>
      <c r="L888" s="6" t="s">
        <v>4389</v>
      </c>
      <c r="M888" s="6" t="s">
        <v>4390</v>
      </c>
      <c r="N888" s="6" t="s">
        <v>3905</v>
      </c>
      <c r="O888" s="6" t="s">
        <v>4391</v>
      </c>
      <c r="P888" s="6"/>
      <c r="Q888" s="8">
        <v>185</v>
      </c>
      <c r="R888" s="8">
        <v>185.55500000000001</v>
      </c>
      <c r="S888" s="8">
        <v>369.9</v>
      </c>
      <c r="T888" s="8">
        <v>14</v>
      </c>
      <c r="U888" s="8"/>
      <c r="V888" s="8">
        <f t="shared" si="14"/>
        <v>0</v>
      </c>
      <c r="W888" s="12">
        <f t="shared" si="15"/>
        <v>0</v>
      </c>
      <c r="Y888">
        <v>0</v>
      </c>
    </row>
    <row r="889" spans="1:25" ht="40" customHeight="1">
      <c r="A889" s="5" t="s">
        <v>4396</v>
      </c>
      <c r="B889" s="6" t="s">
        <v>4397</v>
      </c>
      <c r="C889" s="6">
        <v>233244</v>
      </c>
      <c r="D889" s="6" t="s">
        <v>89</v>
      </c>
      <c r="E889" s="6" t="s">
        <v>4398</v>
      </c>
      <c r="F889" s="6"/>
      <c r="G889" s="6" t="s">
        <v>4385</v>
      </c>
      <c r="H889" s="6" t="s">
        <v>4386</v>
      </c>
      <c r="I889" s="6" t="s">
        <v>417</v>
      </c>
      <c r="J889" s="6" t="s">
        <v>4387</v>
      </c>
      <c r="K889" s="6" t="s">
        <v>4399</v>
      </c>
      <c r="L889" s="6" t="s">
        <v>4389</v>
      </c>
      <c r="M889" s="6" t="s">
        <v>4390</v>
      </c>
      <c r="N889" s="6" t="s">
        <v>3905</v>
      </c>
      <c r="O889" s="6" t="s">
        <v>4391</v>
      </c>
      <c r="P889" s="6"/>
      <c r="Q889" s="8">
        <v>185</v>
      </c>
      <c r="R889" s="8">
        <v>185.55500000000001</v>
      </c>
      <c r="S889" s="8">
        <v>369.9</v>
      </c>
      <c r="T889" s="8">
        <v>14</v>
      </c>
      <c r="U889" s="8"/>
      <c r="V889" s="8">
        <f t="shared" si="14"/>
        <v>0</v>
      </c>
      <c r="W889" s="12">
        <f t="shared" si="15"/>
        <v>0</v>
      </c>
      <c r="Y889">
        <v>0</v>
      </c>
    </row>
    <row r="890" spans="1:25" ht="40" customHeight="1">
      <c r="A890" s="5" t="s">
        <v>4400</v>
      </c>
      <c r="B890" s="6" t="s">
        <v>4401</v>
      </c>
      <c r="C890" s="6">
        <v>233244</v>
      </c>
      <c r="D890" s="6" t="s">
        <v>45</v>
      </c>
      <c r="E890" s="6" t="s">
        <v>4402</v>
      </c>
      <c r="F890" s="6"/>
      <c r="G890" s="6" t="s">
        <v>4385</v>
      </c>
      <c r="H890" s="6" t="s">
        <v>4386</v>
      </c>
      <c r="I890" s="6" t="s">
        <v>417</v>
      </c>
      <c r="J890" s="6" t="s">
        <v>4387</v>
      </c>
      <c r="K890" s="6" t="s">
        <v>4283</v>
      </c>
      <c r="L890" s="6" t="s">
        <v>4389</v>
      </c>
      <c r="M890" s="6" t="s">
        <v>4390</v>
      </c>
      <c r="N890" s="6" t="s">
        <v>3905</v>
      </c>
      <c r="O890" s="6" t="s">
        <v>4391</v>
      </c>
      <c r="P890" s="6"/>
      <c r="Q890" s="8">
        <v>185</v>
      </c>
      <c r="R890" s="8">
        <v>185.55500000000001</v>
      </c>
      <c r="S890" s="8">
        <v>369.9</v>
      </c>
      <c r="T890" s="8">
        <v>14</v>
      </c>
      <c r="U890" s="8"/>
      <c r="V890" s="8">
        <f t="shared" si="14"/>
        <v>0</v>
      </c>
      <c r="W890" s="12">
        <f t="shared" si="15"/>
        <v>0</v>
      </c>
      <c r="Y890">
        <v>0</v>
      </c>
    </row>
    <row r="891" spans="1:25" ht="40" customHeight="1">
      <c r="A891" s="6" t="s">
        <v>4403</v>
      </c>
      <c r="B891" s="6" t="s">
        <v>4404</v>
      </c>
      <c r="C891" s="6">
        <v>233244</v>
      </c>
      <c r="D891" s="6" t="s">
        <v>94</v>
      </c>
      <c r="E891" s="6" t="s">
        <v>4405</v>
      </c>
      <c r="F891" s="6"/>
      <c r="G891" s="6" t="s">
        <v>4385</v>
      </c>
      <c r="H891" s="6" t="s">
        <v>4386</v>
      </c>
      <c r="I891" s="6" t="s">
        <v>417</v>
      </c>
      <c r="J891" s="6" t="s">
        <v>4387</v>
      </c>
      <c r="K891" s="6" t="s">
        <v>4406</v>
      </c>
      <c r="L891" s="6" t="s">
        <v>4389</v>
      </c>
      <c r="M891" s="6" t="s">
        <v>4390</v>
      </c>
      <c r="N891" s="6" t="s">
        <v>3905</v>
      </c>
      <c r="O891" s="6" t="s">
        <v>4391</v>
      </c>
      <c r="P891" s="6"/>
      <c r="Q891" s="8">
        <v>185</v>
      </c>
      <c r="R891" s="8">
        <v>185.55500000000001</v>
      </c>
      <c r="S891" s="8">
        <v>369.9</v>
      </c>
      <c r="T891" s="8">
        <v>14</v>
      </c>
      <c r="U891" s="8"/>
      <c r="V891" s="8">
        <f t="shared" si="14"/>
        <v>0</v>
      </c>
      <c r="W891" s="12">
        <f t="shared" si="15"/>
        <v>0</v>
      </c>
      <c r="Y891">
        <v>0</v>
      </c>
    </row>
    <row r="892" spans="1:25" ht="40" customHeight="1">
      <c r="A892" s="5" t="s">
        <v>4407</v>
      </c>
      <c r="B892" s="6" t="s">
        <v>4408</v>
      </c>
      <c r="C892" s="6">
        <v>233247</v>
      </c>
      <c r="D892" s="6" t="s">
        <v>27</v>
      </c>
      <c r="E892" s="6" t="s">
        <v>4409</v>
      </c>
      <c r="F892" s="6"/>
      <c r="G892" s="6" t="s">
        <v>4385</v>
      </c>
      <c r="H892" s="6" t="s">
        <v>4410</v>
      </c>
      <c r="I892" s="6" t="s">
        <v>417</v>
      </c>
      <c r="J892" s="6" t="s">
        <v>4411</v>
      </c>
      <c r="K892" s="6" t="s">
        <v>4412</v>
      </c>
      <c r="L892" s="6" t="s">
        <v>54</v>
      </c>
      <c r="M892" s="6" t="s">
        <v>54</v>
      </c>
      <c r="N892" s="6" t="s">
        <v>3905</v>
      </c>
      <c r="O892" s="6" t="s">
        <v>37</v>
      </c>
      <c r="P892" s="6"/>
      <c r="Q892" s="8">
        <v>160</v>
      </c>
      <c r="R892" s="8">
        <v>160.47999999999999</v>
      </c>
      <c r="S892" s="8">
        <v>319.89999999999998</v>
      </c>
      <c r="T892" s="8">
        <v>14</v>
      </c>
      <c r="U892" s="8">
        <v>2</v>
      </c>
      <c r="V892" s="8">
        <f t="shared" si="14"/>
        <v>28</v>
      </c>
      <c r="W892" s="12">
        <f t="shared" si="15"/>
        <v>4493.4399999999996</v>
      </c>
      <c r="Y892">
        <v>2</v>
      </c>
    </row>
    <row r="893" spans="1:25" ht="40" customHeight="1">
      <c r="A893" s="5" t="s">
        <v>4413</v>
      </c>
      <c r="B893" s="6" t="s">
        <v>4414</v>
      </c>
      <c r="C893" s="6">
        <v>233247</v>
      </c>
      <c r="D893" s="6" t="s">
        <v>147</v>
      </c>
      <c r="E893" s="6" t="s">
        <v>4415</v>
      </c>
      <c r="F893" s="6"/>
      <c r="G893" s="6" t="s">
        <v>4385</v>
      </c>
      <c r="H893" s="6" t="s">
        <v>4410</v>
      </c>
      <c r="I893" s="6" t="s">
        <v>417</v>
      </c>
      <c r="J893" s="6" t="s">
        <v>4411</v>
      </c>
      <c r="K893" s="6" t="s">
        <v>4013</v>
      </c>
      <c r="L893" s="6" t="s">
        <v>54</v>
      </c>
      <c r="M893" s="6" t="s">
        <v>54</v>
      </c>
      <c r="N893" s="6" t="s">
        <v>3905</v>
      </c>
      <c r="O893" s="6" t="s">
        <v>37</v>
      </c>
      <c r="P893" s="6"/>
      <c r="Q893" s="8">
        <v>160</v>
      </c>
      <c r="R893" s="8">
        <v>160.47999999999999</v>
      </c>
      <c r="S893" s="8">
        <v>319.89999999999998</v>
      </c>
      <c r="T893" s="8">
        <v>14</v>
      </c>
      <c r="U893" s="8">
        <v>2</v>
      </c>
      <c r="V893" s="8">
        <f t="shared" si="14"/>
        <v>28</v>
      </c>
      <c r="W893" s="12">
        <f t="shared" si="15"/>
        <v>4493.4399999999996</v>
      </c>
      <c r="Y893">
        <v>2</v>
      </c>
    </row>
    <row r="894" spans="1:25" ht="40" customHeight="1">
      <c r="A894" s="5" t="s">
        <v>4416</v>
      </c>
      <c r="B894" s="6" t="s">
        <v>4417</v>
      </c>
      <c r="C894" s="6">
        <v>233247</v>
      </c>
      <c r="D894" s="6" t="s">
        <v>40</v>
      </c>
      <c r="E894" s="6" t="s">
        <v>4418</v>
      </c>
      <c r="F894" s="6"/>
      <c r="G894" s="6" t="s">
        <v>4385</v>
      </c>
      <c r="H894" s="6" t="s">
        <v>4410</v>
      </c>
      <c r="I894" s="6" t="s">
        <v>417</v>
      </c>
      <c r="J894" s="6" t="s">
        <v>4411</v>
      </c>
      <c r="K894" s="6" t="s">
        <v>4419</v>
      </c>
      <c r="L894" s="6" t="s">
        <v>54</v>
      </c>
      <c r="M894" s="6" t="s">
        <v>54</v>
      </c>
      <c r="N894" s="6" t="s">
        <v>3905</v>
      </c>
      <c r="O894" s="6" t="s">
        <v>37</v>
      </c>
      <c r="P894" s="6"/>
      <c r="Q894" s="8">
        <v>160</v>
      </c>
      <c r="R894" s="8">
        <v>160.47999999999999</v>
      </c>
      <c r="S894" s="8">
        <v>319.89999999999998</v>
      </c>
      <c r="T894" s="8">
        <v>14</v>
      </c>
      <c r="U894" s="8">
        <v>1</v>
      </c>
      <c r="V894" s="8">
        <f t="shared" si="14"/>
        <v>14</v>
      </c>
      <c r="W894" s="12">
        <f t="shared" si="15"/>
        <v>2246.7199999999998</v>
      </c>
      <c r="Y894">
        <v>1</v>
      </c>
    </row>
    <row r="895" spans="1:25" ht="40" customHeight="1">
      <c r="A895" s="5" t="s">
        <v>4420</v>
      </c>
      <c r="B895" s="6" t="s">
        <v>4421</v>
      </c>
      <c r="C895" s="6">
        <v>233247</v>
      </c>
      <c r="D895" s="6" t="s">
        <v>4422</v>
      </c>
      <c r="E895" s="6" t="s">
        <v>4423</v>
      </c>
      <c r="F895" s="6"/>
      <c r="G895" s="6" t="s">
        <v>4385</v>
      </c>
      <c r="H895" s="6" t="s">
        <v>4410</v>
      </c>
      <c r="I895" s="6" t="s">
        <v>417</v>
      </c>
      <c r="J895" s="6" t="s">
        <v>4411</v>
      </c>
      <c r="K895" s="6" t="s">
        <v>4424</v>
      </c>
      <c r="L895" s="6" t="s">
        <v>54</v>
      </c>
      <c r="M895" s="6" t="s">
        <v>54</v>
      </c>
      <c r="N895" s="6" t="s">
        <v>3905</v>
      </c>
      <c r="O895" s="6" t="s">
        <v>37</v>
      </c>
      <c r="P895" s="6"/>
      <c r="Q895" s="8">
        <v>160</v>
      </c>
      <c r="R895" s="8">
        <v>160.47999999999999</v>
      </c>
      <c r="S895" s="8">
        <v>319.89999999999998</v>
      </c>
      <c r="T895" s="8">
        <v>14</v>
      </c>
      <c r="U895" s="8">
        <v>1</v>
      </c>
      <c r="V895" s="8">
        <f t="shared" si="14"/>
        <v>14</v>
      </c>
      <c r="W895" s="12">
        <f t="shared" si="15"/>
        <v>2246.7199999999998</v>
      </c>
      <c r="Y895">
        <v>1</v>
      </c>
    </row>
    <row r="896" spans="1:25" ht="40" customHeight="1">
      <c r="A896" s="5" t="s">
        <v>4425</v>
      </c>
      <c r="B896" s="6" t="s">
        <v>4426</v>
      </c>
      <c r="C896" s="6">
        <v>233247</v>
      </c>
      <c r="D896" s="6" t="s">
        <v>126</v>
      </c>
      <c r="E896" s="6" t="s">
        <v>4427</v>
      </c>
      <c r="F896" s="6"/>
      <c r="G896" s="6" t="s">
        <v>4385</v>
      </c>
      <c r="H896" s="6" t="s">
        <v>4410</v>
      </c>
      <c r="I896" s="6" t="s">
        <v>417</v>
      </c>
      <c r="J896" s="6" t="s">
        <v>4411</v>
      </c>
      <c r="K896" s="6" t="s">
        <v>4428</v>
      </c>
      <c r="L896" s="6" t="s">
        <v>54</v>
      </c>
      <c r="M896" s="6" t="s">
        <v>54</v>
      </c>
      <c r="N896" s="6" t="s">
        <v>3905</v>
      </c>
      <c r="O896" s="6" t="s">
        <v>37</v>
      </c>
      <c r="P896" s="6"/>
      <c r="Q896" s="8">
        <v>160</v>
      </c>
      <c r="R896" s="8">
        <v>160.47999999999999</v>
      </c>
      <c r="S896" s="8">
        <v>319.89999999999998</v>
      </c>
      <c r="T896" s="8">
        <v>14</v>
      </c>
      <c r="U896" s="8">
        <v>1</v>
      </c>
      <c r="V896" s="8">
        <f t="shared" si="14"/>
        <v>14</v>
      </c>
      <c r="W896" s="12">
        <f t="shared" si="15"/>
        <v>2246.7199999999998</v>
      </c>
      <c r="Y896">
        <v>1</v>
      </c>
    </row>
    <row r="897" spans="1:25" ht="40" customHeight="1">
      <c r="A897" s="5" t="s">
        <v>4429</v>
      </c>
      <c r="B897" s="6" t="s">
        <v>4430</v>
      </c>
      <c r="C897" s="6">
        <v>233255</v>
      </c>
      <c r="D897" s="6" t="s">
        <v>445</v>
      </c>
      <c r="E897" s="6" t="s">
        <v>4431</v>
      </c>
      <c r="F897" s="6"/>
      <c r="G897" s="6" t="s">
        <v>4432</v>
      </c>
      <c r="H897" s="6" t="s">
        <v>215</v>
      </c>
      <c r="I897" s="6" t="s">
        <v>417</v>
      </c>
      <c r="J897" s="6" t="s">
        <v>4433</v>
      </c>
      <c r="K897" s="6" t="s">
        <v>4434</v>
      </c>
      <c r="L897" s="6" t="s">
        <v>54</v>
      </c>
      <c r="M897" s="6" t="s">
        <v>54</v>
      </c>
      <c r="N897" s="6" t="s">
        <v>3905</v>
      </c>
      <c r="O897" s="6" t="s">
        <v>4435</v>
      </c>
      <c r="P897" s="6"/>
      <c r="Q897" s="8">
        <v>175</v>
      </c>
      <c r="R897" s="8">
        <v>175.52500000000001</v>
      </c>
      <c r="S897" s="8">
        <v>349.9</v>
      </c>
      <c r="T897" s="8">
        <v>14</v>
      </c>
      <c r="U897" s="8">
        <v>2</v>
      </c>
      <c r="V897" s="8">
        <f t="shared" si="14"/>
        <v>28</v>
      </c>
      <c r="W897" s="12">
        <f t="shared" si="15"/>
        <v>4914.7</v>
      </c>
      <c r="Y897">
        <v>2</v>
      </c>
    </row>
    <row r="898" spans="1:25" ht="40" customHeight="1">
      <c r="A898" s="5" t="s">
        <v>4436</v>
      </c>
      <c r="B898" s="6" t="s">
        <v>4437</v>
      </c>
      <c r="C898" s="6">
        <v>233255</v>
      </c>
      <c r="D898" s="6" t="s">
        <v>4438</v>
      </c>
      <c r="E898" s="6" t="s">
        <v>4439</v>
      </c>
      <c r="F898" s="6"/>
      <c r="G898" s="6" t="s">
        <v>4432</v>
      </c>
      <c r="H898" s="6" t="s">
        <v>215</v>
      </c>
      <c r="I898" s="6" t="s">
        <v>417</v>
      </c>
      <c r="J898" s="6" t="s">
        <v>4433</v>
      </c>
      <c r="K898" s="6" t="s">
        <v>4440</v>
      </c>
      <c r="L898" s="6" t="s">
        <v>54</v>
      </c>
      <c r="M898" s="6" t="s">
        <v>54</v>
      </c>
      <c r="N898" s="6" t="s">
        <v>3905</v>
      </c>
      <c r="O898" s="6" t="s">
        <v>4435</v>
      </c>
      <c r="P898" s="6"/>
      <c r="Q898" s="8">
        <v>175</v>
      </c>
      <c r="R898" s="8">
        <v>175.52500000000001</v>
      </c>
      <c r="S898" s="8">
        <v>349.9</v>
      </c>
      <c r="T898" s="8">
        <v>14</v>
      </c>
      <c r="U898" s="8">
        <v>1</v>
      </c>
      <c r="V898" s="8">
        <f t="shared" si="14"/>
        <v>14</v>
      </c>
      <c r="W898" s="12">
        <f t="shared" si="15"/>
        <v>2457.35</v>
      </c>
      <c r="Y898">
        <v>1</v>
      </c>
    </row>
    <row r="899" spans="1:25" ht="40" customHeight="1">
      <c r="A899" s="5" t="s">
        <v>4441</v>
      </c>
      <c r="B899" s="6" t="s">
        <v>4442</v>
      </c>
      <c r="C899" s="6">
        <v>233271</v>
      </c>
      <c r="D899" s="6" t="s">
        <v>27</v>
      </c>
      <c r="E899" s="6" t="s">
        <v>4443</v>
      </c>
      <c r="F899" s="6"/>
      <c r="G899" s="6" t="s">
        <v>4444</v>
      </c>
      <c r="H899" s="6" t="s">
        <v>4445</v>
      </c>
      <c r="I899" s="6" t="s">
        <v>417</v>
      </c>
      <c r="J899" s="6" t="s">
        <v>4446</v>
      </c>
      <c r="K899" s="6" t="s">
        <v>4447</v>
      </c>
      <c r="L899" s="6" t="s">
        <v>54</v>
      </c>
      <c r="M899" s="6" t="s">
        <v>54</v>
      </c>
      <c r="N899" s="6" t="s">
        <v>3905</v>
      </c>
      <c r="O899" s="6" t="s">
        <v>4448</v>
      </c>
      <c r="P899" s="6"/>
      <c r="Q899" s="8">
        <v>200</v>
      </c>
      <c r="R899" s="8">
        <v>200.6</v>
      </c>
      <c r="S899" s="8">
        <v>399.9</v>
      </c>
      <c r="T899" s="8">
        <v>14</v>
      </c>
      <c r="U899" s="8">
        <v>1</v>
      </c>
      <c r="V899" s="8">
        <f t="shared" si="14"/>
        <v>14</v>
      </c>
      <c r="W899" s="12">
        <f t="shared" si="15"/>
        <v>2808.4</v>
      </c>
      <c r="X899">
        <f>VLOOKUP(E899,[1]Sheet2!$A:$C,3,FALSE)</f>
        <v>1</v>
      </c>
      <c r="Y899">
        <v>2</v>
      </c>
    </row>
    <row r="900" spans="1:25" ht="40" customHeight="1">
      <c r="A900" s="5" t="s">
        <v>4449</v>
      </c>
      <c r="B900" s="6" t="s">
        <v>4450</v>
      </c>
      <c r="C900" s="6">
        <v>233271</v>
      </c>
      <c r="D900" s="6" t="s">
        <v>4451</v>
      </c>
      <c r="E900" s="6" t="s">
        <v>4452</v>
      </c>
      <c r="F900" s="6"/>
      <c r="G900" s="6" t="s">
        <v>4444</v>
      </c>
      <c r="H900" s="6" t="s">
        <v>4445</v>
      </c>
      <c r="I900" s="6" t="s">
        <v>417</v>
      </c>
      <c r="J900" s="6" t="s">
        <v>4446</v>
      </c>
      <c r="K900" s="6" t="s">
        <v>4453</v>
      </c>
      <c r="L900" s="6" t="s">
        <v>54</v>
      </c>
      <c r="M900" s="6" t="s">
        <v>54</v>
      </c>
      <c r="N900" s="6" t="s">
        <v>3905</v>
      </c>
      <c r="O900" s="6" t="s">
        <v>4448</v>
      </c>
      <c r="P900" s="6"/>
      <c r="Q900" s="8">
        <v>200</v>
      </c>
      <c r="R900" s="8">
        <v>200.6</v>
      </c>
      <c r="S900" s="8">
        <v>399.9</v>
      </c>
      <c r="T900" s="8">
        <v>14</v>
      </c>
      <c r="U900" s="8">
        <v>1</v>
      </c>
      <c r="V900" s="8">
        <f t="shared" si="14"/>
        <v>14</v>
      </c>
      <c r="W900" s="12">
        <f t="shared" si="15"/>
        <v>2808.4</v>
      </c>
      <c r="Y900">
        <v>1</v>
      </c>
    </row>
    <row r="901" spans="1:25" ht="40" customHeight="1">
      <c r="A901" s="5" t="s">
        <v>4454</v>
      </c>
      <c r="B901" s="6" t="s">
        <v>4455</v>
      </c>
      <c r="C901" s="6">
        <v>233272</v>
      </c>
      <c r="D901" s="6" t="s">
        <v>27</v>
      </c>
      <c r="E901" s="6" t="s">
        <v>4456</v>
      </c>
      <c r="F901" s="6"/>
      <c r="G901" s="6" t="s">
        <v>4444</v>
      </c>
      <c r="H901" s="6" t="s">
        <v>215</v>
      </c>
      <c r="I901" s="6" t="s">
        <v>417</v>
      </c>
      <c r="J901" s="6" t="s">
        <v>4457</v>
      </c>
      <c r="K901" s="6" t="s">
        <v>3109</v>
      </c>
      <c r="L901" s="6" t="s">
        <v>54</v>
      </c>
      <c r="M901" s="6" t="s">
        <v>54</v>
      </c>
      <c r="N901" s="6" t="s">
        <v>3905</v>
      </c>
      <c r="O901" s="6" t="s">
        <v>4458</v>
      </c>
      <c r="P901" s="6"/>
      <c r="Q901" s="8">
        <v>200</v>
      </c>
      <c r="R901" s="8">
        <v>200.6</v>
      </c>
      <c r="S901" s="8">
        <v>399.9</v>
      </c>
      <c r="T901" s="8">
        <v>14</v>
      </c>
      <c r="U901" s="8">
        <v>1</v>
      </c>
      <c r="V901" s="8">
        <f t="shared" si="14"/>
        <v>14</v>
      </c>
      <c r="W901" s="12">
        <f t="shared" si="15"/>
        <v>2808.4</v>
      </c>
      <c r="Y901">
        <v>1</v>
      </c>
    </row>
    <row r="902" spans="1:25" ht="40" customHeight="1">
      <c r="A902" s="5" t="s">
        <v>4459</v>
      </c>
      <c r="B902" s="6" t="s">
        <v>4460</v>
      </c>
      <c r="C902" s="6">
        <v>233272</v>
      </c>
      <c r="D902" s="6" t="s">
        <v>4461</v>
      </c>
      <c r="E902" s="6" t="s">
        <v>4462</v>
      </c>
      <c r="F902" s="6"/>
      <c r="G902" s="6" t="s">
        <v>4444</v>
      </c>
      <c r="H902" s="6" t="s">
        <v>215</v>
      </c>
      <c r="I902" s="6" t="s">
        <v>417</v>
      </c>
      <c r="J902" s="6" t="s">
        <v>4457</v>
      </c>
      <c r="K902" s="6" t="s">
        <v>4463</v>
      </c>
      <c r="L902" s="6" t="s">
        <v>54</v>
      </c>
      <c r="M902" s="6" t="s">
        <v>54</v>
      </c>
      <c r="N902" s="6" t="s">
        <v>3905</v>
      </c>
      <c r="O902" s="6" t="s">
        <v>4458</v>
      </c>
      <c r="P902" s="6"/>
      <c r="Q902" s="8">
        <v>200</v>
      </c>
      <c r="R902" s="8">
        <v>200.6</v>
      </c>
      <c r="S902" s="8">
        <v>399.9</v>
      </c>
      <c r="T902" s="8">
        <v>14</v>
      </c>
      <c r="U902" s="8"/>
      <c r="V902" s="8">
        <f t="shared" si="14"/>
        <v>0</v>
      </c>
      <c r="W902" s="12">
        <f t="shared" si="15"/>
        <v>0</v>
      </c>
      <c r="Y902">
        <v>0</v>
      </c>
    </row>
    <row r="903" spans="1:25" ht="40" customHeight="1">
      <c r="A903" s="5" t="s">
        <v>4464</v>
      </c>
      <c r="B903" s="14" t="s">
        <v>4465</v>
      </c>
      <c r="C903" s="1" t="s">
        <v>4466</v>
      </c>
      <c r="D903" s="6" t="s">
        <v>27</v>
      </c>
      <c r="E903" s="1" t="s">
        <v>4467</v>
      </c>
      <c r="F903" s="6" t="s">
        <v>5</v>
      </c>
      <c r="G903" s="6" t="s">
        <v>2038</v>
      </c>
      <c r="H903" s="6" t="s">
        <v>215</v>
      </c>
      <c r="I903" s="6" t="s">
        <v>417</v>
      </c>
      <c r="J903" s="6" t="s">
        <v>4468</v>
      </c>
      <c r="K903" s="6" t="s">
        <v>3978</v>
      </c>
      <c r="L903" s="6" t="s">
        <v>54</v>
      </c>
      <c r="M903" s="6" t="s">
        <v>54</v>
      </c>
      <c r="N903" s="6" t="s">
        <v>3905</v>
      </c>
      <c r="O903" s="6" t="s">
        <v>2041</v>
      </c>
      <c r="P903" s="6"/>
      <c r="Q903" s="8">
        <v>175</v>
      </c>
      <c r="R903" s="8">
        <v>175.52500000000001</v>
      </c>
      <c r="S903" s="8">
        <v>349.9</v>
      </c>
      <c r="T903" s="8">
        <v>14</v>
      </c>
      <c r="U903" s="8"/>
      <c r="V903" s="8">
        <f t="shared" si="14"/>
        <v>0</v>
      </c>
      <c r="W903" s="12">
        <f t="shared" si="15"/>
        <v>0</v>
      </c>
      <c r="Y903">
        <v>0</v>
      </c>
    </row>
    <row r="904" spans="1:25" ht="40" customHeight="1">
      <c r="A904" s="6" t="s">
        <v>4469</v>
      </c>
      <c r="B904" s="8" t="s">
        <v>4470</v>
      </c>
      <c r="C904" s="1" t="s">
        <v>4466</v>
      </c>
      <c r="D904" s="6" t="s">
        <v>64</v>
      </c>
      <c r="E904" s="1" t="s">
        <v>4471</v>
      </c>
      <c r="F904" s="6" t="s">
        <v>5</v>
      </c>
      <c r="G904" s="6" t="s">
        <v>2038</v>
      </c>
      <c r="H904" s="6" t="s">
        <v>215</v>
      </c>
      <c r="I904" s="6" t="s">
        <v>417</v>
      </c>
      <c r="J904" s="6" t="s">
        <v>4468</v>
      </c>
      <c r="K904" s="6" t="s">
        <v>3978</v>
      </c>
      <c r="L904" s="6" t="s">
        <v>54</v>
      </c>
      <c r="M904" s="6" t="s">
        <v>54</v>
      </c>
      <c r="N904" s="6" t="s">
        <v>3905</v>
      </c>
      <c r="O904" s="6" t="s">
        <v>2041</v>
      </c>
      <c r="P904" s="6"/>
      <c r="Q904" s="8">
        <v>175</v>
      </c>
      <c r="R904" s="8">
        <v>175.52500000000001</v>
      </c>
      <c r="S904" s="8">
        <v>349.9</v>
      </c>
      <c r="T904" s="8">
        <v>14</v>
      </c>
      <c r="U904" s="8"/>
      <c r="V904" s="8">
        <f t="shared" si="14"/>
        <v>0</v>
      </c>
      <c r="W904" s="12">
        <f t="shared" si="15"/>
        <v>0</v>
      </c>
      <c r="Y904">
        <v>0</v>
      </c>
    </row>
    <row r="905" spans="1:25" ht="40" customHeight="1">
      <c r="A905" s="6" t="s">
        <v>4472</v>
      </c>
      <c r="B905" s="6" t="s">
        <v>4473</v>
      </c>
      <c r="C905" s="6">
        <v>233303</v>
      </c>
      <c r="D905" s="6" t="s">
        <v>126</v>
      </c>
      <c r="E905" s="6" t="s">
        <v>4474</v>
      </c>
      <c r="F905" s="6"/>
      <c r="G905" s="6" t="s">
        <v>2038</v>
      </c>
      <c r="H905" s="6" t="s">
        <v>215</v>
      </c>
      <c r="I905" s="6" t="s">
        <v>417</v>
      </c>
      <c r="J905" s="6" t="s">
        <v>4468</v>
      </c>
      <c r="K905" s="6" t="s">
        <v>4475</v>
      </c>
      <c r="L905" s="6" t="s">
        <v>54</v>
      </c>
      <c r="M905" s="6" t="s">
        <v>54</v>
      </c>
      <c r="N905" s="6" t="s">
        <v>3905</v>
      </c>
      <c r="O905" s="6" t="s">
        <v>2041</v>
      </c>
      <c r="P905" s="6"/>
      <c r="Q905" s="8">
        <v>175</v>
      </c>
      <c r="R905" s="8">
        <v>175.52500000000001</v>
      </c>
      <c r="S905" s="8">
        <v>349.9</v>
      </c>
      <c r="T905" s="8">
        <v>14</v>
      </c>
      <c r="U905" s="8"/>
      <c r="V905" s="8">
        <f t="shared" si="14"/>
        <v>0</v>
      </c>
      <c r="W905" s="12">
        <f t="shared" si="15"/>
        <v>0</v>
      </c>
      <c r="Y905">
        <v>0</v>
      </c>
    </row>
    <row r="906" spans="1:25" ht="40" customHeight="1">
      <c r="A906" s="5" t="s">
        <v>4476</v>
      </c>
      <c r="B906" s="6" t="s">
        <v>4477</v>
      </c>
      <c r="C906" s="6">
        <v>233321</v>
      </c>
      <c r="D906" s="6" t="s">
        <v>27</v>
      </c>
      <c r="E906" s="6" t="s">
        <v>4478</v>
      </c>
      <c r="F906" s="6"/>
      <c r="G906" s="6" t="s">
        <v>2048</v>
      </c>
      <c r="H906" s="6" t="s">
        <v>4479</v>
      </c>
      <c r="I906" s="6" t="s">
        <v>417</v>
      </c>
      <c r="J906" s="6" t="s">
        <v>4480</v>
      </c>
      <c r="K906" s="6" t="s">
        <v>4481</v>
      </c>
      <c r="L906" s="6" t="s">
        <v>54</v>
      </c>
      <c r="M906" s="6" t="s">
        <v>54</v>
      </c>
      <c r="N906" s="6" t="s">
        <v>3905</v>
      </c>
      <c r="O906" s="6" t="s">
        <v>4482</v>
      </c>
      <c r="P906" s="6"/>
      <c r="Q906" s="8">
        <v>200</v>
      </c>
      <c r="R906" s="8">
        <v>200.6</v>
      </c>
      <c r="S906" s="8">
        <v>399.9</v>
      </c>
      <c r="T906" s="8">
        <v>14</v>
      </c>
      <c r="U906" s="8">
        <v>1</v>
      </c>
      <c r="V906" s="8">
        <f t="shared" si="14"/>
        <v>14</v>
      </c>
      <c r="W906" s="12">
        <f t="shared" si="15"/>
        <v>2808.4</v>
      </c>
      <c r="Y906">
        <v>1</v>
      </c>
    </row>
    <row r="907" spans="1:25" ht="40" customHeight="1">
      <c r="A907" s="5" t="s">
        <v>4483</v>
      </c>
      <c r="B907" s="6" t="s">
        <v>4484</v>
      </c>
      <c r="C907" s="6">
        <v>233321</v>
      </c>
      <c r="D907" s="6" t="s">
        <v>445</v>
      </c>
      <c r="E907" s="6" t="s">
        <v>4485</v>
      </c>
      <c r="F907" s="6"/>
      <c r="G907" s="6" t="s">
        <v>2048</v>
      </c>
      <c r="H907" s="6" t="s">
        <v>4479</v>
      </c>
      <c r="I907" s="6" t="s">
        <v>417</v>
      </c>
      <c r="J907" s="6" t="s">
        <v>4480</v>
      </c>
      <c r="K907" s="6" t="s">
        <v>4486</v>
      </c>
      <c r="L907" s="6" t="s">
        <v>54</v>
      </c>
      <c r="M907" s="6" t="s">
        <v>54</v>
      </c>
      <c r="N907" s="6" t="s">
        <v>3905</v>
      </c>
      <c r="O907" s="6" t="s">
        <v>4482</v>
      </c>
      <c r="P907" s="6"/>
      <c r="Q907" s="8">
        <v>200</v>
      </c>
      <c r="R907" s="8">
        <v>200.6</v>
      </c>
      <c r="S907" s="8">
        <v>399.9</v>
      </c>
      <c r="T907" s="8">
        <v>14</v>
      </c>
      <c r="U907" s="8">
        <v>1</v>
      </c>
      <c r="V907" s="8">
        <f t="shared" si="14"/>
        <v>14</v>
      </c>
      <c r="W907" s="12">
        <f t="shared" si="15"/>
        <v>2808.4</v>
      </c>
      <c r="Y907">
        <v>1</v>
      </c>
    </row>
    <row r="908" spans="1:25" ht="40" customHeight="1">
      <c r="A908" s="5" t="s">
        <v>4487</v>
      </c>
      <c r="B908" s="6" t="s">
        <v>4488</v>
      </c>
      <c r="C908" s="6">
        <v>233321</v>
      </c>
      <c r="D908" s="6" t="s">
        <v>1699</v>
      </c>
      <c r="E908" s="6" t="s">
        <v>4489</v>
      </c>
      <c r="F908" s="6"/>
      <c r="G908" s="6" t="s">
        <v>2048</v>
      </c>
      <c r="H908" s="6" t="s">
        <v>4479</v>
      </c>
      <c r="I908" s="6" t="s">
        <v>417</v>
      </c>
      <c r="J908" s="6" t="s">
        <v>4480</v>
      </c>
      <c r="K908" s="6" t="s">
        <v>4490</v>
      </c>
      <c r="L908" s="6" t="s">
        <v>54</v>
      </c>
      <c r="M908" s="6" t="s">
        <v>54</v>
      </c>
      <c r="N908" s="6" t="s">
        <v>3905</v>
      </c>
      <c r="O908" s="6" t="s">
        <v>4482</v>
      </c>
      <c r="P908" s="6"/>
      <c r="Q908" s="8">
        <v>200</v>
      </c>
      <c r="R908" s="8">
        <v>200.6</v>
      </c>
      <c r="S908" s="8">
        <v>399.9</v>
      </c>
      <c r="T908" s="8">
        <v>14</v>
      </c>
      <c r="U908" s="8">
        <v>1</v>
      </c>
      <c r="V908" s="8">
        <f t="shared" si="14"/>
        <v>14</v>
      </c>
      <c r="W908" s="12">
        <f t="shared" si="15"/>
        <v>2808.4</v>
      </c>
      <c r="X908">
        <f>VLOOKUP(E908,[1]Sheet2!$A:$C,3,FALSE)</f>
        <v>1</v>
      </c>
      <c r="Y908">
        <v>2</v>
      </c>
    </row>
    <row r="909" spans="1:25" ht="40" customHeight="1">
      <c r="A909" s="5" t="s">
        <v>4491</v>
      </c>
      <c r="B909" s="8" t="s">
        <v>4492</v>
      </c>
      <c r="C909" s="1" t="s">
        <v>4493</v>
      </c>
      <c r="D909" s="6" t="s">
        <v>3239</v>
      </c>
      <c r="E909" s="1" t="s">
        <v>4494</v>
      </c>
      <c r="F909" s="6" t="s">
        <v>5</v>
      </c>
      <c r="G909" s="6" t="s">
        <v>2108</v>
      </c>
      <c r="H909" s="6" t="s">
        <v>215</v>
      </c>
      <c r="I909" s="6" t="s">
        <v>417</v>
      </c>
      <c r="J909" s="6" t="s">
        <v>4495</v>
      </c>
      <c r="K909" s="6" t="s">
        <v>4496</v>
      </c>
      <c r="L909" s="6" t="s">
        <v>54</v>
      </c>
      <c r="M909" s="6" t="s">
        <v>54</v>
      </c>
      <c r="N909" s="6" t="s">
        <v>3905</v>
      </c>
      <c r="O909" s="6" t="s">
        <v>4497</v>
      </c>
      <c r="P909" s="6"/>
      <c r="Q909" s="8">
        <v>200</v>
      </c>
      <c r="R909" s="8">
        <v>200.6</v>
      </c>
      <c r="S909" s="8">
        <v>399.9</v>
      </c>
      <c r="T909" s="8">
        <v>14</v>
      </c>
      <c r="U909" s="8">
        <v>1</v>
      </c>
      <c r="V909" s="8">
        <f t="shared" si="14"/>
        <v>14</v>
      </c>
      <c r="W909" s="12">
        <f t="shared" si="15"/>
        <v>2808.4</v>
      </c>
      <c r="Y909">
        <v>1</v>
      </c>
    </row>
    <row r="910" spans="1:25" ht="40" customHeight="1">
      <c r="A910" s="5" t="s">
        <v>4498</v>
      </c>
      <c r="B910" s="8" t="s">
        <v>4499</v>
      </c>
      <c r="C910" s="1" t="s">
        <v>4493</v>
      </c>
      <c r="D910" s="6" t="s">
        <v>1699</v>
      </c>
      <c r="E910" s="1" t="s">
        <v>4500</v>
      </c>
      <c r="F910" s="6" t="s">
        <v>5</v>
      </c>
      <c r="G910" s="6" t="s">
        <v>2108</v>
      </c>
      <c r="H910" s="6" t="s">
        <v>215</v>
      </c>
      <c r="I910" s="6" t="s">
        <v>417</v>
      </c>
      <c r="J910" s="6" t="s">
        <v>4495</v>
      </c>
      <c r="K910" s="6" t="s">
        <v>4501</v>
      </c>
      <c r="L910" s="6" t="s">
        <v>54</v>
      </c>
      <c r="M910" s="6" t="s">
        <v>54</v>
      </c>
      <c r="N910" s="6" t="s">
        <v>3905</v>
      </c>
      <c r="O910" s="6" t="s">
        <v>4497</v>
      </c>
      <c r="P910" s="6"/>
      <c r="Q910" s="8">
        <v>200</v>
      </c>
      <c r="R910" s="8">
        <v>200.6</v>
      </c>
      <c r="S910" s="8">
        <v>399.9</v>
      </c>
      <c r="T910" s="8">
        <v>14</v>
      </c>
      <c r="U910" s="8">
        <v>1</v>
      </c>
      <c r="V910" s="8">
        <f t="shared" si="14"/>
        <v>14</v>
      </c>
      <c r="W910" s="12">
        <f t="shared" si="15"/>
        <v>2808.4</v>
      </c>
      <c r="Y910">
        <v>1</v>
      </c>
    </row>
    <row r="911" spans="1:25" ht="40" customHeight="1">
      <c r="A911" s="5" t="s">
        <v>4502</v>
      </c>
      <c r="B911" s="6" t="s">
        <v>4503</v>
      </c>
      <c r="C911" s="6">
        <v>233401</v>
      </c>
      <c r="D911" s="6" t="s">
        <v>27</v>
      </c>
      <c r="E911" s="6" t="s">
        <v>4504</v>
      </c>
      <c r="F911" s="6"/>
      <c r="G911" s="6" t="s">
        <v>2108</v>
      </c>
      <c r="H911" s="6" t="s">
        <v>215</v>
      </c>
      <c r="I911" s="6" t="s">
        <v>417</v>
      </c>
      <c r="J911" s="6" t="s">
        <v>4505</v>
      </c>
      <c r="K911" s="6" t="s">
        <v>4177</v>
      </c>
      <c r="L911" s="6" t="s">
        <v>54</v>
      </c>
      <c r="M911" s="6" t="s">
        <v>54</v>
      </c>
      <c r="N911" s="6" t="s">
        <v>3905</v>
      </c>
      <c r="O911" s="6" t="s">
        <v>4506</v>
      </c>
      <c r="P911" s="6"/>
      <c r="Q911" s="8">
        <v>175</v>
      </c>
      <c r="R911" s="8">
        <v>175.52500000000001</v>
      </c>
      <c r="S911" s="8">
        <v>349.9</v>
      </c>
      <c r="T911" s="8">
        <v>14</v>
      </c>
      <c r="U911" s="8">
        <v>1</v>
      </c>
      <c r="V911" s="8">
        <f t="shared" si="14"/>
        <v>14</v>
      </c>
      <c r="W911" s="12">
        <f t="shared" si="15"/>
        <v>2457.35</v>
      </c>
      <c r="Y911">
        <v>1</v>
      </c>
    </row>
    <row r="912" spans="1:25" ht="40" customHeight="1">
      <c r="A912" s="6" t="s">
        <v>4507</v>
      </c>
      <c r="B912" s="6" t="s">
        <v>4508</v>
      </c>
      <c r="C912" s="6">
        <v>233401</v>
      </c>
      <c r="D912" s="6" t="s">
        <v>170</v>
      </c>
      <c r="E912" s="6" t="s">
        <v>4509</v>
      </c>
      <c r="F912" s="6"/>
      <c r="G912" s="6" t="s">
        <v>2108</v>
      </c>
      <c r="H912" s="6" t="s">
        <v>215</v>
      </c>
      <c r="I912" s="6" t="s">
        <v>417</v>
      </c>
      <c r="J912" s="6" t="s">
        <v>4505</v>
      </c>
      <c r="K912" s="6" t="s">
        <v>4510</v>
      </c>
      <c r="L912" s="6" t="s">
        <v>54</v>
      </c>
      <c r="M912" s="6" t="s">
        <v>54</v>
      </c>
      <c r="N912" s="6" t="s">
        <v>3905</v>
      </c>
      <c r="O912" s="6" t="s">
        <v>4506</v>
      </c>
      <c r="P912" s="6"/>
      <c r="Q912" s="8">
        <v>175</v>
      </c>
      <c r="R912" s="8">
        <v>175.52500000000001</v>
      </c>
      <c r="S912" s="8">
        <v>349.9</v>
      </c>
      <c r="T912" s="8">
        <v>14</v>
      </c>
      <c r="U912" s="8"/>
      <c r="V912" s="8">
        <f t="shared" si="14"/>
        <v>0</v>
      </c>
      <c r="W912" s="12">
        <f t="shared" si="15"/>
        <v>0</v>
      </c>
      <c r="Y912">
        <v>0</v>
      </c>
    </row>
    <row r="913" spans="1:25" ht="40" customHeight="1">
      <c r="A913" s="5" t="s">
        <v>4511</v>
      </c>
      <c r="B913" s="6" t="s">
        <v>4512</v>
      </c>
      <c r="C913" s="6">
        <v>233401</v>
      </c>
      <c r="D913" s="6" t="s">
        <v>3559</v>
      </c>
      <c r="E913" s="6" t="s">
        <v>4513</v>
      </c>
      <c r="F913" s="6"/>
      <c r="G913" s="6" t="s">
        <v>2108</v>
      </c>
      <c r="H913" s="6" t="s">
        <v>215</v>
      </c>
      <c r="I913" s="6" t="s">
        <v>417</v>
      </c>
      <c r="J913" s="6" t="s">
        <v>4505</v>
      </c>
      <c r="K913" s="6" t="s">
        <v>4514</v>
      </c>
      <c r="L913" s="6" t="s">
        <v>54</v>
      </c>
      <c r="M913" s="6" t="s">
        <v>54</v>
      </c>
      <c r="N913" s="6" t="s">
        <v>3905</v>
      </c>
      <c r="O913" s="6" t="s">
        <v>4506</v>
      </c>
      <c r="P913" s="6"/>
      <c r="Q913" s="8">
        <v>175</v>
      </c>
      <c r="R913" s="8">
        <v>175.52500000000001</v>
      </c>
      <c r="S913" s="8">
        <v>349.9</v>
      </c>
      <c r="T913" s="8">
        <v>14</v>
      </c>
      <c r="U913" s="8"/>
      <c r="V913" s="8">
        <f t="shared" si="14"/>
        <v>0</v>
      </c>
      <c r="W913" s="12">
        <f t="shared" si="15"/>
        <v>0</v>
      </c>
      <c r="Y913">
        <v>0</v>
      </c>
    </row>
    <row r="914" spans="1:25" ht="40" customHeight="1">
      <c r="A914" s="5" t="s">
        <v>4515</v>
      </c>
      <c r="B914" s="6" t="s">
        <v>4516</v>
      </c>
      <c r="C914" s="6">
        <v>233401</v>
      </c>
      <c r="D914" s="6" t="s">
        <v>333</v>
      </c>
      <c r="E914" s="6" t="s">
        <v>4517</v>
      </c>
      <c r="F914" s="6"/>
      <c r="G914" s="6" t="s">
        <v>2108</v>
      </c>
      <c r="H914" s="6" t="s">
        <v>215</v>
      </c>
      <c r="I914" s="6" t="s">
        <v>417</v>
      </c>
      <c r="J914" s="6" t="s">
        <v>4505</v>
      </c>
      <c r="K914" s="6" t="s">
        <v>4518</v>
      </c>
      <c r="L914" s="6" t="s">
        <v>54</v>
      </c>
      <c r="M914" s="6" t="s">
        <v>54</v>
      </c>
      <c r="N914" s="6" t="s">
        <v>3905</v>
      </c>
      <c r="O914" s="6" t="s">
        <v>4506</v>
      </c>
      <c r="P914" s="6"/>
      <c r="Q914" s="8">
        <v>175</v>
      </c>
      <c r="R914" s="8">
        <v>175.52500000000001</v>
      </c>
      <c r="S914" s="8">
        <v>349.9</v>
      </c>
      <c r="T914" s="8">
        <v>14</v>
      </c>
      <c r="U914" s="8">
        <v>1</v>
      </c>
      <c r="V914" s="8">
        <f t="shared" si="14"/>
        <v>14</v>
      </c>
      <c r="W914" s="12">
        <f t="shared" si="15"/>
        <v>2457.35</v>
      </c>
      <c r="Y914">
        <v>1</v>
      </c>
    </row>
    <row r="915" spans="1:25" ht="40" customHeight="1">
      <c r="A915" s="5" t="s">
        <v>4519</v>
      </c>
      <c r="B915" s="6" t="s">
        <v>4520</v>
      </c>
      <c r="C915" s="6">
        <v>237192</v>
      </c>
      <c r="D915" s="6" t="s">
        <v>3525</v>
      </c>
      <c r="E915" s="6" t="s">
        <v>4521</v>
      </c>
      <c r="F915" s="6"/>
      <c r="G915" s="6" t="s">
        <v>4522</v>
      </c>
      <c r="H915" s="6" t="s">
        <v>215</v>
      </c>
      <c r="I915" s="6" t="s">
        <v>417</v>
      </c>
      <c r="J915" s="6" t="s">
        <v>4523</v>
      </c>
      <c r="K915" s="6" t="s">
        <v>4524</v>
      </c>
      <c r="L915" s="6" t="s">
        <v>4525</v>
      </c>
      <c r="M915" s="6" t="s">
        <v>4526</v>
      </c>
      <c r="N915" s="6" t="s">
        <v>3541</v>
      </c>
      <c r="O915" s="6" t="s">
        <v>4527</v>
      </c>
      <c r="P915" s="6"/>
      <c r="Q915" s="8">
        <v>190</v>
      </c>
      <c r="R915" s="8">
        <v>190.57</v>
      </c>
      <c r="S915" s="8">
        <v>379.9</v>
      </c>
      <c r="T915" s="8">
        <v>14</v>
      </c>
      <c r="U915" s="8"/>
      <c r="V915" s="8">
        <f t="shared" si="14"/>
        <v>0</v>
      </c>
      <c r="W915" s="12">
        <f t="shared" si="15"/>
        <v>0</v>
      </c>
      <c r="Y915">
        <v>0</v>
      </c>
    </row>
    <row r="916" spans="1:25" ht="40" customHeight="1">
      <c r="A916" s="6" t="s">
        <v>4528</v>
      </c>
      <c r="B916" s="6" t="s">
        <v>4529</v>
      </c>
      <c r="C916" s="6">
        <v>237192</v>
      </c>
      <c r="D916" s="6" t="s">
        <v>4022</v>
      </c>
      <c r="E916" s="6" t="s">
        <v>4530</v>
      </c>
      <c r="F916" s="6"/>
      <c r="G916" s="6" t="s">
        <v>4522</v>
      </c>
      <c r="H916" s="6" t="s">
        <v>215</v>
      </c>
      <c r="I916" s="6" t="s">
        <v>417</v>
      </c>
      <c r="J916" s="6" t="s">
        <v>4523</v>
      </c>
      <c r="K916" s="6" t="s">
        <v>4531</v>
      </c>
      <c r="L916" s="6" t="s">
        <v>4525</v>
      </c>
      <c r="M916" s="6" t="s">
        <v>4526</v>
      </c>
      <c r="N916" s="6" t="s">
        <v>3541</v>
      </c>
      <c r="O916" s="6" t="s">
        <v>4527</v>
      </c>
      <c r="P916" s="6"/>
      <c r="Q916" s="8">
        <v>190</v>
      </c>
      <c r="R916" s="8">
        <v>190.57</v>
      </c>
      <c r="S916" s="8">
        <v>379.9</v>
      </c>
      <c r="T916" s="8">
        <v>14</v>
      </c>
      <c r="U916" s="8"/>
      <c r="V916" s="8">
        <f t="shared" si="14"/>
        <v>0</v>
      </c>
      <c r="W916" s="12">
        <f t="shared" si="15"/>
        <v>0</v>
      </c>
      <c r="X916">
        <f>VLOOKUP(E916,[1]Sheet2!$A:$C,3,FALSE)</f>
        <v>1</v>
      </c>
      <c r="Y916">
        <v>1</v>
      </c>
    </row>
    <row r="917" spans="1:25" ht="40" customHeight="1">
      <c r="A917" s="5" t="s">
        <v>4532</v>
      </c>
      <c r="B917" s="6" t="s">
        <v>4533</v>
      </c>
      <c r="C917" s="6">
        <v>237193</v>
      </c>
      <c r="D917" s="6" t="s">
        <v>64</v>
      </c>
      <c r="E917" s="6" t="s">
        <v>4534</v>
      </c>
      <c r="F917" s="6"/>
      <c r="G917" s="6" t="s">
        <v>4522</v>
      </c>
      <c r="H917" s="6" t="s">
        <v>4535</v>
      </c>
      <c r="I917" s="6" t="s">
        <v>417</v>
      </c>
      <c r="J917" s="6" t="s">
        <v>4536</v>
      </c>
      <c r="K917" s="6" t="s">
        <v>4537</v>
      </c>
      <c r="L917" s="6" t="s">
        <v>54</v>
      </c>
      <c r="M917" s="6" t="s">
        <v>54</v>
      </c>
      <c r="N917" s="6" t="s">
        <v>3541</v>
      </c>
      <c r="O917" s="6" t="s">
        <v>4527</v>
      </c>
      <c r="P917" s="6"/>
      <c r="Q917" s="8">
        <v>175</v>
      </c>
      <c r="R917" s="8">
        <v>175.52500000000001</v>
      </c>
      <c r="S917" s="8">
        <v>349.9</v>
      </c>
      <c r="T917" s="8">
        <v>14</v>
      </c>
      <c r="U917" s="8"/>
      <c r="V917" s="8">
        <f t="shared" si="14"/>
        <v>0</v>
      </c>
      <c r="W917" s="12">
        <f t="shared" si="15"/>
        <v>0</v>
      </c>
      <c r="Y917">
        <v>0</v>
      </c>
    </row>
    <row r="918" spans="1:25" ht="40" customHeight="1">
      <c r="A918" s="6" t="s">
        <v>4538</v>
      </c>
      <c r="B918" s="6" t="s">
        <v>4539</v>
      </c>
      <c r="C918" s="6">
        <v>237193</v>
      </c>
      <c r="D918" s="6" t="s">
        <v>4540</v>
      </c>
      <c r="E918" s="6" t="s">
        <v>4541</v>
      </c>
      <c r="F918" s="6"/>
      <c r="G918" s="6" t="s">
        <v>4522</v>
      </c>
      <c r="H918" s="6" t="s">
        <v>4535</v>
      </c>
      <c r="I918" s="6" t="s">
        <v>417</v>
      </c>
      <c r="J918" s="6" t="s">
        <v>4536</v>
      </c>
      <c r="K918" s="6" t="s">
        <v>4542</v>
      </c>
      <c r="L918" s="6" t="s">
        <v>54</v>
      </c>
      <c r="M918" s="6" t="s">
        <v>54</v>
      </c>
      <c r="N918" s="6" t="s">
        <v>3541</v>
      </c>
      <c r="O918" s="6" t="s">
        <v>4527</v>
      </c>
      <c r="P918" s="6"/>
      <c r="Q918" s="8">
        <v>175</v>
      </c>
      <c r="R918" s="8">
        <v>175.52500000000001</v>
      </c>
      <c r="S918" s="8">
        <v>349.9</v>
      </c>
      <c r="T918" s="8">
        <v>14</v>
      </c>
      <c r="U918" s="8"/>
      <c r="V918" s="8">
        <f t="shared" si="14"/>
        <v>0</v>
      </c>
      <c r="W918" s="12">
        <f t="shared" si="15"/>
        <v>0</v>
      </c>
      <c r="Y918">
        <v>0</v>
      </c>
    </row>
    <row r="919" spans="1:25" ht="40" customHeight="1">
      <c r="A919" s="6" t="s">
        <v>4543</v>
      </c>
      <c r="B919" s="6" t="s">
        <v>4544</v>
      </c>
      <c r="C919" s="6">
        <v>237193</v>
      </c>
      <c r="D919" s="6" t="s">
        <v>333</v>
      </c>
      <c r="E919" s="6" t="s">
        <v>4545</v>
      </c>
      <c r="F919" s="6"/>
      <c r="G919" s="6" t="s">
        <v>4522</v>
      </c>
      <c r="H919" s="6" t="s">
        <v>4535</v>
      </c>
      <c r="I919" s="6" t="s">
        <v>417</v>
      </c>
      <c r="J919" s="6" t="s">
        <v>4536</v>
      </c>
      <c r="K919" s="8"/>
      <c r="L919" s="8"/>
      <c r="M919" s="8"/>
      <c r="N919" s="8"/>
      <c r="O919" s="8"/>
      <c r="P919" s="8"/>
      <c r="Q919" s="8">
        <v>175</v>
      </c>
      <c r="R919" s="8">
        <v>175.52500000000001</v>
      </c>
      <c r="S919" s="8">
        <v>349.9</v>
      </c>
      <c r="T919" s="8">
        <v>14</v>
      </c>
      <c r="U919" s="8"/>
      <c r="V919" s="8">
        <f t="shared" si="14"/>
        <v>0</v>
      </c>
      <c r="W919" s="12">
        <f t="shared" si="15"/>
        <v>0</v>
      </c>
      <c r="Y919">
        <v>0</v>
      </c>
    </row>
    <row r="920" spans="1:25" ht="40" customHeight="1">
      <c r="A920" s="5" t="s">
        <v>4546</v>
      </c>
      <c r="B920" s="6" t="s">
        <v>4547</v>
      </c>
      <c r="C920" s="6">
        <v>237194</v>
      </c>
      <c r="D920" s="6" t="s">
        <v>27</v>
      </c>
      <c r="E920" s="6" t="s">
        <v>4548</v>
      </c>
      <c r="F920" s="6"/>
      <c r="G920" s="6"/>
      <c r="H920" s="6"/>
      <c r="I920" s="6" t="s">
        <v>417</v>
      </c>
      <c r="J920" s="8"/>
      <c r="K920" s="8"/>
      <c r="L920" s="8"/>
      <c r="M920" s="8"/>
      <c r="N920" s="8"/>
      <c r="O920" s="8"/>
      <c r="P920" s="8"/>
      <c r="Q920" s="8">
        <v>175</v>
      </c>
      <c r="R920" s="8">
        <v>175.52500000000001</v>
      </c>
      <c r="S920" s="8">
        <v>349.9</v>
      </c>
      <c r="T920" s="8">
        <v>14</v>
      </c>
      <c r="U920" s="8">
        <v>1</v>
      </c>
      <c r="V920" s="8">
        <f t="shared" si="14"/>
        <v>14</v>
      </c>
      <c r="W920" s="12">
        <f t="shared" si="15"/>
        <v>2457.35</v>
      </c>
      <c r="Y920">
        <v>1</v>
      </c>
    </row>
    <row r="921" spans="1:25" ht="40" customHeight="1">
      <c r="A921" s="5" t="s">
        <v>4549</v>
      </c>
      <c r="B921" s="6" t="s">
        <v>4550</v>
      </c>
      <c r="C921" s="6">
        <v>237211</v>
      </c>
      <c r="D921" s="6" t="s">
        <v>27</v>
      </c>
      <c r="E921" s="6" t="s">
        <v>4551</v>
      </c>
      <c r="F921" s="6"/>
      <c r="G921" s="6" t="s">
        <v>4552</v>
      </c>
      <c r="H921" s="6" t="s">
        <v>4553</v>
      </c>
      <c r="I921" s="6" t="s">
        <v>417</v>
      </c>
      <c r="J921" s="6" t="s">
        <v>4554</v>
      </c>
      <c r="K921" s="6" t="s">
        <v>4555</v>
      </c>
      <c r="L921" s="6" t="s">
        <v>4556</v>
      </c>
      <c r="M921" s="6" t="s">
        <v>4557</v>
      </c>
      <c r="N921" s="6" t="s">
        <v>3541</v>
      </c>
      <c r="O921" s="6" t="s">
        <v>4558</v>
      </c>
      <c r="P921" s="6"/>
      <c r="Q921" s="8">
        <v>175</v>
      </c>
      <c r="R921" s="8">
        <v>175.52500000000001</v>
      </c>
      <c r="S921" s="8">
        <v>349.9</v>
      </c>
      <c r="T921" s="8">
        <v>14</v>
      </c>
      <c r="U921" s="8">
        <v>2</v>
      </c>
      <c r="V921" s="8">
        <f t="shared" si="14"/>
        <v>28</v>
      </c>
      <c r="W921" s="12">
        <f t="shared" si="15"/>
        <v>4914.7</v>
      </c>
      <c r="Y921">
        <v>2</v>
      </c>
    </row>
    <row r="922" spans="1:25" ht="40" customHeight="1">
      <c r="A922" s="5" t="s">
        <v>4559</v>
      </c>
      <c r="B922" s="6" t="s">
        <v>4560</v>
      </c>
      <c r="C922" s="6">
        <v>237211</v>
      </c>
      <c r="D922" s="6" t="s">
        <v>3239</v>
      </c>
      <c r="E922" s="6" t="s">
        <v>4561</v>
      </c>
      <c r="F922" s="6"/>
      <c r="G922" s="6" t="s">
        <v>4552</v>
      </c>
      <c r="H922" s="6" t="s">
        <v>4553</v>
      </c>
      <c r="I922" s="6" t="s">
        <v>417</v>
      </c>
      <c r="J922" s="6" t="s">
        <v>4554</v>
      </c>
      <c r="K922" s="6" t="s">
        <v>4562</v>
      </c>
      <c r="L922" s="6" t="s">
        <v>4556</v>
      </c>
      <c r="M922" s="6" t="s">
        <v>4557</v>
      </c>
      <c r="N922" s="6" t="s">
        <v>3541</v>
      </c>
      <c r="O922" s="6" t="s">
        <v>4558</v>
      </c>
      <c r="P922" s="6"/>
      <c r="Q922" s="8">
        <v>175</v>
      </c>
      <c r="R922" s="8">
        <v>175.52500000000001</v>
      </c>
      <c r="S922" s="8">
        <v>349.9</v>
      </c>
      <c r="T922" s="8">
        <v>14</v>
      </c>
      <c r="U922" s="8">
        <v>2</v>
      </c>
      <c r="V922" s="8">
        <f t="shared" si="14"/>
        <v>28</v>
      </c>
      <c r="W922" s="12">
        <f t="shared" si="15"/>
        <v>4914.7</v>
      </c>
      <c r="Y922">
        <v>2</v>
      </c>
    </row>
    <row r="923" spans="1:25" ht="40" customHeight="1">
      <c r="A923" s="5" t="s">
        <v>4563</v>
      </c>
      <c r="B923" s="6" t="s">
        <v>4564</v>
      </c>
      <c r="C923" s="6">
        <v>237301</v>
      </c>
      <c r="D923" s="6" t="s">
        <v>99</v>
      </c>
      <c r="E923" s="6" t="s">
        <v>4565</v>
      </c>
      <c r="F923" s="6"/>
      <c r="G923" s="6" t="s">
        <v>4566</v>
      </c>
      <c r="H923" s="6" t="s">
        <v>4567</v>
      </c>
      <c r="I923" s="6" t="s">
        <v>417</v>
      </c>
      <c r="J923" s="6" t="s">
        <v>4568</v>
      </c>
      <c r="K923" s="6" t="s">
        <v>4569</v>
      </c>
      <c r="L923" s="6" t="s">
        <v>4570</v>
      </c>
      <c r="M923" s="6" t="s">
        <v>4571</v>
      </c>
      <c r="N923" s="6" t="s">
        <v>3541</v>
      </c>
      <c r="O923" s="6" t="s">
        <v>4572</v>
      </c>
      <c r="P923" s="6" t="s">
        <v>4573</v>
      </c>
      <c r="Q923" s="8">
        <v>200</v>
      </c>
      <c r="R923" s="8">
        <v>200.6</v>
      </c>
      <c r="S923" s="8">
        <v>399.9</v>
      </c>
      <c r="T923" s="8">
        <v>14</v>
      </c>
      <c r="U923" s="8"/>
      <c r="V923" s="8">
        <f t="shared" si="14"/>
        <v>0</v>
      </c>
      <c r="W923" s="12">
        <f t="shared" si="15"/>
        <v>0</v>
      </c>
      <c r="Y923">
        <v>0</v>
      </c>
    </row>
    <row r="924" spans="1:25" ht="40" customHeight="1">
      <c r="A924" s="6" t="s">
        <v>4574</v>
      </c>
      <c r="B924" s="6" t="s">
        <v>4575</v>
      </c>
      <c r="C924" s="6">
        <v>237301</v>
      </c>
      <c r="D924" s="6" t="s">
        <v>4576</v>
      </c>
      <c r="E924" s="6" t="s">
        <v>4577</v>
      </c>
      <c r="F924" s="6"/>
      <c r="G924" s="6" t="s">
        <v>4566</v>
      </c>
      <c r="H924" s="6" t="s">
        <v>4567</v>
      </c>
      <c r="I924" s="6" t="s">
        <v>417</v>
      </c>
      <c r="J924" s="6" t="s">
        <v>4568</v>
      </c>
      <c r="K924" s="6" t="s">
        <v>4578</v>
      </c>
      <c r="L924" s="6" t="s">
        <v>4570</v>
      </c>
      <c r="M924" s="6" t="s">
        <v>4571</v>
      </c>
      <c r="N924" s="6" t="s">
        <v>3541</v>
      </c>
      <c r="O924" s="6" t="s">
        <v>4572</v>
      </c>
      <c r="P924" s="6" t="s">
        <v>4573</v>
      </c>
      <c r="Q924" s="8">
        <v>200</v>
      </c>
      <c r="R924" s="8">
        <v>200.6</v>
      </c>
      <c r="S924" s="8">
        <v>399.9</v>
      </c>
      <c r="T924" s="8">
        <v>14</v>
      </c>
      <c r="U924" s="8"/>
      <c r="V924" s="8">
        <f t="shared" si="14"/>
        <v>0</v>
      </c>
      <c r="W924" s="12">
        <f t="shared" si="15"/>
        <v>0</v>
      </c>
      <c r="Y924">
        <v>0</v>
      </c>
    </row>
    <row r="925" spans="1:25" ht="40" customHeight="1">
      <c r="A925" s="6" t="s">
        <v>4579</v>
      </c>
      <c r="B925" s="6" t="s">
        <v>4580</v>
      </c>
      <c r="C925" s="6">
        <v>237301</v>
      </c>
      <c r="D925" s="6" t="s">
        <v>3352</v>
      </c>
      <c r="E925" s="6" t="s">
        <v>4581</v>
      </c>
      <c r="F925" s="6"/>
      <c r="G925" s="6" t="s">
        <v>4566</v>
      </c>
      <c r="H925" s="6" t="s">
        <v>4567</v>
      </c>
      <c r="I925" s="6" t="s">
        <v>417</v>
      </c>
      <c r="J925" s="6" t="s">
        <v>4568</v>
      </c>
      <c r="K925" s="8"/>
      <c r="L925" s="8"/>
      <c r="M925" s="8"/>
      <c r="N925" s="8"/>
      <c r="O925" s="8"/>
      <c r="P925" s="8"/>
      <c r="Q925" s="8">
        <v>200</v>
      </c>
      <c r="R925" s="8">
        <v>200.6</v>
      </c>
      <c r="S925" s="8">
        <v>399.9</v>
      </c>
      <c r="T925" s="8">
        <v>14</v>
      </c>
      <c r="U925" s="8"/>
      <c r="V925" s="8">
        <f t="shared" si="14"/>
        <v>0</v>
      </c>
      <c r="W925" s="12">
        <f t="shared" si="15"/>
        <v>0</v>
      </c>
      <c r="Y925">
        <v>0</v>
      </c>
    </row>
    <row r="926" spans="1:25" ht="40" customHeight="1">
      <c r="A926" s="6" t="s">
        <v>4582</v>
      </c>
      <c r="B926" s="6" t="s">
        <v>4583</v>
      </c>
      <c r="C926" s="6">
        <v>237301</v>
      </c>
      <c r="D926" s="6" t="s">
        <v>200</v>
      </c>
      <c r="E926" s="6" t="s">
        <v>4584</v>
      </c>
      <c r="F926" s="6"/>
      <c r="G926" s="6" t="s">
        <v>4566</v>
      </c>
      <c r="H926" s="6" t="s">
        <v>4567</v>
      </c>
      <c r="I926" s="6" t="s">
        <v>417</v>
      </c>
      <c r="J926" s="6" t="s">
        <v>4568</v>
      </c>
      <c r="K926" s="6" t="s">
        <v>4585</v>
      </c>
      <c r="L926" s="6" t="s">
        <v>4570</v>
      </c>
      <c r="M926" s="6" t="s">
        <v>4571</v>
      </c>
      <c r="N926" s="6" t="s">
        <v>3541</v>
      </c>
      <c r="O926" s="6" t="s">
        <v>4572</v>
      </c>
      <c r="P926" s="6" t="s">
        <v>4573</v>
      </c>
      <c r="Q926" s="8">
        <v>200</v>
      </c>
      <c r="R926" s="8">
        <v>200.6</v>
      </c>
      <c r="S926" s="8">
        <v>399.9</v>
      </c>
      <c r="T926" s="8">
        <v>14</v>
      </c>
      <c r="U926" s="8"/>
      <c r="V926" s="8">
        <f t="shared" si="14"/>
        <v>0</v>
      </c>
      <c r="W926" s="12">
        <f t="shared" si="15"/>
        <v>0</v>
      </c>
      <c r="Y926">
        <v>0</v>
      </c>
    </row>
    <row r="927" spans="1:25" ht="40" customHeight="1">
      <c r="A927" s="5" t="s">
        <v>4586</v>
      </c>
      <c r="B927" s="6" t="s">
        <v>4587</v>
      </c>
      <c r="C927" s="6">
        <v>237303</v>
      </c>
      <c r="D927" s="6" t="s">
        <v>27</v>
      </c>
      <c r="E927" s="6" t="s">
        <v>4588</v>
      </c>
      <c r="F927" s="6"/>
      <c r="G927" s="6" t="s">
        <v>4566</v>
      </c>
      <c r="H927" s="6" t="s">
        <v>215</v>
      </c>
      <c r="I927" s="6" t="s">
        <v>417</v>
      </c>
      <c r="J927" s="6" t="s">
        <v>4589</v>
      </c>
      <c r="K927" s="6" t="s">
        <v>4590</v>
      </c>
      <c r="L927" s="6" t="s">
        <v>4591</v>
      </c>
      <c r="M927" s="6" t="s">
        <v>4571</v>
      </c>
      <c r="N927" s="6" t="s">
        <v>3541</v>
      </c>
      <c r="O927" s="6" t="s">
        <v>4592</v>
      </c>
      <c r="P927" s="6" t="s">
        <v>4573</v>
      </c>
      <c r="Q927" s="8">
        <v>200</v>
      </c>
      <c r="R927" s="8">
        <v>200.6</v>
      </c>
      <c r="S927" s="8">
        <v>399.9</v>
      </c>
      <c r="T927" s="8">
        <v>14</v>
      </c>
      <c r="U927" s="8"/>
      <c r="V927" s="8">
        <f t="shared" si="14"/>
        <v>0</v>
      </c>
      <c r="W927" s="12">
        <f t="shared" si="15"/>
        <v>0</v>
      </c>
      <c r="Y927">
        <v>0</v>
      </c>
    </row>
    <row r="928" spans="1:25" ht="40" customHeight="1">
      <c r="A928" s="6" t="s">
        <v>4593</v>
      </c>
      <c r="B928" s="6" t="s">
        <v>4594</v>
      </c>
      <c r="C928" s="6">
        <v>237303</v>
      </c>
      <c r="D928" s="6" t="s">
        <v>3525</v>
      </c>
      <c r="E928" s="6" t="s">
        <v>4595</v>
      </c>
      <c r="F928" s="6"/>
      <c r="G928" s="6" t="s">
        <v>4566</v>
      </c>
      <c r="H928" s="6" t="s">
        <v>215</v>
      </c>
      <c r="I928" s="6" t="s">
        <v>417</v>
      </c>
      <c r="J928" s="6" t="s">
        <v>4589</v>
      </c>
      <c r="K928" s="6" t="s">
        <v>4596</v>
      </c>
      <c r="L928" s="6" t="s">
        <v>4591</v>
      </c>
      <c r="M928" s="6" t="s">
        <v>4571</v>
      </c>
      <c r="N928" s="6" t="s">
        <v>3541</v>
      </c>
      <c r="O928" s="6" t="s">
        <v>4592</v>
      </c>
      <c r="P928" s="6" t="s">
        <v>4573</v>
      </c>
      <c r="Q928" s="8">
        <v>200</v>
      </c>
      <c r="R928" s="8">
        <v>200.6</v>
      </c>
      <c r="S928" s="8">
        <v>399.9</v>
      </c>
      <c r="T928" s="8">
        <v>14</v>
      </c>
      <c r="U928" s="8"/>
      <c r="V928" s="8">
        <f t="shared" si="14"/>
        <v>0</v>
      </c>
      <c r="W928" s="12">
        <f t="shared" si="15"/>
        <v>0</v>
      </c>
      <c r="Y928">
        <v>0</v>
      </c>
    </row>
    <row r="929" spans="1:25" ht="40" customHeight="1">
      <c r="A929" s="6" t="s">
        <v>4597</v>
      </c>
      <c r="B929" s="6" t="s">
        <v>4598</v>
      </c>
      <c r="C929" s="6">
        <v>237303</v>
      </c>
      <c r="D929" s="6" t="s">
        <v>64</v>
      </c>
      <c r="E929" s="6" t="s">
        <v>4599</v>
      </c>
      <c r="F929" s="6"/>
      <c r="G929" s="6" t="s">
        <v>4566</v>
      </c>
      <c r="H929" s="6"/>
      <c r="I929" s="6" t="s">
        <v>417</v>
      </c>
      <c r="J929" s="6"/>
      <c r="K929" s="6"/>
      <c r="L929" s="6"/>
      <c r="M929" s="6"/>
      <c r="N929" s="6" t="s">
        <v>3541</v>
      </c>
      <c r="O929" s="16"/>
      <c r="P929" s="16"/>
      <c r="Q929" s="8">
        <v>200</v>
      </c>
      <c r="R929" s="8">
        <v>200.6</v>
      </c>
      <c r="S929" s="8">
        <v>399.9</v>
      </c>
      <c r="T929" s="8">
        <v>14</v>
      </c>
      <c r="U929" s="8"/>
      <c r="V929" s="8">
        <f t="shared" si="14"/>
        <v>0</v>
      </c>
      <c r="W929" s="12">
        <f t="shared" si="15"/>
        <v>0</v>
      </c>
      <c r="Y929">
        <v>0</v>
      </c>
    </row>
    <row r="930" spans="1:25" ht="40" customHeight="1">
      <c r="A930" s="6" t="s">
        <v>4600</v>
      </c>
      <c r="B930" s="6" t="s">
        <v>4601</v>
      </c>
      <c r="C930" s="6">
        <v>237303</v>
      </c>
      <c r="D930" s="6" t="s">
        <v>4602</v>
      </c>
      <c r="E930" s="6" t="s">
        <v>4603</v>
      </c>
      <c r="F930" s="6"/>
      <c r="G930" s="6" t="s">
        <v>4566</v>
      </c>
      <c r="H930" s="6" t="s">
        <v>215</v>
      </c>
      <c r="I930" s="6" t="s">
        <v>417</v>
      </c>
      <c r="J930" s="6" t="s">
        <v>4589</v>
      </c>
      <c r="K930" s="6" t="s">
        <v>4604</v>
      </c>
      <c r="L930" s="6" t="s">
        <v>4591</v>
      </c>
      <c r="M930" s="6" t="s">
        <v>4571</v>
      </c>
      <c r="N930" s="6" t="s">
        <v>3541</v>
      </c>
      <c r="O930" s="6" t="s">
        <v>4592</v>
      </c>
      <c r="P930" s="6" t="s">
        <v>4573</v>
      </c>
      <c r="Q930" s="8">
        <v>200</v>
      </c>
      <c r="R930" s="8">
        <v>200.6</v>
      </c>
      <c r="S930" s="8">
        <v>399.9</v>
      </c>
      <c r="T930" s="8">
        <v>14</v>
      </c>
      <c r="U930" s="8"/>
      <c r="V930" s="8">
        <f t="shared" si="14"/>
        <v>0</v>
      </c>
      <c r="W930" s="12">
        <f t="shared" si="15"/>
        <v>0</v>
      </c>
      <c r="Y930">
        <v>0</v>
      </c>
    </row>
    <row r="931" spans="1:25" ht="40" customHeight="1">
      <c r="A931" s="6" t="s">
        <v>4605</v>
      </c>
      <c r="B931" s="6" t="s">
        <v>4606</v>
      </c>
      <c r="C931" s="6">
        <v>237303</v>
      </c>
      <c r="D931" s="6" t="s">
        <v>3077</v>
      </c>
      <c r="E931" s="6" t="s">
        <v>4607</v>
      </c>
      <c r="F931" s="6"/>
      <c r="G931" s="6" t="s">
        <v>4566</v>
      </c>
      <c r="H931" s="6" t="s">
        <v>215</v>
      </c>
      <c r="I931" s="6" t="s">
        <v>417</v>
      </c>
      <c r="J931" s="6" t="s">
        <v>4589</v>
      </c>
      <c r="K931" s="6" t="s">
        <v>4608</v>
      </c>
      <c r="L931" s="6" t="s">
        <v>4591</v>
      </c>
      <c r="M931" s="6" t="s">
        <v>4571</v>
      </c>
      <c r="N931" s="6" t="s">
        <v>3541</v>
      </c>
      <c r="O931" s="6" t="s">
        <v>4592</v>
      </c>
      <c r="P931" s="6" t="s">
        <v>4573</v>
      </c>
      <c r="Q931" s="8">
        <v>200</v>
      </c>
      <c r="R931" s="8">
        <v>200.6</v>
      </c>
      <c r="S931" s="8">
        <v>399.9</v>
      </c>
      <c r="T931" s="8">
        <v>14</v>
      </c>
      <c r="U931" s="8"/>
      <c r="V931" s="8">
        <f t="shared" si="14"/>
        <v>0</v>
      </c>
      <c r="W931" s="12">
        <f t="shared" si="15"/>
        <v>0</v>
      </c>
      <c r="Y931">
        <v>0</v>
      </c>
    </row>
    <row r="932" spans="1:25" ht="40" customHeight="1">
      <c r="A932" s="5" t="s">
        <v>4609</v>
      </c>
      <c r="B932" s="6" t="s">
        <v>4610</v>
      </c>
      <c r="C932" s="6">
        <v>237304</v>
      </c>
      <c r="D932" s="6" t="s">
        <v>27</v>
      </c>
      <c r="E932" s="6" t="s">
        <v>4611</v>
      </c>
      <c r="F932" s="6"/>
      <c r="G932" s="6" t="s">
        <v>4566</v>
      </c>
      <c r="H932" s="6" t="s">
        <v>4612</v>
      </c>
      <c r="I932" s="6" t="s">
        <v>417</v>
      </c>
      <c r="J932" s="6" t="s">
        <v>4613</v>
      </c>
      <c r="K932" s="6" t="s">
        <v>4614</v>
      </c>
      <c r="L932" s="6" t="s">
        <v>4615</v>
      </c>
      <c r="M932" s="6" t="s">
        <v>4571</v>
      </c>
      <c r="N932" s="6" t="s">
        <v>3541</v>
      </c>
      <c r="O932" s="6" t="s">
        <v>4616</v>
      </c>
      <c r="P932" s="6" t="s">
        <v>4617</v>
      </c>
      <c r="Q932" s="8">
        <v>225</v>
      </c>
      <c r="R932" s="8">
        <v>225.67500000000001</v>
      </c>
      <c r="S932" s="8">
        <v>449.9</v>
      </c>
      <c r="T932" s="8">
        <v>14</v>
      </c>
      <c r="U932" s="8"/>
      <c r="V932" s="8">
        <f t="shared" si="14"/>
        <v>0</v>
      </c>
      <c r="W932" s="12">
        <f t="shared" si="15"/>
        <v>0</v>
      </c>
      <c r="Y932">
        <v>0</v>
      </c>
    </row>
    <row r="933" spans="1:25" ht="40" customHeight="1">
      <c r="A933" s="6" t="s">
        <v>4618</v>
      </c>
      <c r="B933" s="6" t="s">
        <v>4619</v>
      </c>
      <c r="C933" s="6">
        <v>237304</v>
      </c>
      <c r="D933" s="6" t="s">
        <v>445</v>
      </c>
      <c r="E933" s="6" t="s">
        <v>4620</v>
      </c>
      <c r="F933" s="6"/>
      <c r="G933" s="6" t="s">
        <v>4566</v>
      </c>
      <c r="H933" s="6" t="s">
        <v>4612</v>
      </c>
      <c r="I933" s="6" t="s">
        <v>417</v>
      </c>
      <c r="J933" s="6" t="s">
        <v>4613</v>
      </c>
      <c r="K933" s="6" t="s">
        <v>4621</v>
      </c>
      <c r="L933" s="6" t="s">
        <v>4615</v>
      </c>
      <c r="M933" s="6" t="s">
        <v>4571</v>
      </c>
      <c r="N933" s="6" t="s">
        <v>3541</v>
      </c>
      <c r="O933" s="6" t="s">
        <v>4616</v>
      </c>
      <c r="P933" s="6" t="s">
        <v>4617</v>
      </c>
      <c r="Q933" s="8">
        <v>225</v>
      </c>
      <c r="R933" s="8">
        <v>225.67500000000001</v>
      </c>
      <c r="S933" s="8">
        <v>449.9</v>
      </c>
      <c r="T933" s="8">
        <v>14</v>
      </c>
      <c r="U933" s="8"/>
      <c r="V933" s="8">
        <f t="shared" si="14"/>
        <v>0</v>
      </c>
      <c r="W933" s="12">
        <f t="shared" si="15"/>
        <v>0</v>
      </c>
      <c r="Y933">
        <v>0</v>
      </c>
    </row>
    <row r="934" spans="1:25" ht="40" customHeight="1">
      <c r="A934" s="6" t="s">
        <v>4622</v>
      </c>
      <c r="B934" s="6" t="s">
        <v>4623</v>
      </c>
      <c r="C934" s="6">
        <v>237304</v>
      </c>
      <c r="D934" s="6" t="s">
        <v>1564</v>
      </c>
      <c r="E934" s="6" t="s">
        <v>4624</v>
      </c>
      <c r="F934" s="6"/>
      <c r="G934" s="6" t="s">
        <v>4566</v>
      </c>
      <c r="H934" s="6" t="s">
        <v>4612</v>
      </c>
      <c r="I934" s="6" t="s">
        <v>417</v>
      </c>
      <c r="J934" s="6" t="s">
        <v>4613</v>
      </c>
      <c r="K934" s="6" t="s">
        <v>4625</v>
      </c>
      <c r="L934" s="6" t="s">
        <v>4615</v>
      </c>
      <c r="M934" s="6" t="s">
        <v>4571</v>
      </c>
      <c r="N934" s="6" t="s">
        <v>3541</v>
      </c>
      <c r="O934" s="6" t="s">
        <v>4616</v>
      </c>
      <c r="P934" s="6" t="s">
        <v>4617</v>
      </c>
      <c r="Q934" s="8">
        <v>225</v>
      </c>
      <c r="R934" s="8">
        <v>225.67500000000001</v>
      </c>
      <c r="S934" s="8">
        <v>449.9</v>
      </c>
      <c r="T934" s="8">
        <v>14</v>
      </c>
      <c r="U934" s="8"/>
      <c r="V934" s="8">
        <f t="shared" si="14"/>
        <v>0</v>
      </c>
      <c r="W934" s="12">
        <f t="shared" si="15"/>
        <v>0</v>
      </c>
      <c r="Y934">
        <v>0</v>
      </c>
    </row>
    <row r="935" spans="1:25" ht="40" customHeight="1">
      <c r="A935" s="5" t="s">
        <v>4626</v>
      </c>
      <c r="B935" s="6" t="s">
        <v>4627</v>
      </c>
      <c r="C935" s="6">
        <v>237308</v>
      </c>
      <c r="D935" s="6" t="s">
        <v>27</v>
      </c>
      <c r="E935" s="6" t="s">
        <v>4628</v>
      </c>
      <c r="F935" s="6"/>
      <c r="G935" s="6" t="s">
        <v>4566</v>
      </c>
      <c r="H935" s="6" t="s">
        <v>4629</v>
      </c>
      <c r="I935" s="6" t="s">
        <v>417</v>
      </c>
      <c r="J935" s="6" t="s">
        <v>4630</v>
      </c>
      <c r="K935" s="6" t="s">
        <v>4555</v>
      </c>
      <c r="L935" s="6" t="s">
        <v>4631</v>
      </c>
      <c r="M935" s="6" t="s">
        <v>4632</v>
      </c>
      <c r="N935" s="6" t="s">
        <v>3541</v>
      </c>
      <c r="O935" s="6" t="s">
        <v>4633</v>
      </c>
      <c r="P935" s="6" t="s">
        <v>4573</v>
      </c>
      <c r="Q935" s="8">
        <v>200</v>
      </c>
      <c r="R935" s="8">
        <v>200.6</v>
      </c>
      <c r="S935" s="8">
        <v>399.9</v>
      </c>
      <c r="T935" s="8">
        <v>14</v>
      </c>
      <c r="U935" s="8"/>
      <c r="V935" s="8">
        <f t="shared" ref="V935:V998" si="16">T935*U935</f>
        <v>0</v>
      </c>
      <c r="W935" s="12">
        <f t="shared" ref="W935:W998" si="17">R935*V935</f>
        <v>0</v>
      </c>
      <c r="Y935">
        <v>0</v>
      </c>
    </row>
    <row r="936" spans="1:25" ht="40" customHeight="1">
      <c r="A936" s="6" t="s">
        <v>4634</v>
      </c>
      <c r="B936" s="6" t="s">
        <v>4635</v>
      </c>
      <c r="C936" s="6">
        <v>237308</v>
      </c>
      <c r="D936" s="6" t="s">
        <v>4636</v>
      </c>
      <c r="E936" s="6" t="s">
        <v>4637</v>
      </c>
      <c r="F936" s="6"/>
      <c r="G936" s="6" t="s">
        <v>4566</v>
      </c>
      <c r="H936" s="6" t="s">
        <v>4629</v>
      </c>
      <c r="I936" s="6" t="s">
        <v>417</v>
      </c>
      <c r="J936" s="6" t="s">
        <v>4630</v>
      </c>
      <c r="K936" s="8"/>
      <c r="L936" s="8"/>
      <c r="M936" s="8"/>
      <c r="N936" s="8"/>
      <c r="O936" s="8"/>
      <c r="P936" s="8"/>
      <c r="Q936" s="8">
        <v>200</v>
      </c>
      <c r="R936" s="8">
        <v>200.6</v>
      </c>
      <c r="S936" s="8">
        <v>399.9</v>
      </c>
      <c r="T936" s="8">
        <v>14</v>
      </c>
      <c r="U936" s="8"/>
      <c r="V936" s="8">
        <f t="shared" si="16"/>
        <v>0</v>
      </c>
      <c r="W936" s="12">
        <f t="shared" si="17"/>
        <v>0</v>
      </c>
      <c r="Y936">
        <v>0</v>
      </c>
    </row>
    <row r="937" spans="1:25" ht="40" customHeight="1">
      <c r="A937" s="5" t="s">
        <v>4638</v>
      </c>
      <c r="B937" s="6" t="s">
        <v>4639</v>
      </c>
      <c r="C937" s="6">
        <v>237333</v>
      </c>
      <c r="D937" s="6" t="s">
        <v>27</v>
      </c>
      <c r="E937" s="6" t="s">
        <v>4640</v>
      </c>
      <c r="F937" s="6"/>
      <c r="G937" s="6" t="s">
        <v>4641</v>
      </c>
      <c r="H937" s="6" t="s">
        <v>4642</v>
      </c>
      <c r="I937" s="6" t="s">
        <v>417</v>
      </c>
      <c r="J937" s="6" t="s">
        <v>4643</v>
      </c>
      <c r="K937" s="6" t="s">
        <v>4644</v>
      </c>
      <c r="L937" s="6" t="s">
        <v>4645</v>
      </c>
      <c r="M937" s="6" t="s">
        <v>4646</v>
      </c>
      <c r="N937" s="6" t="s">
        <v>3541</v>
      </c>
      <c r="O937" s="6" t="s">
        <v>4647</v>
      </c>
      <c r="P937" s="6" t="s">
        <v>4648</v>
      </c>
      <c r="Q937" s="8">
        <v>200</v>
      </c>
      <c r="R937" s="8">
        <v>200.6</v>
      </c>
      <c r="S937" s="8">
        <v>399.9</v>
      </c>
      <c r="T937" s="8">
        <v>14</v>
      </c>
      <c r="U937" s="8"/>
      <c r="V937" s="8">
        <f t="shared" si="16"/>
        <v>0</v>
      </c>
      <c r="W937" s="12">
        <f t="shared" si="17"/>
        <v>0</v>
      </c>
      <c r="Y937">
        <v>0</v>
      </c>
    </row>
    <row r="938" spans="1:25" ht="40" customHeight="1">
      <c r="A938" s="6" t="s">
        <v>4649</v>
      </c>
      <c r="B938" s="6" t="s">
        <v>4650</v>
      </c>
      <c r="C938" s="6">
        <v>237333</v>
      </c>
      <c r="D938" s="6" t="s">
        <v>147</v>
      </c>
      <c r="E938" s="6" t="s">
        <v>4651</v>
      </c>
      <c r="F938" s="6"/>
      <c r="G938" s="6" t="s">
        <v>4641</v>
      </c>
      <c r="H938" s="6" t="s">
        <v>4642</v>
      </c>
      <c r="I938" s="6" t="s">
        <v>417</v>
      </c>
      <c r="J938" s="6" t="s">
        <v>4643</v>
      </c>
      <c r="K938" s="6" t="s">
        <v>4644</v>
      </c>
      <c r="L938" s="6" t="s">
        <v>4645</v>
      </c>
      <c r="M938" s="6" t="s">
        <v>4646</v>
      </c>
      <c r="N938" s="6" t="s">
        <v>3541</v>
      </c>
      <c r="O938" s="6" t="s">
        <v>4647</v>
      </c>
      <c r="P938" s="6" t="s">
        <v>4648</v>
      </c>
      <c r="Q938" s="8">
        <v>200</v>
      </c>
      <c r="R938" s="8">
        <v>200.6</v>
      </c>
      <c r="S938" s="8">
        <v>399.9</v>
      </c>
      <c r="T938" s="8">
        <v>14</v>
      </c>
      <c r="U938" s="8"/>
      <c r="V938" s="8">
        <f t="shared" si="16"/>
        <v>0</v>
      </c>
      <c r="W938" s="12">
        <f t="shared" si="17"/>
        <v>0</v>
      </c>
      <c r="Y938">
        <v>0</v>
      </c>
    </row>
    <row r="939" spans="1:25" ht="40" customHeight="1">
      <c r="A939" s="6" t="s">
        <v>4652</v>
      </c>
      <c r="B939" s="6" t="s">
        <v>4653</v>
      </c>
      <c r="C939" s="6">
        <v>237333</v>
      </c>
      <c r="D939" s="6" t="s">
        <v>1426</v>
      </c>
      <c r="E939" s="6" t="s">
        <v>4654</v>
      </c>
      <c r="F939" s="6"/>
      <c r="G939" s="6" t="s">
        <v>4641</v>
      </c>
      <c r="H939" s="6" t="s">
        <v>4642</v>
      </c>
      <c r="I939" s="6" t="s">
        <v>417</v>
      </c>
      <c r="J939" s="6" t="s">
        <v>4643</v>
      </c>
      <c r="K939" s="6" t="s">
        <v>4655</v>
      </c>
      <c r="L939" s="6" t="s">
        <v>4645</v>
      </c>
      <c r="M939" s="6" t="s">
        <v>4646</v>
      </c>
      <c r="N939" s="6" t="s">
        <v>3541</v>
      </c>
      <c r="O939" s="6" t="s">
        <v>4647</v>
      </c>
      <c r="P939" s="6" t="s">
        <v>4648</v>
      </c>
      <c r="Q939" s="8">
        <v>200</v>
      </c>
      <c r="R939" s="8">
        <v>200.6</v>
      </c>
      <c r="S939" s="8">
        <v>399.9</v>
      </c>
      <c r="T939" s="8">
        <v>14</v>
      </c>
      <c r="U939" s="8"/>
      <c r="V939" s="8">
        <f t="shared" si="16"/>
        <v>0</v>
      </c>
      <c r="W939" s="12">
        <f t="shared" si="17"/>
        <v>0</v>
      </c>
      <c r="Y939">
        <v>0</v>
      </c>
    </row>
    <row r="940" spans="1:25" ht="40" customHeight="1">
      <c r="A940" s="6" t="s">
        <v>4656</v>
      </c>
      <c r="B940" s="6" t="s">
        <v>4657</v>
      </c>
      <c r="C940" s="6">
        <v>237333</v>
      </c>
      <c r="D940" s="6" t="s">
        <v>3995</v>
      </c>
      <c r="E940" s="6" t="s">
        <v>4658</v>
      </c>
      <c r="F940" s="6"/>
      <c r="G940" s="6" t="s">
        <v>4641</v>
      </c>
      <c r="H940" s="6" t="s">
        <v>4642</v>
      </c>
      <c r="I940" s="6" t="s">
        <v>417</v>
      </c>
      <c r="J940" s="6" t="s">
        <v>4643</v>
      </c>
      <c r="K940" s="6" t="s">
        <v>4659</v>
      </c>
      <c r="L940" s="6" t="s">
        <v>4645</v>
      </c>
      <c r="M940" s="6" t="s">
        <v>4646</v>
      </c>
      <c r="N940" s="6" t="s">
        <v>3541</v>
      </c>
      <c r="O940" s="6" t="s">
        <v>4647</v>
      </c>
      <c r="P940" s="6" t="s">
        <v>4648</v>
      </c>
      <c r="Q940" s="8">
        <v>200</v>
      </c>
      <c r="R940" s="8">
        <v>200.6</v>
      </c>
      <c r="S940" s="8">
        <v>399.9</v>
      </c>
      <c r="T940" s="8">
        <v>14</v>
      </c>
      <c r="U940" s="8"/>
      <c r="V940" s="8">
        <f t="shared" si="16"/>
        <v>0</v>
      </c>
      <c r="W940" s="12">
        <f t="shared" si="17"/>
        <v>0</v>
      </c>
      <c r="Y940">
        <v>0</v>
      </c>
    </row>
    <row r="941" spans="1:25" ht="40" customHeight="1">
      <c r="A941" s="5" t="s">
        <v>4660</v>
      </c>
      <c r="B941" s="6" t="s">
        <v>4661</v>
      </c>
      <c r="C941" s="6">
        <v>237412</v>
      </c>
      <c r="D941" s="6" t="s">
        <v>3525</v>
      </c>
      <c r="E941" s="6" t="s">
        <v>4662</v>
      </c>
      <c r="F941" s="6"/>
      <c r="G941" s="6" t="s">
        <v>4522</v>
      </c>
      <c r="H941" s="6" t="s">
        <v>4663</v>
      </c>
      <c r="I941" s="6" t="s">
        <v>417</v>
      </c>
      <c r="J941" s="6" t="s">
        <v>4664</v>
      </c>
      <c r="K941" s="6" t="s">
        <v>4524</v>
      </c>
      <c r="L941" s="6" t="s">
        <v>54</v>
      </c>
      <c r="M941" s="6" t="s">
        <v>54</v>
      </c>
      <c r="N941" s="6" t="s">
        <v>3541</v>
      </c>
      <c r="O941" s="6" t="s">
        <v>4665</v>
      </c>
      <c r="P941" s="6"/>
      <c r="Q941" s="8">
        <v>200</v>
      </c>
      <c r="R941" s="8">
        <v>200.6</v>
      </c>
      <c r="S941" s="8">
        <v>399.9</v>
      </c>
      <c r="T941" s="8">
        <v>14</v>
      </c>
      <c r="U941" s="8">
        <v>2</v>
      </c>
      <c r="V941" s="8">
        <f t="shared" si="16"/>
        <v>28</v>
      </c>
      <c r="W941" s="12">
        <f t="shared" si="17"/>
        <v>5616.8</v>
      </c>
      <c r="Y941">
        <v>2</v>
      </c>
    </row>
    <row r="942" spans="1:25" ht="40" customHeight="1">
      <c r="A942" s="6" t="s">
        <v>4666</v>
      </c>
      <c r="B942" s="6" t="s">
        <v>4667</v>
      </c>
      <c r="C942" s="6">
        <v>237412</v>
      </c>
      <c r="D942" s="6" t="s">
        <v>142</v>
      </c>
      <c r="E942" s="6" t="s">
        <v>4668</v>
      </c>
      <c r="F942" s="6"/>
      <c r="G942" s="6" t="s">
        <v>4522</v>
      </c>
      <c r="H942" s="6" t="s">
        <v>4663</v>
      </c>
      <c r="I942" s="6" t="s">
        <v>417</v>
      </c>
      <c r="J942" s="6" t="s">
        <v>4664</v>
      </c>
      <c r="K942" s="6" t="s">
        <v>4669</v>
      </c>
      <c r="L942" s="6" t="s">
        <v>54</v>
      </c>
      <c r="M942" s="6" t="s">
        <v>54</v>
      </c>
      <c r="N942" s="6" t="s">
        <v>3541</v>
      </c>
      <c r="O942" s="6" t="s">
        <v>4665</v>
      </c>
      <c r="P942" s="6"/>
      <c r="Q942" s="8">
        <v>200</v>
      </c>
      <c r="R942" s="8">
        <v>200.6</v>
      </c>
      <c r="S942" s="8">
        <v>399.9</v>
      </c>
      <c r="T942" s="8">
        <v>14</v>
      </c>
      <c r="U942" s="8">
        <v>2</v>
      </c>
      <c r="V942" s="8">
        <f t="shared" si="16"/>
        <v>28</v>
      </c>
      <c r="W942" s="12">
        <f t="shared" si="17"/>
        <v>5616.8</v>
      </c>
      <c r="Y942">
        <v>2</v>
      </c>
    </row>
    <row r="943" spans="1:25" ht="40" customHeight="1">
      <c r="A943" s="5" t="s">
        <v>4670</v>
      </c>
      <c r="B943" s="6" t="s">
        <v>4671</v>
      </c>
      <c r="C943" s="6">
        <v>237415</v>
      </c>
      <c r="D943" s="6" t="s">
        <v>147</v>
      </c>
      <c r="E943" s="6" t="s">
        <v>4672</v>
      </c>
      <c r="F943" s="6"/>
      <c r="G943" s="6" t="s">
        <v>4522</v>
      </c>
      <c r="H943" s="6" t="s">
        <v>4673</v>
      </c>
      <c r="I943" s="6" t="s">
        <v>417</v>
      </c>
      <c r="J943" s="6" t="s">
        <v>4674</v>
      </c>
      <c r="K943" s="6" t="s">
        <v>4675</v>
      </c>
      <c r="L943" s="6" t="s">
        <v>54</v>
      </c>
      <c r="M943" s="6" t="s">
        <v>54</v>
      </c>
      <c r="N943" s="6" t="s">
        <v>3541</v>
      </c>
      <c r="O943" s="6" t="s">
        <v>4527</v>
      </c>
      <c r="P943" s="6"/>
      <c r="Q943" s="8">
        <v>175</v>
      </c>
      <c r="R943" s="8">
        <v>175.52500000000001</v>
      </c>
      <c r="S943" s="8">
        <v>349.9</v>
      </c>
      <c r="T943" s="8">
        <v>14</v>
      </c>
      <c r="U943" s="8">
        <v>2</v>
      </c>
      <c r="V943" s="8">
        <f t="shared" si="16"/>
        <v>28</v>
      </c>
      <c r="W943" s="12">
        <f t="shared" si="17"/>
        <v>4914.7</v>
      </c>
      <c r="Y943">
        <v>2</v>
      </c>
    </row>
    <row r="944" spans="1:25" ht="40" customHeight="1">
      <c r="A944" s="5" t="s">
        <v>4676</v>
      </c>
      <c r="B944" s="6" t="s">
        <v>4677</v>
      </c>
      <c r="C944" s="6">
        <v>237415</v>
      </c>
      <c r="D944" s="6" t="s">
        <v>195</v>
      </c>
      <c r="E944" s="6" t="s">
        <v>4678</v>
      </c>
      <c r="F944" s="6"/>
      <c r="G944" s="6" t="s">
        <v>4522</v>
      </c>
      <c r="H944" s="6" t="s">
        <v>4673</v>
      </c>
      <c r="I944" s="6" t="s">
        <v>417</v>
      </c>
      <c r="J944" s="6" t="s">
        <v>4674</v>
      </c>
      <c r="K944" s="6" t="s">
        <v>4679</v>
      </c>
      <c r="L944" s="6" t="s">
        <v>54</v>
      </c>
      <c r="M944" s="6" t="s">
        <v>54</v>
      </c>
      <c r="N944" s="6" t="s">
        <v>3541</v>
      </c>
      <c r="O944" s="6" t="s">
        <v>4527</v>
      </c>
      <c r="P944" s="6"/>
      <c r="Q944" s="8">
        <v>175</v>
      </c>
      <c r="R944" s="8">
        <v>175.52500000000001</v>
      </c>
      <c r="S944" s="8">
        <v>349.9</v>
      </c>
      <c r="T944" s="8">
        <v>14</v>
      </c>
      <c r="U944" s="8">
        <v>1</v>
      </c>
      <c r="V944" s="8">
        <f t="shared" si="16"/>
        <v>14</v>
      </c>
      <c r="W944" s="12">
        <f t="shared" si="17"/>
        <v>2457.35</v>
      </c>
      <c r="Y944">
        <v>1</v>
      </c>
    </row>
    <row r="945" spans="1:25" ht="40" customHeight="1">
      <c r="A945" s="5" t="s">
        <v>4680</v>
      </c>
      <c r="B945" s="6" t="s">
        <v>4681</v>
      </c>
      <c r="C945" s="6">
        <v>237415</v>
      </c>
      <c r="D945" s="6" t="s">
        <v>561</v>
      </c>
      <c r="E945" s="6" t="s">
        <v>4682</v>
      </c>
      <c r="F945" s="6"/>
      <c r="G945" s="6" t="s">
        <v>4522</v>
      </c>
      <c r="H945" s="6" t="s">
        <v>4673</v>
      </c>
      <c r="I945" s="6" t="s">
        <v>417</v>
      </c>
      <c r="J945" s="6" t="s">
        <v>4674</v>
      </c>
      <c r="K945" s="6" t="s">
        <v>4683</v>
      </c>
      <c r="L945" s="6" t="s">
        <v>54</v>
      </c>
      <c r="M945" s="6" t="s">
        <v>54</v>
      </c>
      <c r="N945" s="6" t="s">
        <v>3541</v>
      </c>
      <c r="O945" s="6" t="s">
        <v>4527</v>
      </c>
      <c r="P945" s="6"/>
      <c r="Q945" s="8">
        <v>175</v>
      </c>
      <c r="R945" s="8">
        <v>175.52500000000001</v>
      </c>
      <c r="S945" s="8">
        <v>349.9</v>
      </c>
      <c r="T945" s="8">
        <v>14</v>
      </c>
      <c r="U945" s="8">
        <v>1</v>
      </c>
      <c r="V945" s="8">
        <f t="shared" si="16"/>
        <v>14</v>
      </c>
      <c r="W945" s="12">
        <f t="shared" si="17"/>
        <v>2457.35</v>
      </c>
      <c r="X945">
        <f>VLOOKUP(E945,[1]Sheet2!$A:$C,3,FALSE)</f>
        <v>1</v>
      </c>
      <c r="Y945">
        <v>2</v>
      </c>
    </row>
    <row r="946" spans="1:25" ht="40" customHeight="1">
      <c r="A946" s="5" t="s">
        <v>4684</v>
      </c>
      <c r="B946" s="6" t="s">
        <v>4685</v>
      </c>
      <c r="C946" s="6">
        <v>237497</v>
      </c>
      <c r="D946" s="6" t="s">
        <v>3525</v>
      </c>
      <c r="E946" s="6" t="s">
        <v>4686</v>
      </c>
      <c r="F946" s="6"/>
      <c r="G946" s="6"/>
      <c r="H946" s="6"/>
      <c r="I946" s="6" t="s">
        <v>417</v>
      </c>
      <c r="J946" s="8"/>
      <c r="K946" s="8"/>
      <c r="L946" s="8"/>
      <c r="M946" s="8"/>
      <c r="N946" s="8"/>
      <c r="O946" s="8"/>
      <c r="P946" s="8"/>
      <c r="Q946" s="8">
        <v>200</v>
      </c>
      <c r="R946" s="8">
        <v>200.6</v>
      </c>
      <c r="S946" s="8">
        <v>399.9</v>
      </c>
      <c r="T946" s="8">
        <v>14</v>
      </c>
      <c r="U946" s="8">
        <v>2</v>
      </c>
      <c r="V946" s="8">
        <f t="shared" si="16"/>
        <v>28</v>
      </c>
      <c r="W946" s="12">
        <f t="shared" si="17"/>
        <v>5616.8</v>
      </c>
      <c r="Y946">
        <v>2</v>
      </c>
    </row>
    <row r="947" spans="1:25" ht="40" customHeight="1">
      <c r="A947" s="5" t="s">
        <v>4687</v>
      </c>
      <c r="B947" s="6" t="s">
        <v>4688</v>
      </c>
      <c r="C947" s="6">
        <v>237497</v>
      </c>
      <c r="D947" s="6" t="s">
        <v>40</v>
      </c>
      <c r="E947" s="6" t="s">
        <v>4689</v>
      </c>
      <c r="F947" s="6"/>
      <c r="G947" s="6"/>
      <c r="H947" s="6"/>
      <c r="I947" s="6" t="s">
        <v>417</v>
      </c>
      <c r="J947" s="8"/>
      <c r="K947" s="8"/>
      <c r="L947" s="8"/>
      <c r="M947" s="8"/>
      <c r="N947" s="8"/>
      <c r="O947" s="8"/>
      <c r="P947" s="8"/>
      <c r="Q947" s="8">
        <v>200</v>
      </c>
      <c r="R947" s="8">
        <v>200.6</v>
      </c>
      <c r="S947" s="8">
        <v>399.9</v>
      </c>
      <c r="T947" s="8">
        <v>14</v>
      </c>
      <c r="U947" s="8">
        <v>2</v>
      </c>
      <c r="V947" s="8">
        <f t="shared" si="16"/>
        <v>28</v>
      </c>
      <c r="W947" s="12">
        <f t="shared" si="17"/>
        <v>5616.8</v>
      </c>
      <c r="Y947">
        <v>2</v>
      </c>
    </row>
    <row r="948" spans="1:25" ht="40" customHeight="1">
      <c r="A948" s="5" t="s">
        <v>4690</v>
      </c>
      <c r="B948" s="6" t="s">
        <v>4691</v>
      </c>
      <c r="C948" s="6">
        <v>237524</v>
      </c>
      <c r="D948" s="6" t="s">
        <v>27</v>
      </c>
      <c r="E948" s="6" t="s">
        <v>4692</v>
      </c>
      <c r="F948" s="6"/>
      <c r="G948" s="6" t="s">
        <v>4693</v>
      </c>
      <c r="H948" s="6" t="s">
        <v>4694</v>
      </c>
      <c r="I948" s="6" t="s">
        <v>417</v>
      </c>
      <c r="J948" s="6" t="s">
        <v>4695</v>
      </c>
      <c r="K948" s="6" t="s">
        <v>4675</v>
      </c>
      <c r="L948" s="6" t="s">
        <v>4696</v>
      </c>
      <c r="M948" s="6" t="s">
        <v>4697</v>
      </c>
      <c r="N948" s="6" t="s">
        <v>3541</v>
      </c>
      <c r="O948" s="6" t="s">
        <v>4698</v>
      </c>
      <c r="P948" s="6"/>
      <c r="Q948" s="8">
        <v>225</v>
      </c>
      <c r="R948" s="8">
        <v>225.67500000000001</v>
      </c>
      <c r="S948" s="8">
        <v>449.9</v>
      </c>
      <c r="T948" s="8">
        <v>14</v>
      </c>
      <c r="U948" s="8"/>
      <c r="V948" s="8">
        <f t="shared" si="16"/>
        <v>0</v>
      </c>
      <c r="W948" s="12">
        <f t="shared" si="17"/>
        <v>0</v>
      </c>
      <c r="X948">
        <f>VLOOKUP(E948,[1]Sheet2!$A:$C,3,FALSE)</f>
        <v>1</v>
      </c>
      <c r="Y948">
        <v>1</v>
      </c>
    </row>
    <row r="949" spans="1:25" ht="40" customHeight="1">
      <c r="A949" s="5" t="s">
        <v>4699</v>
      </c>
      <c r="B949" s="6" t="s">
        <v>4700</v>
      </c>
      <c r="C949" s="6">
        <v>237524</v>
      </c>
      <c r="D949" s="6" t="s">
        <v>4701</v>
      </c>
      <c r="E949" s="6" t="s">
        <v>4702</v>
      </c>
      <c r="F949" s="6"/>
      <c r="G949" s="6" t="s">
        <v>4693</v>
      </c>
      <c r="H949" s="6" t="s">
        <v>4694</v>
      </c>
      <c r="I949" s="6" t="s">
        <v>417</v>
      </c>
      <c r="J949" s="6" t="s">
        <v>4695</v>
      </c>
      <c r="K949" s="6" t="s">
        <v>4703</v>
      </c>
      <c r="L949" s="6" t="s">
        <v>4696</v>
      </c>
      <c r="M949" s="6" t="s">
        <v>4697</v>
      </c>
      <c r="N949" s="6" t="s">
        <v>3541</v>
      </c>
      <c r="O949" s="6" t="s">
        <v>4698</v>
      </c>
      <c r="P949" s="6"/>
      <c r="Q949" s="8">
        <v>225</v>
      </c>
      <c r="R949" s="8">
        <v>225.67500000000001</v>
      </c>
      <c r="S949" s="8">
        <v>449.9</v>
      </c>
      <c r="T949" s="8">
        <v>14</v>
      </c>
      <c r="U949" s="8"/>
      <c r="V949" s="8">
        <f t="shared" si="16"/>
        <v>0</v>
      </c>
      <c r="W949" s="12">
        <f t="shared" si="17"/>
        <v>0</v>
      </c>
      <c r="X949">
        <f>VLOOKUP(E949,[1]Sheet2!$A:$C,3,FALSE)</f>
        <v>1</v>
      </c>
      <c r="Y949">
        <v>1</v>
      </c>
    </row>
    <row r="950" spans="1:25" ht="40" customHeight="1">
      <c r="A950" s="5" t="s">
        <v>4704</v>
      </c>
      <c r="B950" s="6" t="s">
        <v>4705</v>
      </c>
      <c r="C950" s="6">
        <v>237535</v>
      </c>
      <c r="D950" s="6" t="s">
        <v>27</v>
      </c>
      <c r="E950" s="6" t="s">
        <v>4706</v>
      </c>
      <c r="F950" s="6"/>
      <c r="G950" s="6"/>
      <c r="H950" s="6"/>
      <c r="I950" s="6" t="s">
        <v>417</v>
      </c>
      <c r="J950" s="8"/>
      <c r="K950" s="8"/>
      <c r="L950" s="8"/>
      <c r="M950" s="8"/>
      <c r="N950" s="8"/>
      <c r="O950" s="8"/>
      <c r="P950" s="8"/>
      <c r="Q950" s="8">
        <v>225</v>
      </c>
      <c r="R950" s="8">
        <v>225.67500000000001</v>
      </c>
      <c r="S950" s="8">
        <v>449.9</v>
      </c>
      <c r="T950" s="8">
        <v>14</v>
      </c>
      <c r="U950" s="8"/>
      <c r="V950" s="8">
        <f t="shared" si="16"/>
        <v>0</v>
      </c>
      <c r="W950" s="12">
        <f t="shared" si="17"/>
        <v>0</v>
      </c>
      <c r="Y950">
        <v>0</v>
      </c>
    </row>
    <row r="951" spans="1:25" ht="40" customHeight="1">
      <c r="A951" s="6" t="s">
        <v>4707</v>
      </c>
      <c r="B951" s="6" t="s">
        <v>4708</v>
      </c>
      <c r="C951" s="6">
        <v>237535</v>
      </c>
      <c r="D951" s="6" t="s">
        <v>3995</v>
      </c>
      <c r="E951" s="6" t="s">
        <v>4709</v>
      </c>
      <c r="F951" s="6"/>
      <c r="G951" s="6"/>
      <c r="H951" s="6"/>
      <c r="I951" s="6" t="s">
        <v>417</v>
      </c>
      <c r="J951" s="8"/>
      <c r="K951" s="8"/>
      <c r="L951" s="8"/>
      <c r="M951" s="8"/>
      <c r="N951" s="8"/>
      <c r="O951" s="8"/>
      <c r="P951" s="8"/>
      <c r="Q951" s="8">
        <v>225</v>
      </c>
      <c r="R951" s="8">
        <v>225.67500000000001</v>
      </c>
      <c r="S951" s="8">
        <v>449.9</v>
      </c>
      <c r="T951" s="8">
        <v>14</v>
      </c>
      <c r="U951" s="8"/>
      <c r="V951" s="8">
        <f t="shared" si="16"/>
        <v>0</v>
      </c>
      <c r="W951" s="12">
        <f t="shared" si="17"/>
        <v>0</v>
      </c>
      <c r="Y951">
        <v>0</v>
      </c>
    </row>
    <row r="952" spans="1:25" ht="40" customHeight="1">
      <c r="A952" s="5" t="s">
        <v>4710</v>
      </c>
      <c r="B952" s="6" t="s">
        <v>4711</v>
      </c>
      <c r="C952" s="6">
        <v>237553</v>
      </c>
      <c r="D952" s="6" t="s">
        <v>27</v>
      </c>
      <c r="E952" s="6" t="s">
        <v>4712</v>
      </c>
      <c r="F952" s="6"/>
      <c r="G952" s="6" t="s">
        <v>4552</v>
      </c>
      <c r="H952" s="6" t="s">
        <v>4713</v>
      </c>
      <c r="I952" s="6" t="s">
        <v>417</v>
      </c>
      <c r="J952" s="6" t="s">
        <v>4714</v>
      </c>
      <c r="K952" s="6" t="s">
        <v>4715</v>
      </c>
      <c r="L952" s="6" t="s">
        <v>4716</v>
      </c>
      <c r="M952" s="6" t="s">
        <v>4717</v>
      </c>
      <c r="N952" s="6" t="s">
        <v>3541</v>
      </c>
      <c r="O952" s="6" t="s">
        <v>4718</v>
      </c>
      <c r="P952" s="6"/>
      <c r="Q952" s="8">
        <v>190</v>
      </c>
      <c r="R952" s="8">
        <v>190.57</v>
      </c>
      <c r="S952" s="8">
        <v>379.9</v>
      </c>
      <c r="T952" s="8">
        <v>14</v>
      </c>
      <c r="U952" s="8">
        <v>2</v>
      </c>
      <c r="V952" s="8">
        <f t="shared" si="16"/>
        <v>28</v>
      </c>
      <c r="W952" s="12">
        <f t="shared" si="17"/>
        <v>5335.96</v>
      </c>
      <c r="Y952">
        <v>2</v>
      </c>
    </row>
    <row r="953" spans="1:25" ht="40" customHeight="1">
      <c r="A953" s="5" t="s">
        <v>4719</v>
      </c>
      <c r="B953" s="6" t="s">
        <v>4720</v>
      </c>
      <c r="C953" s="6">
        <v>237553</v>
      </c>
      <c r="D953" s="6" t="s">
        <v>74</v>
      </c>
      <c r="E953" s="6" t="s">
        <v>4721</v>
      </c>
      <c r="F953" s="6"/>
      <c r="G953" s="6" t="s">
        <v>4552</v>
      </c>
      <c r="H953" s="6" t="s">
        <v>4713</v>
      </c>
      <c r="I953" s="6" t="s">
        <v>417</v>
      </c>
      <c r="J953" s="6" t="s">
        <v>4714</v>
      </c>
      <c r="K953" s="6" t="s">
        <v>4722</v>
      </c>
      <c r="L953" s="6" t="s">
        <v>4716</v>
      </c>
      <c r="M953" s="6" t="s">
        <v>4717</v>
      </c>
      <c r="N953" s="6" t="s">
        <v>3541</v>
      </c>
      <c r="O953" s="6" t="s">
        <v>4718</v>
      </c>
      <c r="P953" s="6"/>
      <c r="Q953" s="8">
        <v>190</v>
      </c>
      <c r="R953" s="8">
        <v>190.57</v>
      </c>
      <c r="S953" s="8">
        <v>379.9</v>
      </c>
      <c r="T953" s="8">
        <v>14</v>
      </c>
      <c r="U953" s="8">
        <v>2</v>
      </c>
      <c r="V953" s="8">
        <f t="shared" si="16"/>
        <v>28</v>
      </c>
      <c r="W953" s="12">
        <f t="shared" si="17"/>
        <v>5335.96</v>
      </c>
      <c r="Y953">
        <v>2</v>
      </c>
    </row>
    <row r="954" spans="1:25" ht="40" customHeight="1">
      <c r="A954" s="5" t="s">
        <v>4723</v>
      </c>
      <c r="B954" s="6" t="s">
        <v>4724</v>
      </c>
      <c r="C954" s="6">
        <v>237565</v>
      </c>
      <c r="D954" s="6" t="s">
        <v>99</v>
      </c>
      <c r="E954" s="6" t="s">
        <v>4725</v>
      </c>
      <c r="F954" s="6"/>
      <c r="G954" s="6" t="s">
        <v>4726</v>
      </c>
      <c r="H954" s="6" t="s">
        <v>215</v>
      </c>
      <c r="I954" s="6" t="s">
        <v>417</v>
      </c>
      <c r="J954" s="6" t="s">
        <v>4727</v>
      </c>
      <c r="K954" s="6" t="s">
        <v>4728</v>
      </c>
      <c r="L954" s="6" t="s">
        <v>4729</v>
      </c>
      <c r="M954" s="6" t="s">
        <v>4730</v>
      </c>
      <c r="N954" s="6" t="s">
        <v>3541</v>
      </c>
      <c r="O954" s="6" t="s">
        <v>4731</v>
      </c>
      <c r="P954" s="6" t="s">
        <v>4732</v>
      </c>
      <c r="Q954" s="8">
        <v>200</v>
      </c>
      <c r="R954" s="8">
        <v>200.6</v>
      </c>
      <c r="S954" s="8">
        <v>399.9</v>
      </c>
      <c r="T954" s="8">
        <v>14</v>
      </c>
      <c r="U954" s="8">
        <v>3</v>
      </c>
      <c r="V954" s="8">
        <f t="shared" si="16"/>
        <v>42</v>
      </c>
      <c r="W954" s="12">
        <f t="shared" si="17"/>
        <v>8425.2000000000007</v>
      </c>
      <c r="Y954">
        <v>3</v>
      </c>
    </row>
    <row r="955" spans="1:25" ht="40" customHeight="1">
      <c r="A955" s="5" t="s">
        <v>4733</v>
      </c>
      <c r="B955" s="6" t="s">
        <v>4734</v>
      </c>
      <c r="C955" s="6">
        <v>237565</v>
      </c>
      <c r="D955" s="6" t="s">
        <v>4735</v>
      </c>
      <c r="E955" s="6" t="s">
        <v>4736</v>
      </c>
      <c r="F955" s="6"/>
      <c r="G955" s="6" t="s">
        <v>4726</v>
      </c>
      <c r="H955" s="6" t="s">
        <v>215</v>
      </c>
      <c r="I955" s="6" t="s">
        <v>417</v>
      </c>
      <c r="J955" s="6" t="s">
        <v>4727</v>
      </c>
      <c r="K955" s="6" t="s">
        <v>4737</v>
      </c>
      <c r="L955" s="6" t="s">
        <v>4729</v>
      </c>
      <c r="M955" s="6" t="s">
        <v>4730</v>
      </c>
      <c r="N955" s="6" t="s">
        <v>3541</v>
      </c>
      <c r="O955" s="6" t="s">
        <v>4731</v>
      </c>
      <c r="P955" s="6" t="s">
        <v>4732</v>
      </c>
      <c r="Q955" s="8">
        <v>200</v>
      </c>
      <c r="R955" s="8">
        <v>200.6</v>
      </c>
      <c r="S955" s="8">
        <v>399.9</v>
      </c>
      <c r="T955" s="8">
        <v>14</v>
      </c>
      <c r="U955" s="8">
        <v>3</v>
      </c>
      <c r="V955" s="8">
        <f t="shared" si="16"/>
        <v>42</v>
      </c>
      <c r="W955" s="12">
        <f t="shared" si="17"/>
        <v>8425.2000000000007</v>
      </c>
      <c r="Y955">
        <v>3</v>
      </c>
    </row>
    <row r="956" spans="1:25" ht="40" customHeight="1">
      <c r="A956" s="5" t="s">
        <v>4738</v>
      </c>
      <c r="B956" s="6" t="s">
        <v>4739</v>
      </c>
      <c r="C956" s="6">
        <v>237565</v>
      </c>
      <c r="D956" s="6" t="s">
        <v>4740</v>
      </c>
      <c r="E956" s="6" t="s">
        <v>4741</v>
      </c>
      <c r="F956" s="6"/>
      <c r="G956" s="6" t="s">
        <v>4726</v>
      </c>
      <c r="H956" s="6" t="s">
        <v>215</v>
      </c>
      <c r="I956" s="6" t="s">
        <v>417</v>
      </c>
      <c r="J956" s="6" t="s">
        <v>4727</v>
      </c>
      <c r="K956" s="6" t="s">
        <v>4742</v>
      </c>
      <c r="L956" s="6" t="s">
        <v>4729</v>
      </c>
      <c r="M956" s="6" t="s">
        <v>4730</v>
      </c>
      <c r="N956" s="6" t="s">
        <v>3541</v>
      </c>
      <c r="O956" s="6" t="s">
        <v>4731</v>
      </c>
      <c r="P956" s="6" t="s">
        <v>4732</v>
      </c>
      <c r="Q956" s="8">
        <v>200</v>
      </c>
      <c r="R956" s="8">
        <v>200.6</v>
      </c>
      <c r="S956" s="8">
        <v>399.9</v>
      </c>
      <c r="T956" s="8">
        <v>14</v>
      </c>
      <c r="U956" s="8"/>
      <c r="V956" s="8">
        <f t="shared" si="16"/>
        <v>0</v>
      </c>
      <c r="W956" s="12">
        <f t="shared" si="17"/>
        <v>0</v>
      </c>
      <c r="Y956">
        <v>0</v>
      </c>
    </row>
    <row r="957" spans="1:25" ht="40" customHeight="1">
      <c r="A957" s="5" t="s">
        <v>4743</v>
      </c>
      <c r="B957" s="6" t="s">
        <v>4744</v>
      </c>
      <c r="C957" s="6">
        <v>237565</v>
      </c>
      <c r="D957" s="6" t="s">
        <v>4745</v>
      </c>
      <c r="E957" s="6" t="s">
        <v>4746</v>
      </c>
      <c r="F957" s="6"/>
      <c r="G957" s="6" t="s">
        <v>4726</v>
      </c>
      <c r="H957" s="6" t="s">
        <v>215</v>
      </c>
      <c r="I957" s="6" t="s">
        <v>417</v>
      </c>
      <c r="J957" s="6" t="s">
        <v>4727</v>
      </c>
      <c r="K957" s="8"/>
      <c r="L957" s="8"/>
      <c r="M957" s="8"/>
      <c r="N957" s="8"/>
      <c r="O957" s="8"/>
      <c r="P957" s="8"/>
      <c r="Q957" s="8">
        <v>200</v>
      </c>
      <c r="R957" s="8">
        <v>200.6</v>
      </c>
      <c r="S957" s="8">
        <v>399.9</v>
      </c>
      <c r="T957" s="8">
        <v>14</v>
      </c>
      <c r="U957" s="8">
        <v>3</v>
      </c>
      <c r="V957" s="8">
        <f t="shared" si="16"/>
        <v>42</v>
      </c>
      <c r="W957" s="12">
        <f t="shared" si="17"/>
        <v>8425.2000000000007</v>
      </c>
      <c r="Y957">
        <v>3</v>
      </c>
    </row>
    <row r="958" spans="1:25" ht="40" customHeight="1">
      <c r="A958" s="5" t="s">
        <v>4747</v>
      </c>
      <c r="B958" s="6" t="s">
        <v>4748</v>
      </c>
      <c r="C958" s="6">
        <v>237631</v>
      </c>
      <c r="D958" s="6" t="s">
        <v>3239</v>
      </c>
      <c r="E958" s="6" t="s">
        <v>4749</v>
      </c>
      <c r="F958" s="6"/>
      <c r="G958" s="6" t="s">
        <v>4750</v>
      </c>
      <c r="H958" s="6" t="s">
        <v>4751</v>
      </c>
      <c r="I958" s="6" t="s">
        <v>417</v>
      </c>
      <c r="J958" s="6" t="s">
        <v>4752</v>
      </c>
      <c r="K958" s="6" t="s">
        <v>4753</v>
      </c>
      <c r="L958" s="6" t="s">
        <v>54</v>
      </c>
      <c r="M958" s="6" t="s">
        <v>54</v>
      </c>
      <c r="N958" s="6" t="s">
        <v>3541</v>
      </c>
      <c r="O958" s="6" t="s">
        <v>420</v>
      </c>
      <c r="P958" s="6"/>
      <c r="Q958" s="8">
        <v>175</v>
      </c>
      <c r="R958" s="8">
        <v>175.52500000000001</v>
      </c>
      <c r="S958" s="8">
        <v>349.9</v>
      </c>
      <c r="T958" s="8">
        <v>14</v>
      </c>
      <c r="U958" s="8">
        <v>1</v>
      </c>
      <c r="V958" s="8">
        <f t="shared" si="16"/>
        <v>14</v>
      </c>
      <c r="W958" s="12">
        <f t="shared" si="17"/>
        <v>2457.35</v>
      </c>
      <c r="Y958">
        <v>1</v>
      </c>
    </row>
    <row r="959" spans="1:25" ht="40" customHeight="1">
      <c r="A959" s="5" t="s">
        <v>4754</v>
      </c>
      <c r="B959" s="6" t="s">
        <v>4755</v>
      </c>
      <c r="C959" s="7">
        <v>237631</v>
      </c>
      <c r="D959" s="6" t="s">
        <v>333</v>
      </c>
      <c r="E959" s="7" t="s">
        <v>4756</v>
      </c>
      <c r="F959" s="6"/>
      <c r="G959" s="6" t="s">
        <v>4750</v>
      </c>
      <c r="H959" s="6" t="s">
        <v>4751</v>
      </c>
      <c r="I959" s="6" t="s">
        <v>417</v>
      </c>
      <c r="J959" s="6" t="s">
        <v>4752</v>
      </c>
      <c r="K959" s="6" t="s">
        <v>4757</v>
      </c>
      <c r="L959" s="6" t="s">
        <v>54</v>
      </c>
      <c r="M959" s="6" t="s">
        <v>54</v>
      </c>
      <c r="N959" s="6" t="s">
        <v>3541</v>
      </c>
      <c r="O959" s="6" t="s">
        <v>420</v>
      </c>
      <c r="P959" s="6"/>
      <c r="Q959" s="8">
        <v>175</v>
      </c>
      <c r="R959" s="8">
        <v>175.52500000000001</v>
      </c>
      <c r="S959" s="8">
        <v>349.9</v>
      </c>
      <c r="T959" s="8">
        <v>14</v>
      </c>
      <c r="U959" s="8">
        <v>1</v>
      </c>
      <c r="V959" s="8">
        <f t="shared" si="16"/>
        <v>14</v>
      </c>
      <c r="W959" s="12">
        <f t="shared" si="17"/>
        <v>2457.35</v>
      </c>
      <c r="Y959">
        <v>1</v>
      </c>
    </row>
    <row r="960" spans="1:25" ht="40" customHeight="1">
      <c r="A960" s="5" t="s">
        <v>4758</v>
      </c>
      <c r="B960" s="6" t="s">
        <v>4759</v>
      </c>
      <c r="C960" s="6">
        <v>237634</v>
      </c>
      <c r="D960" s="6" t="s">
        <v>4760</v>
      </c>
      <c r="E960" s="6" t="s">
        <v>4761</v>
      </c>
      <c r="F960" s="6"/>
      <c r="G960" s="6" t="s">
        <v>4750</v>
      </c>
      <c r="H960" s="6" t="s">
        <v>4762</v>
      </c>
      <c r="I960" s="6" t="s">
        <v>417</v>
      </c>
      <c r="J960" s="6" t="s">
        <v>4763</v>
      </c>
      <c r="K960" s="6" t="s">
        <v>4764</v>
      </c>
      <c r="L960" s="6" t="s">
        <v>4765</v>
      </c>
      <c r="M960" s="6" t="s">
        <v>4766</v>
      </c>
      <c r="N960" s="6" t="s">
        <v>3541</v>
      </c>
      <c r="O960" s="6" t="s">
        <v>2733</v>
      </c>
      <c r="P960" s="6"/>
      <c r="Q960" s="8">
        <v>175</v>
      </c>
      <c r="R960" s="8">
        <v>175.52500000000001</v>
      </c>
      <c r="S960" s="8">
        <v>349.9</v>
      </c>
      <c r="T960" s="8">
        <v>14</v>
      </c>
      <c r="U960" s="8"/>
      <c r="V960" s="8">
        <f t="shared" si="16"/>
        <v>0</v>
      </c>
      <c r="W960" s="12">
        <f t="shared" si="17"/>
        <v>0</v>
      </c>
      <c r="Y960">
        <v>0</v>
      </c>
    </row>
    <row r="961" spans="1:25" ht="40" customHeight="1">
      <c r="A961" s="5" t="s">
        <v>4767</v>
      </c>
      <c r="B961" s="8" t="s">
        <v>4768</v>
      </c>
      <c r="C961" s="1" t="s">
        <v>4769</v>
      </c>
      <c r="D961" s="6" t="s">
        <v>27</v>
      </c>
      <c r="E961" s="1" t="s">
        <v>4770</v>
      </c>
      <c r="F961" s="6" t="s">
        <v>5</v>
      </c>
      <c r="G961" s="6" t="s">
        <v>4750</v>
      </c>
      <c r="H961" s="6" t="s">
        <v>4762</v>
      </c>
      <c r="I961" s="6" t="s">
        <v>417</v>
      </c>
      <c r="J961" s="6" t="s">
        <v>4763</v>
      </c>
      <c r="K961" s="6" t="s">
        <v>4675</v>
      </c>
      <c r="L961" s="6" t="s">
        <v>4765</v>
      </c>
      <c r="M961" s="6" t="s">
        <v>4766</v>
      </c>
      <c r="N961" s="6" t="s">
        <v>3541</v>
      </c>
      <c r="O961" s="6" t="s">
        <v>2733</v>
      </c>
      <c r="P961" s="6"/>
      <c r="Q961" s="8">
        <v>175</v>
      </c>
      <c r="R961" s="8">
        <v>175.52500000000001</v>
      </c>
      <c r="S961" s="8">
        <v>349.9</v>
      </c>
      <c r="T961" s="8">
        <v>14</v>
      </c>
      <c r="U961" s="8"/>
      <c r="V961" s="8">
        <f t="shared" si="16"/>
        <v>0</v>
      </c>
      <c r="W961" s="12">
        <f t="shared" si="17"/>
        <v>0</v>
      </c>
      <c r="X961">
        <f>VLOOKUP(E961,[1]Sheet2!$A:$C,3,FALSE)</f>
        <v>1</v>
      </c>
      <c r="Y961">
        <v>1</v>
      </c>
    </row>
    <row r="962" spans="1:25" ht="40" customHeight="1">
      <c r="A962" s="6" t="s">
        <v>4771</v>
      </c>
      <c r="B962" s="8" t="s">
        <v>4772</v>
      </c>
      <c r="C962" s="8" t="s">
        <v>4769</v>
      </c>
      <c r="D962" s="6" t="s">
        <v>45</v>
      </c>
      <c r="E962" s="8" t="s">
        <v>4773</v>
      </c>
      <c r="F962" s="6" t="s">
        <v>5</v>
      </c>
      <c r="G962" s="6" t="s">
        <v>4750</v>
      </c>
      <c r="H962" s="6" t="s">
        <v>4762</v>
      </c>
      <c r="I962" s="6" t="s">
        <v>417</v>
      </c>
      <c r="J962" s="6" t="s">
        <v>4763</v>
      </c>
      <c r="K962" s="6" t="s">
        <v>4774</v>
      </c>
      <c r="L962" s="6" t="s">
        <v>4765</v>
      </c>
      <c r="M962" s="6" t="s">
        <v>4766</v>
      </c>
      <c r="N962" s="6" t="s">
        <v>3541</v>
      </c>
      <c r="O962" s="6" t="s">
        <v>2733</v>
      </c>
      <c r="P962" s="6"/>
      <c r="Q962" s="8">
        <v>175</v>
      </c>
      <c r="R962" s="8">
        <v>175.52500000000001</v>
      </c>
      <c r="S962" s="8">
        <v>349.9</v>
      </c>
      <c r="T962" s="8">
        <v>14</v>
      </c>
      <c r="U962" s="8"/>
      <c r="V962" s="8">
        <f t="shared" si="16"/>
        <v>0</v>
      </c>
      <c r="W962" s="12">
        <f t="shared" si="17"/>
        <v>0</v>
      </c>
      <c r="X962">
        <f>VLOOKUP(E962,[1]Sheet2!$A:$C,3,FALSE)</f>
        <v>1</v>
      </c>
      <c r="Y962">
        <v>1</v>
      </c>
    </row>
    <row r="963" spans="1:25" ht="40" customHeight="1">
      <c r="A963" s="5" t="s">
        <v>4775</v>
      </c>
      <c r="B963" s="6" t="s">
        <v>4776</v>
      </c>
      <c r="C963" s="6">
        <v>237641</v>
      </c>
      <c r="D963" s="6" t="s">
        <v>3525</v>
      </c>
      <c r="E963" s="6" t="s">
        <v>4777</v>
      </c>
      <c r="F963" s="6"/>
      <c r="G963" s="6" t="s">
        <v>4726</v>
      </c>
      <c r="H963" s="6" t="s">
        <v>4778</v>
      </c>
      <c r="I963" s="6" t="s">
        <v>417</v>
      </c>
      <c r="J963" s="6" t="s">
        <v>4779</v>
      </c>
      <c r="K963" s="6" t="s">
        <v>4780</v>
      </c>
      <c r="L963" s="6" t="s">
        <v>4781</v>
      </c>
      <c r="M963" s="6" t="s">
        <v>4782</v>
      </c>
      <c r="N963" s="6" t="s">
        <v>3541</v>
      </c>
      <c r="O963" s="6" t="s">
        <v>4783</v>
      </c>
      <c r="P963" s="6"/>
      <c r="Q963" s="8">
        <v>200</v>
      </c>
      <c r="R963" s="8">
        <v>200.6</v>
      </c>
      <c r="S963" s="8">
        <v>399.9</v>
      </c>
      <c r="T963" s="8">
        <v>14</v>
      </c>
      <c r="U963" s="8"/>
      <c r="V963" s="8">
        <f t="shared" si="16"/>
        <v>0</v>
      </c>
      <c r="W963" s="12">
        <f t="shared" si="17"/>
        <v>0</v>
      </c>
      <c r="Y963">
        <v>0</v>
      </c>
    </row>
    <row r="964" spans="1:25" ht="40" customHeight="1">
      <c r="A964" s="5" t="s">
        <v>4784</v>
      </c>
      <c r="B964" s="6" t="s">
        <v>4785</v>
      </c>
      <c r="C964" s="6">
        <v>237641</v>
      </c>
      <c r="D964" s="6" t="s">
        <v>561</v>
      </c>
      <c r="E964" s="6" t="s">
        <v>4786</v>
      </c>
      <c r="F964" s="6"/>
      <c r="G964" s="6" t="s">
        <v>4726</v>
      </c>
      <c r="H964" s="6" t="s">
        <v>4778</v>
      </c>
      <c r="I964" s="6" t="s">
        <v>417</v>
      </c>
      <c r="J964" s="6" t="s">
        <v>4779</v>
      </c>
      <c r="K964" s="6" t="s">
        <v>2363</v>
      </c>
      <c r="L964" s="6" t="s">
        <v>4781</v>
      </c>
      <c r="M964" s="6" t="s">
        <v>4782</v>
      </c>
      <c r="N964" s="6" t="s">
        <v>3541</v>
      </c>
      <c r="O964" s="6" t="s">
        <v>4783</v>
      </c>
      <c r="P964" s="6"/>
      <c r="Q964" s="8">
        <v>200</v>
      </c>
      <c r="R964" s="8">
        <v>200.6</v>
      </c>
      <c r="S964" s="8">
        <v>399.9</v>
      </c>
      <c r="T964" s="8">
        <v>14</v>
      </c>
      <c r="U964" s="8"/>
      <c r="V964" s="8">
        <f t="shared" si="16"/>
        <v>0</v>
      </c>
      <c r="W964" s="12">
        <f t="shared" si="17"/>
        <v>0</v>
      </c>
      <c r="Y964">
        <v>0</v>
      </c>
    </row>
    <row r="965" spans="1:25" ht="40" customHeight="1">
      <c r="A965" s="5" t="s">
        <v>4787</v>
      </c>
      <c r="B965" s="6" t="s">
        <v>4788</v>
      </c>
      <c r="C965" s="6">
        <v>237657</v>
      </c>
      <c r="D965" s="6" t="s">
        <v>27</v>
      </c>
      <c r="E965" s="6" t="s">
        <v>4789</v>
      </c>
      <c r="F965" s="6"/>
      <c r="G965" s="6" t="s">
        <v>4552</v>
      </c>
      <c r="H965" s="6" t="s">
        <v>4790</v>
      </c>
      <c r="I965" s="6" t="s">
        <v>417</v>
      </c>
      <c r="J965" s="6" t="s">
        <v>4791</v>
      </c>
      <c r="K965" s="6" t="s">
        <v>4792</v>
      </c>
      <c r="L965" s="6" t="s">
        <v>54</v>
      </c>
      <c r="M965" s="6" t="s">
        <v>54</v>
      </c>
      <c r="N965" s="6" t="s">
        <v>3541</v>
      </c>
      <c r="O965" s="6" t="s">
        <v>4793</v>
      </c>
      <c r="P965" s="6"/>
      <c r="Q965" s="8">
        <v>200</v>
      </c>
      <c r="R965" s="8">
        <v>200.6</v>
      </c>
      <c r="S965" s="8">
        <v>399.9</v>
      </c>
      <c r="T965" s="8">
        <v>14</v>
      </c>
      <c r="U965" s="8">
        <v>2</v>
      </c>
      <c r="V965" s="8">
        <f t="shared" si="16"/>
        <v>28</v>
      </c>
      <c r="W965" s="12">
        <f t="shared" si="17"/>
        <v>5616.8</v>
      </c>
      <c r="Y965">
        <v>2</v>
      </c>
    </row>
    <row r="966" spans="1:25" ht="40" customHeight="1">
      <c r="A966" s="5" t="s">
        <v>4794</v>
      </c>
      <c r="B966" s="6" t="s">
        <v>4795</v>
      </c>
      <c r="C966" s="6">
        <v>237657</v>
      </c>
      <c r="D966" s="6" t="s">
        <v>1426</v>
      </c>
      <c r="E966" s="6" t="s">
        <v>4796</v>
      </c>
      <c r="F966" s="6"/>
      <c r="G966" s="6" t="s">
        <v>4552</v>
      </c>
      <c r="H966" s="6" t="s">
        <v>4790</v>
      </c>
      <c r="I966" s="6" t="s">
        <v>417</v>
      </c>
      <c r="J966" s="6" t="s">
        <v>4791</v>
      </c>
      <c r="K966" s="6" t="s">
        <v>4797</v>
      </c>
      <c r="L966" s="6" t="s">
        <v>54</v>
      </c>
      <c r="M966" s="6" t="s">
        <v>54</v>
      </c>
      <c r="N966" s="6" t="s">
        <v>3541</v>
      </c>
      <c r="O966" s="6" t="s">
        <v>4793</v>
      </c>
      <c r="P966" s="6"/>
      <c r="Q966" s="8">
        <v>200</v>
      </c>
      <c r="R966" s="8">
        <v>200.6</v>
      </c>
      <c r="S966" s="8">
        <v>399.9</v>
      </c>
      <c r="T966" s="8">
        <v>14</v>
      </c>
      <c r="U966" s="8">
        <v>2</v>
      </c>
      <c r="V966" s="8">
        <f t="shared" si="16"/>
        <v>28</v>
      </c>
      <c r="W966" s="12">
        <f t="shared" si="17"/>
        <v>5616.8</v>
      </c>
      <c r="Y966">
        <v>2</v>
      </c>
    </row>
    <row r="967" spans="1:25" ht="40" customHeight="1">
      <c r="A967" s="5" t="s">
        <v>4798</v>
      </c>
      <c r="B967" s="6" t="s">
        <v>4799</v>
      </c>
      <c r="C967" s="6">
        <v>237657</v>
      </c>
      <c r="D967" s="6" t="s">
        <v>200</v>
      </c>
      <c r="E967" s="6" t="s">
        <v>4800</v>
      </c>
      <c r="F967" s="6"/>
      <c r="G967" s="6" t="s">
        <v>4552</v>
      </c>
      <c r="H967" s="6" t="s">
        <v>4790</v>
      </c>
      <c r="I967" s="6" t="s">
        <v>417</v>
      </c>
      <c r="J967" s="6" t="s">
        <v>4791</v>
      </c>
      <c r="K967" s="6" t="s">
        <v>4801</v>
      </c>
      <c r="L967" s="6" t="s">
        <v>54</v>
      </c>
      <c r="M967" s="6" t="s">
        <v>54</v>
      </c>
      <c r="N967" s="6" t="s">
        <v>3541</v>
      </c>
      <c r="O967" s="6" t="s">
        <v>4793</v>
      </c>
      <c r="P967" s="6"/>
      <c r="Q967" s="8">
        <v>200</v>
      </c>
      <c r="R967" s="8">
        <v>200.6</v>
      </c>
      <c r="S967" s="8">
        <v>399.9</v>
      </c>
      <c r="T967" s="8">
        <v>14</v>
      </c>
      <c r="U967" s="8">
        <v>2</v>
      </c>
      <c r="V967" s="8">
        <f t="shared" si="16"/>
        <v>28</v>
      </c>
      <c r="W967" s="12">
        <f t="shared" si="17"/>
        <v>5616.8</v>
      </c>
      <c r="Y967">
        <v>2</v>
      </c>
    </row>
    <row r="968" spans="1:25" ht="40" customHeight="1">
      <c r="A968" s="5" t="s">
        <v>4802</v>
      </c>
      <c r="B968" s="6" t="s">
        <v>4803</v>
      </c>
      <c r="C968" s="6">
        <v>237669</v>
      </c>
      <c r="D968" s="6" t="s">
        <v>4017</v>
      </c>
      <c r="E968" s="6" t="s">
        <v>4804</v>
      </c>
      <c r="F968" s="6"/>
      <c r="G968" s="6" t="s">
        <v>4566</v>
      </c>
      <c r="H968" s="6" t="s">
        <v>4805</v>
      </c>
      <c r="I968" s="6" t="s">
        <v>417</v>
      </c>
      <c r="J968" s="6" t="s">
        <v>4806</v>
      </c>
      <c r="K968" s="6" t="s">
        <v>4807</v>
      </c>
      <c r="L968" s="6" t="s">
        <v>54</v>
      </c>
      <c r="M968" s="6" t="s">
        <v>54</v>
      </c>
      <c r="N968" s="6" t="s">
        <v>3541</v>
      </c>
      <c r="O968" s="6" t="s">
        <v>4592</v>
      </c>
      <c r="P968" s="6"/>
      <c r="Q968" s="8">
        <v>200</v>
      </c>
      <c r="R968" s="8">
        <v>200.6</v>
      </c>
      <c r="S968" s="8">
        <v>399.9</v>
      </c>
      <c r="T968" s="8">
        <v>14</v>
      </c>
      <c r="U968" s="8"/>
      <c r="V968" s="8">
        <f t="shared" si="16"/>
        <v>0</v>
      </c>
      <c r="W968" s="12">
        <f t="shared" si="17"/>
        <v>0</v>
      </c>
      <c r="Y968">
        <v>0</v>
      </c>
    </row>
    <row r="969" spans="1:25" ht="40" customHeight="1">
      <c r="A969" s="5" t="s">
        <v>4808</v>
      </c>
      <c r="B969" s="6" t="s">
        <v>4809</v>
      </c>
      <c r="C969" s="6">
        <v>237669</v>
      </c>
      <c r="D969" s="6" t="s">
        <v>1426</v>
      </c>
      <c r="E969" s="6" t="s">
        <v>4810</v>
      </c>
      <c r="F969" s="6"/>
      <c r="G969" s="6" t="s">
        <v>4566</v>
      </c>
      <c r="H969" s="6" t="s">
        <v>4805</v>
      </c>
      <c r="I969" s="6" t="s">
        <v>417</v>
      </c>
      <c r="J969" s="6" t="s">
        <v>4806</v>
      </c>
      <c r="K969" s="6" t="s">
        <v>4811</v>
      </c>
      <c r="L969" s="6" t="s">
        <v>54</v>
      </c>
      <c r="M969" s="6" t="s">
        <v>54</v>
      </c>
      <c r="N969" s="6" t="s">
        <v>3541</v>
      </c>
      <c r="O969" s="6" t="s">
        <v>4592</v>
      </c>
      <c r="P969" s="6"/>
      <c r="Q969" s="8">
        <v>200</v>
      </c>
      <c r="R969" s="8">
        <v>200.6</v>
      </c>
      <c r="S969" s="8">
        <v>399.9</v>
      </c>
      <c r="T969" s="8">
        <v>14</v>
      </c>
      <c r="U969" s="8"/>
      <c r="V969" s="8">
        <f t="shared" si="16"/>
        <v>0</v>
      </c>
      <c r="W969" s="12">
        <f t="shared" si="17"/>
        <v>0</v>
      </c>
      <c r="Y969">
        <v>0</v>
      </c>
    </row>
    <row r="970" spans="1:25" ht="40" customHeight="1">
      <c r="A970" s="5" t="s">
        <v>4812</v>
      </c>
      <c r="B970" s="6" t="s">
        <v>4813</v>
      </c>
      <c r="C970" s="6">
        <v>237669</v>
      </c>
      <c r="D970" s="6" t="s">
        <v>4814</v>
      </c>
      <c r="E970" s="6" t="s">
        <v>4815</v>
      </c>
      <c r="F970" s="6"/>
      <c r="G970" s="6" t="s">
        <v>4566</v>
      </c>
      <c r="H970" s="6" t="s">
        <v>4805</v>
      </c>
      <c r="I970" s="6" t="s">
        <v>417</v>
      </c>
      <c r="J970" s="6" t="s">
        <v>4806</v>
      </c>
      <c r="K970" s="6" t="s">
        <v>4816</v>
      </c>
      <c r="L970" s="6" t="s">
        <v>54</v>
      </c>
      <c r="M970" s="6" t="s">
        <v>54</v>
      </c>
      <c r="N970" s="6" t="s">
        <v>3541</v>
      </c>
      <c r="O970" s="6" t="s">
        <v>4592</v>
      </c>
      <c r="P970" s="6"/>
      <c r="Q970" s="8">
        <v>200</v>
      </c>
      <c r="R970" s="8">
        <v>200.6</v>
      </c>
      <c r="S970" s="8">
        <v>399.9</v>
      </c>
      <c r="T970" s="8">
        <v>14</v>
      </c>
      <c r="U970" s="8"/>
      <c r="V970" s="8">
        <f t="shared" si="16"/>
        <v>0</v>
      </c>
      <c r="W970" s="12">
        <f t="shared" si="17"/>
        <v>0</v>
      </c>
      <c r="Y970">
        <v>0</v>
      </c>
    </row>
    <row r="971" spans="1:25" ht="40" customHeight="1">
      <c r="A971" s="5" t="s">
        <v>4817</v>
      </c>
      <c r="B971" s="6" t="s">
        <v>4818</v>
      </c>
      <c r="C971" s="6">
        <v>237671</v>
      </c>
      <c r="D971" s="6" t="s">
        <v>27</v>
      </c>
      <c r="E971" s="6" t="s">
        <v>4819</v>
      </c>
      <c r="F971" s="6"/>
      <c r="G971" s="6" t="s">
        <v>4566</v>
      </c>
      <c r="H971" s="6" t="s">
        <v>4820</v>
      </c>
      <c r="I971" s="6" t="s">
        <v>417</v>
      </c>
      <c r="J971" s="6" t="s">
        <v>4821</v>
      </c>
      <c r="K971" s="6" t="s">
        <v>4822</v>
      </c>
      <c r="L971" s="6" t="s">
        <v>54</v>
      </c>
      <c r="M971" s="6" t="s">
        <v>54</v>
      </c>
      <c r="N971" s="6" t="s">
        <v>3541</v>
      </c>
      <c r="O971" s="6" t="s">
        <v>4823</v>
      </c>
      <c r="P971" s="6"/>
      <c r="Q971" s="8">
        <v>200</v>
      </c>
      <c r="R971" s="8">
        <v>200.6</v>
      </c>
      <c r="S971" s="8">
        <v>399.9</v>
      </c>
      <c r="T971" s="8">
        <v>14</v>
      </c>
      <c r="U971" s="8">
        <v>2</v>
      </c>
      <c r="V971" s="8">
        <f t="shared" si="16"/>
        <v>28</v>
      </c>
      <c r="W971" s="12">
        <f t="shared" si="17"/>
        <v>5616.8</v>
      </c>
      <c r="Y971">
        <v>2</v>
      </c>
    </row>
    <row r="972" spans="1:25" ht="40" customHeight="1">
      <c r="A972" s="5" t="s">
        <v>4824</v>
      </c>
      <c r="B972" s="6" t="s">
        <v>4825</v>
      </c>
      <c r="C972" s="6">
        <v>237671</v>
      </c>
      <c r="D972" s="6" t="s">
        <v>561</v>
      </c>
      <c r="E972" s="6" t="s">
        <v>4826</v>
      </c>
      <c r="F972" s="6"/>
      <c r="G972" s="6" t="s">
        <v>4566</v>
      </c>
      <c r="H972" s="6" t="s">
        <v>4820</v>
      </c>
      <c r="I972" s="6" t="s">
        <v>417</v>
      </c>
      <c r="J972" s="6" t="s">
        <v>4821</v>
      </c>
      <c r="K972" s="8"/>
      <c r="L972" s="8"/>
      <c r="M972" s="8"/>
      <c r="N972" s="8"/>
      <c r="O972" s="8"/>
      <c r="P972" s="8"/>
      <c r="Q972" s="8">
        <v>200</v>
      </c>
      <c r="R972" s="8">
        <v>200.6</v>
      </c>
      <c r="S972" s="8">
        <v>399.9</v>
      </c>
      <c r="T972" s="8">
        <v>14</v>
      </c>
      <c r="U972" s="8">
        <v>1</v>
      </c>
      <c r="V972" s="8">
        <f t="shared" si="16"/>
        <v>14</v>
      </c>
      <c r="W972" s="12">
        <f t="shared" si="17"/>
        <v>2808.4</v>
      </c>
      <c r="Y972">
        <v>1</v>
      </c>
    </row>
    <row r="973" spans="1:25" ht="40" customHeight="1">
      <c r="A973" s="5" t="s">
        <v>4827</v>
      </c>
      <c r="B973" s="6" t="s">
        <v>4828</v>
      </c>
      <c r="C973" s="6">
        <v>237671</v>
      </c>
      <c r="D973" s="6" t="s">
        <v>3995</v>
      </c>
      <c r="E973" s="6" t="s">
        <v>4829</v>
      </c>
      <c r="F973" s="6"/>
      <c r="G973" s="6" t="s">
        <v>4566</v>
      </c>
      <c r="H973" s="6" t="s">
        <v>4820</v>
      </c>
      <c r="I973" s="6" t="s">
        <v>417</v>
      </c>
      <c r="J973" s="6" t="s">
        <v>4821</v>
      </c>
      <c r="K973" s="6" t="s">
        <v>4830</v>
      </c>
      <c r="L973" s="6" t="s">
        <v>54</v>
      </c>
      <c r="M973" s="6" t="s">
        <v>54</v>
      </c>
      <c r="N973" s="6" t="s">
        <v>3541</v>
      </c>
      <c r="O973" s="6" t="s">
        <v>4823</v>
      </c>
      <c r="P973" s="6"/>
      <c r="Q973" s="8">
        <v>200</v>
      </c>
      <c r="R973" s="8">
        <v>200.6</v>
      </c>
      <c r="S973" s="8">
        <v>399.9</v>
      </c>
      <c r="T973" s="8">
        <v>14</v>
      </c>
      <c r="U973" s="8"/>
      <c r="V973" s="8">
        <f t="shared" si="16"/>
        <v>0</v>
      </c>
      <c r="W973" s="12">
        <f t="shared" si="17"/>
        <v>0</v>
      </c>
      <c r="Y973">
        <v>0</v>
      </c>
    </row>
    <row r="974" spans="1:25" ht="40" customHeight="1">
      <c r="A974" s="5" t="s">
        <v>4831</v>
      </c>
      <c r="B974" s="6" t="s">
        <v>4832</v>
      </c>
      <c r="C974" s="6">
        <v>237672</v>
      </c>
      <c r="D974" s="6" t="s">
        <v>3525</v>
      </c>
      <c r="E974" s="6" t="s">
        <v>4833</v>
      </c>
      <c r="F974" s="6"/>
      <c r="G974" s="6" t="s">
        <v>4566</v>
      </c>
      <c r="H974" s="6" t="s">
        <v>4834</v>
      </c>
      <c r="I974" s="6" t="s">
        <v>417</v>
      </c>
      <c r="J974" s="6" t="s">
        <v>4835</v>
      </c>
      <c r="K974" s="6" t="s">
        <v>4836</v>
      </c>
      <c r="L974" s="6" t="s">
        <v>4837</v>
      </c>
      <c r="M974" s="6" t="s">
        <v>4838</v>
      </c>
      <c r="N974" s="6" t="s">
        <v>3541</v>
      </c>
      <c r="O974" s="6" t="s">
        <v>4839</v>
      </c>
      <c r="P974" s="6"/>
      <c r="Q974" s="8">
        <v>200</v>
      </c>
      <c r="R974" s="8">
        <v>200.6</v>
      </c>
      <c r="S974" s="8">
        <v>399.9</v>
      </c>
      <c r="T974" s="8">
        <v>14</v>
      </c>
      <c r="U974" s="8"/>
      <c r="V974" s="8">
        <f t="shared" si="16"/>
        <v>0</v>
      </c>
      <c r="W974" s="12">
        <f t="shared" si="17"/>
        <v>0</v>
      </c>
      <c r="Y974">
        <v>0</v>
      </c>
    </row>
    <row r="975" spans="1:25" ht="40" customHeight="1">
      <c r="A975" s="6" t="s">
        <v>4840</v>
      </c>
      <c r="B975" s="6" t="s">
        <v>4841</v>
      </c>
      <c r="C975" s="6">
        <v>237672</v>
      </c>
      <c r="D975" s="6" t="s">
        <v>1426</v>
      </c>
      <c r="E975" s="6" t="s">
        <v>4842</v>
      </c>
      <c r="F975" s="6"/>
      <c r="G975" s="6" t="s">
        <v>4566</v>
      </c>
      <c r="H975" s="6" t="s">
        <v>4834</v>
      </c>
      <c r="I975" s="6" t="s">
        <v>417</v>
      </c>
      <c r="J975" s="6" t="s">
        <v>4835</v>
      </c>
      <c r="K975" s="6" t="s">
        <v>4843</v>
      </c>
      <c r="L975" s="6" t="s">
        <v>4837</v>
      </c>
      <c r="M975" s="6" t="s">
        <v>4838</v>
      </c>
      <c r="N975" s="6" t="s">
        <v>3541</v>
      </c>
      <c r="O975" s="6" t="s">
        <v>4839</v>
      </c>
      <c r="P975" s="6"/>
      <c r="Q975" s="8">
        <v>200</v>
      </c>
      <c r="R975" s="8">
        <v>200.6</v>
      </c>
      <c r="S975" s="8">
        <v>399.9</v>
      </c>
      <c r="T975" s="8">
        <v>14</v>
      </c>
      <c r="U975" s="8"/>
      <c r="V975" s="8">
        <f t="shared" si="16"/>
        <v>0</v>
      </c>
      <c r="W975" s="12">
        <f t="shared" si="17"/>
        <v>0</v>
      </c>
      <c r="Y975">
        <v>0</v>
      </c>
    </row>
    <row r="976" spans="1:25" ht="40" customHeight="1">
      <c r="A976" s="6" t="s">
        <v>4844</v>
      </c>
      <c r="B976" s="6" t="s">
        <v>4845</v>
      </c>
      <c r="C976" s="6">
        <v>237672</v>
      </c>
      <c r="D976" s="6" t="s">
        <v>3077</v>
      </c>
      <c r="E976" s="6" t="s">
        <v>4846</v>
      </c>
      <c r="F976" s="6"/>
      <c r="G976" s="6" t="s">
        <v>4566</v>
      </c>
      <c r="H976" s="6" t="s">
        <v>4834</v>
      </c>
      <c r="I976" s="6" t="s">
        <v>417</v>
      </c>
      <c r="J976" s="6" t="s">
        <v>4835</v>
      </c>
      <c r="K976" s="6" t="s">
        <v>4847</v>
      </c>
      <c r="L976" s="6" t="s">
        <v>4837</v>
      </c>
      <c r="M976" s="6" t="s">
        <v>4838</v>
      </c>
      <c r="N976" s="6" t="s">
        <v>3541</v>
      </c>
      <c r="O976" s="6" t="s">
        <v>4839</v>
      </c>
      <c r="P976" s="6"/>
      <c r="Q976" s="8">
        <v>200</v>
      </c>
      <c r="R976" s="8">
        <v>200.6</v>
      </c>
      <c r="S976" s="8">
        <v>399.9</v>
      </c>
      <c r="T976" s="8">
        <v>14</v>
      </c>
      <c r="U976" s="8"/>
      <c r="V976" s="8">
        <f t="shared" si="16"/>
        <v>0</v>
      </c>
      <c r="W976" s="12">
        <f t="shared" si="17"/>
        <v>0</v>
      </c>
      <c r="Y976">
        <v>0</v>
      </c>
    </row>
    <row r="977" spans="1:25" ht="40" customHeight="1">
      <c r="A977" s="6" t="s">
        <v>4848</v>
      </c>
      <c r="B977" s="6" t="s">
        <v>4849</v>
      </c>
      <c r="C977" s="6">
        <v>237672</v>
      </c>
      <c r="D977" s="6" t="s">
        <v>357</v>
      </c>
      <c r="E977" s="6" t="s">
        <v>4850</v>
      </c>
      <c r="F977" s="6"/>
      <c r="G977" s="6" t="s">
        <v>4566</v>
      </c>
      <c r="H977" s="6" t="s">
        <v>4834</v>
      </c>
      <c r="I977" s="6" t="s">
        <v>417</v>
      </c>
      <c r="J977" s="6" t="s">
        <v>4835</v>
      </c>
      <c r="K977" s="6" t="s">
        <v>4851</v>
      </c>
      <c r="L977" s="6" t="s">
        <v>4837</v>
      </c>
      <c r="M977" s="6" t="s">
        <v>4838</v>
      </c>
      <c r="N977" s="6" t="s">
        <v>3541</v>
      </c>
      <c r="O977" s="6" t="s">
        <v>4839</v>
      </c>
      <c r="P977" s="6"/>
      <c r="Q977" s="8">
        <v>200</v>
      </c>
      <c r="R977" s="8">
        <v>200.6</v>
      </c>
      <c r="S977" s="8">
        <v>399.9</v>
      </c>
      <c r="T977" s="8">
        <v>14</v>
      </c>
      <c r="U977" s="8"/>
      <c r="V977" s="8">
        <f t="shared" si="16"/>
        <v>0</v>
      </c>
      <c r="W977" s="12">
        <f t="shared" si="17"/>
        <v>0</v>
      </c>
      <c r="Y977">
        <v>0</v>
      </c>
    </row>
    <row r="978" spans="1:25" ht="40" customHeight="1">
      <c r="A978" s="5" t="s">
        <v>4852</v>
      </c>
      <c r="B978" s="6" t="s">
        <v>4853</v>
      </c>
      <c r="C978" s="6">
        <v>237678</v>
      </c>
      <c r="D978" s="6" t="s">
        <v>3525</v>
      </c>
      <c r="E978" s="6" t="s">
        <v>4854</v>
      </c>
      <c r="F978" s="6"/>
      <c r="G978" s="6" t="s">
        <v>4566</v>
      </c>
      <c r="H978" s="6" t="s">
        <v>4855</v>
      </c>
      <c r="I978" s="6" t="s">
        <v>417</v>
      </c>
      <c r="J978" s="6" t="s">
        <v>4856</v>
      </c>
      <c r="K978" s="6" t="s">
        <v>4857</v>
      </c>
      <c r="L978" s="6" t="s">
        <v>54</v>
      </c>
      <c r="M978" s="6" t="s">
        <v>54</v>
      </c>
      <c r="N978" s="6" t="s">
        <v>3541</v>
      </c>
      <c r="O978" s="6" t="s">
        <v>4592</v>
      </c>
      <c r="P978" s="6"/>
      <c r="Q978" s="8">
        <v>200</v>
      </c>
      <c r="R978" s="8">
        <v>200.6</v>
      </c>
      <c r="S978" s="8">
        <v>399.9</v>
      </c>
      <c r="T978" s="8">
        <v>14</v>
      </c>
      <c r="U978" s="8">
        <v>2</v>
      </c>
      <c r="V978" s="8">
        <f t="shared" si="16"/>
        <v>28</v>
      </c>
      <c r="W978" s="12">
        <f t="shared" si="17"/>
        <v>5616.8</v>
      </c>
      <c r="Y978">
        <v>2</v>
      </c>
    </row>
    <row r="979" spans="1:25" ht="40" customHeight="1">
      <c r="A979" s="5" t="s">
        <v>4858</v>
      </c>
      <c r="B979" s="6" t="s">
        <v>4859</v>
      </c>
      <c r="C979" s="6">
        <v>237678</v>
      </c>
      <c r="D979" s="6" t="s">
        <v>3077</v>
      </c>
      <c r="E979" s="6" t="s">
        <v>4860</v>
      </c>
      <c r="F979" s="6"/>
      <c r="G979" s="6" t="s">
        <v>4566</v>
      </c>
      <c r="H979" s="6" t="s">
        <v>4855</v>
      </c>
      <c r="I979" s="6" t="s">
        <v>417</v>
      </c>
      <c r="J979" s="6" t="s">
        <v>4856</v>
      </c>
      <c r="K979" s="6" t="s">
        <v>4861</v>
      </c>
      <c r="L979" s="6" t="s">
        <v>54</v>
      </c>
      <c r="M979" s="6" t="s">
        <v>54</v>
      </c>
      <c r="N979" s="6" t="s">
        <v>3541</v>
      </c>
      <c r="O979" s="6" t="s">
        <v>4592</v>
      </c>
      <c r="P979" s="6"/>
      <c r="Q979" s="8">
        <v>200</v>
      </c>
      <c r="R979" s="8">
        <v>200.6</v>
      </c>
      <c r="S979" s="8">
        <v>399.9</v>
      </c>
      <c r="T979" s="8">
        <v>14</v>
      </c>
      <c r="U979" s="8">
        <v>2</v>
      </c>
      <c r="V979" s="8">
        <f t="shared" si="16"/>
        <v>28</v>
      </c>
      <c r="W979" s="12">
        <f t="shared" si="17"/>
        <v>5616.8</v>
      </c>
      <c r="Y979">
        <v>2</v>
      </c>
    </row>
    <row r="980" spans="1:25" ht="40" customHeight="1">
      <c r="A980" s="5" t="s">
        <v>4862</v>
      </c>
      <c r="B980" s="6" t="s">
        <v>4863</v>
      </c>
      <c r="C980" s="6">
        <v>237686</v>
      </c>
      <c r="D980" s="6" t="s">
        <v>4864</v>
      </c>
      <c r="E980" s="6" t="s">
        <v>4865</v>
      </c>
      <c r="F980" s="6"/>
      <c r="G980" s="6" t="s">
        <v>4866</v>
      </c>
      <c r="H980" s="6" t="s">
        <v>4867</v>
      </c>
      <c r="I980" s="6" t="s">
        <v>417</v>
      </c>
      <c r="J980" s="6" t="s">
        <v>4868</v>
      </c>
      <c r="K980" s="6" t="s">
        <v>4869</v>
      </c>
      <c r="L980" s="6" t="s">
        <v>1569</v>
      </c>
      <c r="M980" s="6" t="s">
        <v>4870</v>
      </c>
      <c r="N980" s="6" t="s">
        <v>3541</v>
      </c>
      <c r="O980" s="6" t="s">
        <v>1571</v>
      </c>
      <c r="P980" s="6"/>
      <c r="Q980" s="8">
        <v>175</v>
      </c>
      <c r="R980" s="8">
        <v>175.52500000000001</v>
      </c>
      <c r="S980" s="8">
        <v>349.9</v>
      </c>
      <c r="T980" s="8">
        <v>14</v>
      </c>
      <c r="U980" s="8"/>
      <c r="V980" s="8">
        <f t="shared" si="16"/>
        <v>0</v>
      </c>
      <c r="W980" s="12">
        <f t="shared" si="17"/>
        <v>0</v>
      </c>
      <c r="Y980">
        <v>0</v>
      </c>
    </row>
    <row r="981" spans="1:25" ht="40" customHeight="1">
      <c r="A981" s="6" t="s">
        <v>4871</v>
      </c>
      <c r="B981" s="6" t="s">
        <v>4872</v>
      </c>
      <c r="C981" s="7">
        <v>237686</v>
      </c>
      <c r="D981" s="6" t="s">
        <v>74</v>
      </c>
      <c r="E981" s="7" t="s">
        <v>4873</v>
      </c>
      <c r="F981" s="6"/>
      <c r="G981" s="6" t="s">
        <v>4866</v>
      </c>
      <c r="H981" s="6" t="s">
        <v>4867</v>
      </c>
      <c r="I981" s="6" t="s">
        <v>417</v>
      </c>
      <c r="J981" s="6" t="s">
        <v>4868</v>
      </c>
      <c r="K981" s="6" t="s">
        <v>4874</v>
      </c>
      <c r="L981" s="6" t="s">
        <v>1569</v>
      </c>
      <c r="M981" s="6" t="s">
        <v>4870</v>
      </c>
      <c r="N981" s="6" t="s">
        <v>3541</v>
      </c>
      <c r="O981" s="6" t="s">
        <v>1571</v>
      </c>
      <c r="P981" s="6"/>
      <c r="Q981" s="8">
        <v>175</v>
      </c>
      <c r="R981" s="8">
        <v>175.52500000000001</v>
      </c>
      <c r="S981" s="8">
        <v>349.9</v>
      </c>
      <c r="T981" s="8">
        <v>14</v>
      </c>
      <c r="U981" s="8"/>
      <c r="V981" s="8">
        <f t="shared" si="16"/>
        <v>0</v>
      </c>
      <c r="W981" s="12">
        <f t="shared" si="17"/>
        <v>0</v>
      </c>
      <c r="Y981">
        <v>0</v>
      </c>
    </row>
    <row r="982" spans="1:25" ht="40" customHeight="1">
      <c r="A982" s="5" t="s">
        <v>4875</v>
      </c>
      <c r="B982" s="8" t="s">
        <v>4876</v>
      </c>
      <c r="C982" s="1" t="s">
        <v>4877</v>
      </c>
      <c r="D982" s="6" t="s">
        <v>27</v>
      </c>
      <c r="E982" s="1" t="s">
        <v>4878</v>
      </c>
      <c r="F982" s="6" t="s">
        <v>5</v>
      </c>
      <c r="G982" s="6" t="s">
        <v>4879</v>
      </c>
      <c r="H982" s="6" t="s">
        <v>215</v>
      </c>
      <c r="I982" s="6" t="s">
        <v>417</v>
      </c>
      <c r="J982" s="6" t="s">
        <v>4880</v>
      </c>
      <c r="K982" s="6" t="s">
        <v>4881</v>
      </c>
      <c r="L982" s="6" t="s">
        <v>2553</v>
      </c>
      <c r="M982" s="6" t="s">
        <v>4882</v>
      </c>
      <c r="N982" s="6" t="s">
        <v>3541</v>
      </c>
      <c r="O982" s="6" t="s">
        <v>2733</v>
      </c>
      <c r="P982" s="6"/>
      <c r="Q982" s="8">
        <v>200</v>
      </c>
      <c r="R982" s="8">
        <v>200.6</v>
      </c>
      <c r="S982" s="8">
        <v>399.9</v>
      </c>
      <c r="T982" s="8">
        <v>14</v>
      </c>
      <c r="U982" s="8"/>
      <c r="V982" s="8">
        <f t="shared" si="16"/>
        <v>0</v>
      </c>
      <c r="W982" s="12">
        <f t="shared" si="17"/>
        <v>0</v>
      </c>
      <c r="Y982">
        <v>0</v>
      </c>
    </row>
    <row r="983" spans="1:25" ht="40" customHeight="1">
      <c r="A983" s="5" t="s">
        <v>4883</v>
      </c>
      <c r="B983" s="8" t="s">
        <v>4884</v>
      </c>
      <c r="C983" s="8" t="s">
        <v>4877</v>
      </c>
      <c r="D983" s="6" t="s">
        <v>3239</v>
      </c>
      <c r="E983" s="8" t="s">
        <v>4885</v>
      </c>
      <c r="F983" s="6" t="s">
        <v>5</v>
      </c>
      <c r="G983" s="6" t="s">
        <v>4879</v>
      </c>
      <c r="H983" s="6" t="s">
        <v>215</v>
      </c>
      <c r="I983" s="6" t="s">
        <v>417</v>
      </c>
      <c r="J983" s="6" t="s">
        <v>4880</v>
      </c>
      <c r="K983" s="6" t="s">
        <v>4886</v>
      </c>
      <c r="L983" s="6" t="s">
        <v>2553</v>
      </c>
      <c r="M983" s="6" t="s">
        <v>4882</v>
      </c>
      <c r="N983" s="6" t="s">
        <v>3541</v>
      </c>
      <c r="O983" s="6" t="s">
        <v>2733</v>
      </c>
      <c r="P983" s="6"/>
      <c r="Q983" s="8">
        <v>200</v>
      </c>
      <c r="R983" s="8">
        <v>200.6</v>
      </c>
      <c r="S983" s="8">
        <v>399.9</v>
      </c>
      <c r="T983" s="8">
        <v>14</v>
      </c>
      <c r="U983" s="8"/>
      <c r="V983" s="8">
        <f t="shared" si="16"/>
        <v>0</v>
      </c>
      <c r="W983" s="12">
        <f t="shared" si="17"/>
        <v>0</v>
      </c>
      <c r="Y983">
        <v>0</v>
      </c>
    </row>
    <row r="984" spans="1:25" ht="40" customHeight="1">
      <c r="A984" s="5" t="s">
        <v>4887</v>
      </c>
      <c r="B984" s="6" t="s">
        <v>4888</v>
      </c>
      <c r="C984" s="6">
        <v>237755</v>
      </c>
      <c r="D984" s="6" t="s">
        <v>3525</v>
      </c>
      <c r="E984" s="6" t="s">
        <v>4889</v>
      </c>
      <c r="F984" s="6"/>
      <c r="G984" s="6" t="s">
        <v>4890</v>
      </c>
      <c r="H984" s="6" t="s">
        <v>215</v>
      </c>
      <c r="I984" s="6" t="s">
        <v>417</v>
      </c>
      <c r="J984" s="6" t="s">
        <v>4891</v>
      </c>
      <c r="K984" s="6" t="s">
        <v>4892</v>
      </c>
      <c r="L984" s="6" t="s">
        <v>4893</v>
      </c>
      <c r="M984" s="6" t="s">
        <v>4894</v>
      </c>
      <c r="N984" s="6" t="s">
        <v>3541</v>
      </c>
      <c r="O984" s="6" t="s">
        <v>4895</v>
      </c>
      <c r="P984" s="6"/>
      <c r="Q984" s="8">
        <v>200</v>
      </c>
      <c r="R984" s="8">
        <v>200.6</v>
      </c>
      <c r="S984" s="8">
        <v>399.9</v>
      </c>
      <c r="T984" s="8">
        <v>14</v>
      </c>
      <c r="U984" s="8">
        <v>2</v>
      </c>
      <c r="V984" s="8">
        <f t="shared" si="16"/>
        <v>28</v>
      </c>
      <c r="W984" s="12">
        <f t="shared" si="17"/>
        <v>5616.8</v>
      </c>
      <c r="Y984">
        <v>2</v>
      </c>
    </row>
    <row r="985" spans="1:25" ht="40" customHeight="1">
      <c r="A985" s="5" t="s">
        <v>4896</v>
      </c>
      <c r="B985" s="6" t="s">
        <v>4897</v>
      </c>
      <c r="C985" s="6">
        <v>237755</v>
      </c>
      <c r="D985" s="6" t="s">
        <v>40</v>
      </c>
      <c r="E985" s="6" t="s">
        <v>4898</v>
      </c>
      <c r="F985" s="6"/>
      <c r="G985" s="6" t="s">
        <v>4890</v>
      </c>
      <c r="H985" s="6" t="s">
        <v>215</v>
      </c>
      <c r="I985" s="6" t="s">
        <v>417</v>
      </c>
      <c r="J985" s="6" t="s">
        <v>4891</v>
      </c>
      <c r="K985" s="6" t="s">
        <v>4899</v>
      </c>
      <c r="L985" s="6" t="s">
        <v>4893</v>
      </c>
      <c r="M985" s="6" t="s">
        <v>4894</v>
      </c>
      <c r="N985" s="6" t="s">
        <v>3541</v>
      </c>
      <c r="O985" s="6" t="s">
        <v>4895</v>
      </c>
      <c r="P985" s="6"/>
      <c r="Q985" s="8">
        <v>200</v>
      </c>
      <c r="R985" s="8">
        <v>200.6</v>
      </c>
      <c r="S985" s="8">
        <v>399.9</v>
      </c>
      <c r="T985" s="8">
        <v>14</v>
      </c>
      <c r="U985" s="8">
        <v>2</v>
      </c>
      <c r="V985" s="8">
        <f t="shared" si="16"/>
        <v>28</v>
      </c>
      <c r="W985" s="12">
        <f t="shared" si="17"/>
        <v>5616.8</v>
      </c>
      <c r="X985">
        <f>VLOOKUP(E985,[1]Sheet2!$A:$C,3,FALSE)</f>
        <v>1</v>
      </c>
      <c r="Y985">
        <v>3</v>
      </c>
    </row>
    <row r="986" spans="1:25" ht="40" customHeight="1">
      <c r="A986" s="5" t="s">
        <v>4900</v>
      </c>
      <c r="B986" s="6" t="s">
        <v>4901</v>
      </c>
      <c r="C986" s="6">
        <v>237755</v>
      </c>
      <c r="D986" s="6" t="s">
        <v>456</v>
      </c>
      <c r="E986" s="6" t="s">
        <v>4902</v>
      </c>
      <c r="F986" s="6"/>
      <c r="G986" s="6" t="s">
        <v>4890</v>
      </c>
      <c r="H986" s="6" t="s">
        <v>215</v>
      </c>
      <c r="I986" s="6" t="s">
        <v>417</v>
      </c>
      <c r="J986" s="6" t="s">
        <v>4891</v>
      </c>
      <c r="K986" s="6" t="s">
        <v>4903</v>
      </c>
      <c r="L986" s="6" t="s">
        <v>4893</v>
      </c>
      <c r="M986" s="6" t="s">
        <v>4894</v>
      </c>
      <c r="N986" s="6" t="s">
        <v>3541</v>
      </c>
      <c r="O986" s="6" t="s">
        <v>4895</v>
      </c>
      <c r="P986" s="6"/>
      <c r="Q986" s="8">
        <v>200</v>
      </c>
      <c r="R986" s="8">
        <v>200.6</v>
      </c>
      <c r="S986" s="8">
        <v>399.9</v>
      </c>
      <c r="T986" s="8">
        <v>14</v>
      </c>
      <c r="U986" s="8">
        <v>2</v>
      </c>
      <c r="V986" s="8">
        <f t="shared" si="16"/>
        <v>28</v>
      </c>
      <c r="W986" s="12">
        <f t="shared" si="17"/>
        <v>5616.8</v>
      </c>
      <c r="Y986">
        <v>2</v>
      </c>
    </row>
    <row r="987" spans="1:25" ht="40" customHeight="1">
      <c r="A987" s="5" t="s">
        <v>4904</v>
      </c>
      <c r="B987" s="6" t="s">
        <v>4905</v>
      </c>
      <c r="C987" s="6">
        <v>237788</v>
      </c>
      <c r="D987" s="6" t="s">
        <v>27</v>
      </c>
      <c r="E987" s="6" t="s">
        <v>4906</v>
      </c>
      <c r="F987" s="6"/>
      <c r="G987" s="6" t="s">
        <v>4907</v>
      </c>
      <c r="H987" s="6" t="s">
        <v>4908</v>
      </c>
      <c r="I987" s="6" t="s">
        <v>417</v>
      </c>
      <c r="J987" s="6" t="s">
        <v>4909</v>
      </c>
      <c r="K987" s="6" t="s">
        <v>4792</v>
      </c>
      <c r="L987" s="6" t="s">
        <v>54</v>
      </c>
      <c r="M987" s="6" t="s">
        <v>54</v>
      </c>
      <c r="N987" s="6" t="s">
        <v>3541</v>
      </c>
      <c r="O987" s="6" t="s">
        <v>4910</v>
      </c>
      <c r="P987" s="6"/>
      <c r="Q987" s="8">
        <v>175</v>
      </c>
      <c r="R987" s="8">
        <v>175.52500000000001</v>
      </c>
      <c r="S987" s="8">
        <v>349.9</v>
      </c>
      <c r="T987" s="8">
        <v>14</v>
      </c>
      <c r="U987" s="8">
        <v>2</v>
      </c>
      <c r="V987" s="8">
        <f t="shared" si="16"/>
        <v>28</v>
      </c>
      <c r="W987" s="12">
        <f t="shared" si="17"/>
        <v>4914.7</v>
      </c>
      <c r="Y987">
        <v>2</v>
      </c>
    </row>
    <row r="988" spans="1:25" ht="40" customHeight="1">
      <c r="A988" s="5" t="s">
        <v>4911</v>
      </c>
      <c r="B988" s="6" t="s">
        <v>4912</v>
      </c>
      <c r="C988" s="6">
        <v>237788</v>
      </c>
      <c r="D988" s="6" t="s">
        <v>200</v>
      </c>
      <c r="E988" s="6" t="s">
        <v>4913</v>
      </c>
      <c r="F988" s="6"/>
      <c r="G988" s="6" t="s">
        <v>4907</v>
      </c>
      <c r="H988" s="6" t="s">
        <v>4908</v>
      </c>
      <c r="I988" s="6" t="s">
        <v>417</v>
      </c>
      <c r="J988" s="6" t="s">
        <v>4909</v>
      </c>
      <c r="K988" s="6" t="s">
        <v>4801</v>
      </c>
      <c r="L988" s="6" t="s">
        <v>54</v>
      </c>
      <c r="M988" s="6" t="s">
        <v>54</v>
      </c>
      <c r="N988" s="6" t="s">
        <v>3541</v>
      </c>
      <c r="O988" s="6" t="s">
        <v>4910</v>
      </c>
      <c r="P988" s="6"/>
      <c r="Q988" s="8">
        <v>175</v>
      </c>
      <c r="R988" s="8">
        <v>175.52500000000001</v>
      </c>
      <c r="S988" s="8">
        <v>349.9</v>
      </c>
      <c r="T988" s="8">
        <v>14</v>
      </c>
      <c r="U988" s="8">
        <v>2</v>
      </c>
      <c r="V988" s="8">
        <f t="shared" si="16"/>
        <v>28</v>
      </c>
      <c r="W988" s="12">
        <f t="shared" si="17"/>
        <v>4914.7</v>
      </c>
      <c r="Y988">
        <v>2</v>
      </c>
    </row>
    <row r="989" spans="1:25" ht="40" customHeight="1">
      <c r="A989" s="5" t="s">
        <v>4914</v>
      </c>
      <c r="B989" s="6" t="s">
        <v>4915</v>
      </c>
      <c r="C989" s="6">
        <v>237790</v>
      </c>
      <c r="D989" s="6" t="s">
        <v>27</v>
      </c>
      <c r="E989" s="6" t="s">
        <v>4916</v>
      </c>
      <c r="F989" s="6"/>
      <c r="G989" s="6" t="s">
        <v>4693</v>
      </c>
      <c r="H989" s="6" t="s">
        <v>4917</v>
      </c>
      <c r="I989" s="6" t="s">
        <v>417</v>
      </c>
      <c r="J989" s="6" t="s">
        <v>4918</v>
      </c>
      <c r="K989" s="6" t="s">
        <v>4675</v>
      </c>
      <c r="L989" s="6" t="s">
        <v>4919</v>
      </c>
      <c r="M989" s="6" t="s">
        <v>4920</v>
      </c>
      <c r="N989" s="6" t="s">
        <v>3541</v>
      </c>
      <c r="O989" s="6" t="s">
        <v>4592</v>
      </c>
      <c r="P989" s="6"/>
      <c r="Q989" s="8">
        <v>200</v>
      </c>
      <c r="R989" s="8">
        <v>200.6</v>
      </c>
      <c r="S989" s="8">
        <v>399.9</v>
      </c>
      <c r="T989" s="8">
        <v>14</v>
      </c>
      <c r="U989" s="8"/>
      <c r="V989" s="8">
        <f t="shared" si="16"/>
        <v>0</v>
      </c>
      <c r="W989" s="12">
        <f t="shared" si="17"/>
        <v>0</v>
      </c>
      <c r="Y989">
        <v>0</v>
      </c>
    </row>
    <row r="990" spans="1:25" ht="40" customHeight="1">
      <c r="A990" s="5" t="s">
        <v>4921</v>
      </c>
      <c r="B990" s="6" t="s">
        <v>4922</v>
      </c>
      <c r="C990" s="6">
        <v>237790</v>
      </c>
      <c r="D990" s="6" t="s">
        <v>74</v>
      </c>
      <c r="E990" s="6" t="s">
        <v>4923</v>
      </c>
      <c r="F990" s="6"/>
      <c r="G990" s="6" t="s">
        <v>4693</v>
      </c>
      <c r="H990" s="6" t="s">
        <v>4917</v>
      </c>
      <c r="I990" s="6" t="s">
        <v>417</v>
      </c>
      <c r="J990" s="6" t="s">
        <v>4918</v>
      </c>
      <c r="K990" s="6" t="s">
        <v>4924</v>
      </c>
      <c r="L990" s="6" t="s">
        <v>4919</v>
      </c>
      <c r="M990" s="6" t="s">
        <v>4920</v>
      </c>
      <c r="N990" s="6" t="s">
        <v>3541</v>
      </c>
      <c r="O990" s="6" t="s">
        <v>4592</v>
      </c>
      <c r="P990" s="6"/>
      <c r="Q990" s="8">
        <v>200</v>
      </c>
      <c r="R990" s="8">
        <v>200.6</v>
      </c>
      <c r="S990" s="8">
        <v>399.9</v>
      </c>
      <c r="T990" s="8">
        <v>14</v>
      </c>
      <c r="U990" s="8"/>
      <c r="V990" s="8">
        <f t="shared" si="16"/>
        <v>0</v>
      </c>
      <c r="W990" s="12">
        <f t="shared" si="17"/>
        <v>0</v>
      </c>
      <c r="Y990">
        <v>0</v>
      </c>
    </row>
    <row r="991" spans="1:25" ht="40" customHeight="1">
      <c r="A991" s="5" t="s">
        <v>4925</v>
      </c>
      <c r="B991" s="6" t="s">
        <v>4926</v>
      </c>
      <c r="C991" s="6">
        <v>237806</v>
      </c>
      <c r="D991" s="6" t="s">
        <v>27</v>
      </c>
      <c r="E991" s="6" t="s">
        <v>4927</v>
      </c>
      <c r="F991" s="6"/>
      <c r="G991" s="6" t="s">
        <v>4928</v>
      </c>
      <c r="H991" s="6" t="s">
        <v>4929</v>
      </c>
      <c r="I991" s="6" t="s">
        <v>417</v>
      </c>
      <c r="J991" s="6" t="s">
        <v>4930</v>
      </c>
      <c r="K991" s="6" t="s">
        <v>4931</v>
      </c>
      <c r="L991" s="6" t="s">
        <v>262</v>
      </c>
      <c r="M991" s="6" t="s">
        <v>4932</v>
      </c>
      <c r="N991" s="6" t="s">
        <v>3541</v>
      </c>
      <c r="O991" s="6" t="s">
        <v>4933</v>
      </c>
      <c r="P991" s="6"/>
      <c r="Q991" s="8">
        <v>150</v>
      </c>
      <c r="R991" s="8">
        <v>150.44999999999999</v>
      </c>
      <c r="S991" s="8">
        <v>299.89999999999998</v>
      </c>
      <c r="T991" s="8">
        <v>14</v>
      </c>
      <c r="U991" s="8">
        <v>2</v>
      </c>
      <c r="V991" s="8">
        <f t="shared" si="16"/>
        <v>28</v>
      </c>
      <c r="W991" s="12">
        <f t="shared" si="17"/>
        <v>4212.6000000000004</v>
      </c>
      <c r="Y991">
        <v>2</v>
      </c>
    </row>
    <row r="992" spans="1:25" ht="40" customHeight="1">
      <c r="A992" s="5" t="s">
        <v>4934</v>
      </c>
      <c r="B992" s="6" t="s">
        <v>4935</v>
      </c>
      <c r="C992" s="6">
        <v>237806</v>
      </c>
      <c r="D992" s="6" t="s">
        <v>147</v>
      </c>
      <c r="E992" s="6" t="s">
        <v>4936</v>
      </c>
      <c r="F992" s="6"/>
      <c r="G992" s="6" t="s">
        <v>4928</v>
      </c>
      <c r="H992" s="6" t="s">
        <v>4929</v>
      </c>
      <c r="I992" s="6" t="s">
        <v>417</v>
      </c>
      <c r="J992" s="6" t="s">
        <v>4930</v>
      </c>
      <c r="K992" s="6" t="s">
        <v>4931</v>
      </c>
      <c r="L992" s="6" t="s">
        <v>262</v>
      </c>
      <c r="M992" s="6" t="s">
        <v>4932</v>
      </c>
      <c r="N992" s="6" t="s">
        <v>3541</v>
      </c>
      <c r="O992" s="6" t="s">
        <v>4933</v>
      </c>
      <c r="P992" s="6"/>
      <c r="Q992" s="8">
        <v>150</v>
      </c>
      <c r="R992" s="8">
        <v>150.44999999999999</v>
      </c>
      <c r="S992" s="8">
        <v>299.89999999999998</v>
      </c>
      <c r="T992" s="8">
        <v>14</v>
      </c>
      <c r="U992" s="8">
        <v>2</v>
      </c>
      <c r="V992" s="8">
        <f t="shared" si="16"/>
        <v>28</v>
      </c>
      <c r="W992" s="12">
        <f t="shared" si="17"/>
        <v>4212.6000000000004</v>
      </c>
      <c r="Y992">
        <v>2</v>
      </c>
    </row>
    <row r="993" spans="1:25" ht="40" customHeight="1">
      <c r="A993" s="5" t="s">
        <v>4937</v>
      </c>
      <c r="B993" s="6" t="s">
        <v>4938</v>
      </c>
      <c r="C993" s="6">
        <v>237806</v>
      </c>
      <c r="D993" s="6" t="s">
        <v>561</v>
      </c>
      <c r="E993" s="6" t="s">
        <v>4939</v>
      </c>
      <c r="F993" s="6"/>
      <c r="G993" s="6" t="s">
        <v>4928</v>
      </c>
      <c r="H993" s="6" t="s">
        <v>4929</v>
      </c>
      <c r="I993" s="6" t="s">
        <v>417</v>
      </c>
      <c r="J993" s="6" t="s">
        <v>4930</v>
      </c>
      <c r="K993" s="6" t="s">
        <v>4940</v>
      </c>
      <c r="L993" s="6" t="s">
        <v>262</v>
      </c>
      <c r="M993" s="6" t="s">
        <v>4932</v>
      </c>
      <c r="N993" s="6" t="s">
        <v>3541</v>
      </c>
      <c r="O993" s="6" t="s">
        <v>4933</v>
      </c>
      <c r="P993" s="6"/>
      <c r="Q993" s="8">
        <v>150</v>
      </c>
      <c r="R993" s="8">
        <v>150.44999999999999</v>
      </c>
      <c r="S993" s="8">
        <v>299.89999999999998</v>
      </c>
      <c r="T993" s="8">
        <v>14</v>
      </c>
      <c r="U993" s="8">
        <v>2</v>
      </c>
      <c r="V993" s="8">
        <f t="shared" si="16"/>
        <v>28</v>
      </c>
      <c r="W993" s="12">
        <f t="shared" si="17"/>
        <v>4212.6000000000004</v>
      </c>
      <c r="Y993">
        <v>2</v>
      </c>
    </row>
    <row r="994" spans="1:25" ht="40" customHeight="1">
      <c r="A994" s="5" t="s">
        <v>4941</v>
      </c>
      <c r="B994" s="6" t="s">
        <v>4942</v>
      </c>
      <c r="C994" s="6">
        <v>237806</v>
      </c>
      <c r="D994" s="6" t="s">
        <v>200</v>
      </c>
      <c r="E994" s="6" t="s">
        <v>4943</v>
      </c>
      <c r="F994" s="6"/>
      <c r="G994" s="6" t="s">
        <v>4928</v>
      </c>
      <c r="H994" s="6" t="s">
        <v>4929</v>
      </c>
      <c r="I994" s="6" t="s">
        <v>417</v>
      </c>
      <c r="J994" s="6" t="s">
        <v>4930</v>
      </c>
      <c r="K994" s="6" t="s">
        <v>4944</v>
      </c>
      <c r="L994" s="6" t="s">
        <v>262</v>
      </c>
      <c r="M994" s="6" t="s">
        <v>4932</v>
      </c>
      <c r="N994" s="6" t="s">
        <v>3541</v>
      </c>
      <c r="O994" s="6" t="s">
        <v>4933</v>
      </c>
      <c r="P994" s="6"/>
      <c r="Q994" s="8">
        <v>150</v>
      </c>
      <c r="R994" s="8">
        <v>150.44999999999999</v>
      </c>
      <c r="S994" s="8">
        <v>299.89999999999998</v>
      </c>
      <c r="T994" s="8">
        <v>14</v>
      </c>
      <c r="U994" s="8">
        <v>2</v>
      </c>
      <c r="V994" s="8">
        <f t="shared" si="16"/>
        <v>28</v>
      </c>
      <c r="W994" s="12">
        <f t="shared" si="17"/>
        <v>4212.6000000000004</v>
      </c>
      <c r="Y994">
        <v>2</v>
      </c>
    </row>
    <row r="995" spans="1:25" ht="40" customHeight="1">
      <c r="A995" s="5" t="s">
        <v>4945</v>
      </c>
      <c r="B995" s="6" t="s">
        <v>4946</v>
      </c>
      <c r="C995" s="6">
        <v>237811</v>
      </c>
      <c r="D995" s="6" t="s">
        <v>27</v>
      </c>
      <c r="E995" s="6" t="s">
        <v>4947</v>
      </c>
      <c r="F995" s="6"/>
      <c r="G995" s="6" t="s">
        <v>2350</v>
      </c>
      <c r="H995" s="6" t="s">
        <v>4948</v>
      </c>
      <c r="I995" s="6" t="s">
        <v>417</v>
      </c>
      <c r="J995" s="6" t="s">
        <v>4949</v>
      </c>
      <c r="K995" s="6" t="s">
        <v>4792</v>
      </c>
      <c r="L995" s="6" t="s">
        <v>54</v>
      </c>
      <c r="M995" s="6" t="s">
        <v>54</v>
      </c>
      <c r="N995" s="6" t="s">
        <v>3541</v>
      </c>
      <c r="O995" s="6" t="s">
        <v>2373</v>
      </c>
      <c r="P995" s="6"/>
      <c r="Q995" s="8">
        <v>165</v>
      </c>
      <c r="R995" s="8">
        <v>165.495</v>
      </c>
      <c r="S995" s="8">
        <v>329.9</v>
      </c>
      <c r="T995" s="8">
        <v>14</v>
      </c>
      <c r="U995" s="8"/>
      <c r="V995" s="8">
        <f t="shared" si="16"/>
        <v>0</v>
      </c>
      <c r="W995" s="12">
        <f t="shared" si="17"/>
        <v>0</v>
      </c>
      <c r="Y995">
        <v>0</v>
      </c>
    </row>
    <row r="996" spans="1:25" ht="40" customHeight="1">
      <c r="A996" s="6" t="s">
        <v>4950</v>
      </c>
      <c r="B996" s="6" t="s">
        <v>4951</v>
      </c>
      <c r="C996" s="6">
        <v>237811</v>
      </c>
      <c r="D996" s="6" t="s">
        <v>147</v>
      </c>
      <c r="E996" s="6" t="s">
        <v>4952</v>
      </c>
      <c r="F996" s="6"/>
      <c r="G996" s="6" t="s">
        <v>2350</v>
      </c>
      <c r="H996" s="6" t="s">
        <v>4948</v>
      </c>
      <c r="I996" s="6" t="s">
        <v>417</v>
      </c>
      <c r="J996" s="6" t="s">
        <v>4949</v>
      </c>
      <c r="K996" s="6" t="s">
        <v>4792</v>
      </c>
      <c r="L996" s="6" t="s">
        <v>54</v>
      </c>
      <c r="M996" s="6" t="s">
        <v>54</v>
      </c>
      <c r="N996" s="6" t="s">
        <v>3541</v>
      </c>
      <c r="O996" s="6" t="s">
        <v>2373</v>
      </c>
      <c r="P996" s="6"/>
      <c r="Q996" s="8">
        <v>165</v>
      </c>
      <c r="R996" s="8">
        <v>165.495</v>
      </c>
      <c r="S996" s="8">
        <v>329.9</v>
      </c>
      <c r="T996" s="8">
        <v>14</v>
      </c>
      <c r="U996" s="8"/>
      <c r="V996" s="8">
        <f t="shared" si="16"/>
        <v>0</v>
      </c>
      <c r="W996" s="12">
        <f t="shared" si="17"/>
        <v>0</v>
      </c>
      <c r="Y996">
        <v>0</v>
      </c>
    </row>
    <row r="997" spans="1:25" ht="40" customHeight="1">
      <c r="A997" s="5" t="s">
        <v>4953</v>
      </c>
      <c r="B997" s="6" t="s">
        <v>4954</v>
      </c>
      <c r="C997" s="6">
        <v>237811</v>
      </c>
      <c r="D997" s="6" t="s">
        <v>200</v>
      </c>
      <c r="E997" s="6" t="s">
        <v>4955</v>
      </c>
      <c r="F997" s="6"/>
      <c r="G997" s="6" t="s">
        <v>2350</v>
      </c>
      <c r="H997" s="6" t="s">
        <v>4948</v>
      </c>
      <c r="I997" s="6" t="s">
        <v>417</v>
      </c>
      <c r="J997" s="6" t="s">
        <v>4949</v>
      </c>
      <c r="K997" s="6" t="s">
        <v>4801</v>
      </c>
      <c r="L997" s="6" t="s">
        <v>54</v>
      </c>
      <c r="M997" s="6" t="s">
        <v>54</v>
      </c>
      <c r="N997" s="6" t="s">
        <v>3541</v>
      </c>
      <c r="O997" s="6" t="s">
        <v>2373</v>
      </c>
      <c r="P997" s="6"/>
      <c r="Q997" s="8">
        <v>165</v>
      </c>
      <c r="R997" s="8">
        <v>165.495</v>
      </c>
      <c r="S997" s="8">
        <v>329.9</v>
      </c>
      <c r="T997" s="8">
        <v>14</v>
      </c>
      <c r="U997" s="8"/>
      <c r="V997" s="8">
        <f t="shared" si="16"/>
        <v>0</v>
      </c>
      <c r="W997" s="12">
        <f t="shared" si="17"/>
        <v>0</v>
      </c>
      <c r="Y997">
        <v>0</v>
      </c>
    </row>
    <row r="998" spans="1:25" ht="40" customHeight="1">
      <c r="A998" s="6" t="s">
        <v>4956</v>
      </c>
      <c r="B998" s="6" t="s">
        <v>4957</v>
      </c>
      <c r="C998" s="7">
        <v>237811</v>
      </c>
      <c r="D998" s="6" t="s">
        <v>45</v>
      </c>
      <c r="E998" s="7" t="s">
        <v>4958</v>
      </c>
      <c r="F998" s="6"/>
      <c r="G998" s="6" t="s">
        <v>2350</v>
      </c>
      <c r="H998" s="6" t="s">
        <v>4948</v>
      </c>
      <c r="I998" s="6" t="s">
        <v>417</v>
      </c>
      <c r="J998" s="6" t="s">
        <v>4949</v>
      </c>
      <c r="K998" s="6" t="s">
        <v>4959</v>
      </c>
      <c r="L998" s="6" t="s">
        <v>54</v>
      </c>
      <c r="M998" s="6" t="s">
        <v>54</v>
      </c>
      <c r="N998" s="6" t="s">
        <v>3541</v>
      </c>
      <c r="O998" s="6" t="s">
        <v>2373</v>
      </c>
      <c r="P998" s="6"/>
      <c r="Q998" s="8">
        <v>165</v>
      </c>
      <c r="R998" s="8">
        <v>165.495</v>
      </c>
      <c r="S998" s="8">
        <v>329.9</v>
      </c>
      <c r="T998" s="8">
        <v>14</v>
      </c>
      <c r="U998" s="8"/>
      <c r="V998" s="8">
        <f t="shared" si="16"/>
        <v>0</v>
      </c>
      <c r="W998" s="12">
        <f t="shared" si="17"/>
        <v>0</v>
      </c>
      <c r="Y998">
        <v>0</v>
      </c>
    </row>
    <row r="999" spans="1:25" ht="40" customHeight="1">
      <c r="A999" s="5" t="s">
        <v>4960</v>
      </c>
      <c r="B999" s="6" t="s">
        <v>4961</v>
      </c>
      <c r="C999" s="6">
        <v>237812</v>
      </c>
      <c r="D999" s="6" t="s">
        <v>3525</v>
      </c>
      <c r="E999" s="6" t="s">
        <v>4962</v>
      </c>
      <c r="F999" s="6"/>
      <c r="G999" s="6" t="s">
        <v>2350</v>
      </c>
      <c r="H999" s="6" t="s">
        <v>4963</v>
      </c>
      <c r="I999" s="6" t="s">
        <v>417</v>
      </c>
      <c r="J999" s="6" t="s">
        <v>4964</v>
      </c>
      <c r="K999" s="6" t="s">
        <v>4780</v>
      </c>
      <c r="L999" s="6" t="s">
        <v>4965</v>
      </c>
      <c r="M999" s="6" t="s">
        <v>4966</v>
      </c>
      <c r="N999" s="6" t="s">
        <v>3541</v>
      </c>
      <c r="O999" s="6" t="s">
        <v>2355</v>
      </c>
      <c r="P999" s="6"/>
      <c r="Q999" s="8">
        <v>190</v>
      </c>
      <c r="R999" s="8">
        <v>190.57</v>
      </c>
      <c r="S999" s="8">
        <v>379.9</v>
      </c>
      <c r="T999" s="8">
        <v>14</v>
      </c>
      <c r="U999" s="8"/>
      <c r="V999" s="8">
        <f t="shared" ref="V999:V1033" si="18">T999*U999</f>
        <v>0</v>
      </c>
      <c r="W999" s="12">
        <f t="shared" ref="W999:W1033" si="19">R999*V999</f>
        <v>0</v>
      </c>
      <c r="Y999">
        <v>0</v>
      </c>
    </row>
    <row r="1000" spans="1:25" ht="40" customHeight="1">
      <c r="A1000" s="6" t="s">
        <v>4967</v>
      </c>
      <c r="B1000" s="6" t="s">
        <v>4968</v>
      </c>
      <c r="C1000" s="6">
        <v>237812</v>
      </c>
      <c r="D1000" s="6" t="s">
        <v>2637</v>
      </c>
      <c r="E1000" s="6" t="s">
        <v>4969</v>
      </c>
      <c r="F1000" s="6"/>
      <c r="G1000" s="6" t="s">
        <v>2350</v>
      </c>
      <c r="H1000" s="6" t="s">
        <v>4963</v>
      </c>
      <c r="I1000" s="6" t="s">
        <v>417</v>
      </c>
      <c r="J1000" s="6" t="s">
        <v>4964</v>
      </c>
      <c r="K1000" s="6" t="s">
        <v>4970</v>
      </c>
      <c r="L1000" s="6" t="s">
        <v>4965</v>
      </c>
      <c r="M1000" s="6" t="s">
        <v>4966</v>
      </c>
      <c r="N1000" s="6" t="s">
        <v>3541</v>
      </c>
      <c r="O1000" s="6" t="s">
        <v>2355</v>
      </c>
      <c r="P1000" s="6"/>
      <c r="Q1000" s="8">
        <v>190</v>
      </c>
      <c r="R1000" s="8">
        <v>190.57</v>
      </c>
      <c r="S1000" s="8">
        <v>379.9</v>
      </c>
      <c r="T1000" s="8">
        <v>14</v>
      </c>
      <c r="U1000" s="8"/>
      <c r="V1000" s="8">
        <f t="shared" si="18"/>
        <v>0</v>
      </c>
      <c r="W1000" s="12">
        <f t="shared" si="19"/>
        <v>0</v>
      </c>
      <c r="Y1000">
        <v>0</v>
      </c>
    </row>
    <row r="1001" spans="1:25" ht="40" customHeight="1">
      <c r="A1001" s="6" t="s">
        <v>4971</v>
      </c>
      <c r="B1001" s="6" t="s">
        <v>4972</v>
      </c>
      <c r="C1001" s="7">
        <v>237812</v>
      </c>
      <c r="D1001" s="6" t="s">
        <v>200</v>
      </c>
      <c r="E1001" s="7" t="s">
        <v>4973</v>
      </c>
      <c r="F1001" s="6"/>
      <c r="G1001" s="6" t="s">
        <v>2350</v>
      </c>
      <c r="H1001" s="6" t="s">
        <v>4963</v>
      </c>
      <c r="I1001" s="6" t="s">
        <v>417</v>
      </c>
      <c r="J1001" s="6" t="s">
        <v>4964</v>
      </c>
      <c r="K1001" s="6" t="s">
        <v>4801</v>
      </c>
      <c r="L1001" s="6" t="s">
        <v>4965</v>
      </c>
      <c r="M1001" s="6" t="s">
        <v>4966</v>
      </c>
      <c r="N1001" s="6" t="s">
        <v>3541</v>
      </c>
      <c r="O1001" s="6" t="s">
        <v>2355</v>
      </c>
      <c r="P1001" s="6"/>
      <c r="Q1001" s="8">
        <v>190</v>
      </c>
      <c r="R1001" s="8">
        <v>190.57</v>
      </c>
      <c r="S1001" s="8">
        <v>379.9</v>
      </c>
      <c r="T1001" s="8">
        <v>14</v>
      </c>
      <c r="U1001" s="8"/>
      <c r="V1001" s="8">
        <f t="shared" si="18"/>
        <v>0</v>
      </c>
      <c r="W1001" s="12">
        <f t="shared" si="19"/>
        <v>0</v>
      </c>
      <c r="Y1001">
        <v>0</v>
      </c>
    </row>
    <row r="1002" spans="1:25" ht="40" customHeight="1">
      <c r="A1002" s="6" t="s">
        <v>4974</v>
      </c>
      <c r="B1002" s="6" t="s">
        <v>4975</v>
      </c>
      <c r="C1002" s="6">
        <v>237812</v>
      </c>
      <c r="D1002" s="6" t="s">
        <v>45</v>
      </c>
      <c r="E1002" s="6" t="s">
        <v>4976</v>
      </c>
      <c r="F1002" s="6"/>
      <c r="G1002" s="6" t="s">
        <v>2350</v>
      </c>
      <c r="H1002" s="6" t="s">
        <v>4963</v>
      </c>
      <c r="I1002" s="6" t="s">
        <v>417</v>
      </c>
      <c r="J1002" s="6" t="s">
        <v>4964</v>
      </c>
      <c r="K1002" s="6" t="s">
        <v>4959</v>
      </c>
      <c r="L1002" s="6" t="s">
        <v>4965</v>
      </c>
      <c r="M1002" s="6" t="s">
        <v>4966</v>
      </c>
      <c r="N1002" s="6" t="s">
        <v>3541</v>
      </c>
      <c r="O1002" s="6" t="s">
        <v>2355</v>
      </c>
      <c r="P1002" s="6"/>
      <c r="Q1002" s="8">
        <v>190</v>
      </c>
      <c r="R1002" s="8">
        <v>190.57</v>
      </c>
      <c r="S1002" s="8">
        <v>379.9</v>
      </c>
      <c r="T1002" s="8">
        <v>14</v>
      </c>
      <c r="U1002" s="8"/>
      <c r="V1002" s="8">
        <f t="shared" si="18"/>
        <v>0</v>
      </c>
      <c r="W1002" s="12">
        <f t="shared" si="19"/>
        <v>0</v>
      </c>
      <c r="Y1002">
        <v>0</v>
      </c>
    </row>
    <row r="1003" spans="1:25" ht="40" customHeight="1">
      <c r="A1003" s="6" t="s">
        <v>4977</v>
      </c>
      <c r="B1003" s="8" t="s">
        <v>4978</v>
      </c>
      <c r="C1003" s="8" t="s">
        <v>4979</v>
      </c>
      <c r="D1003" s="6" t="s">
        <v>27</v>
      </c>
      <c r="E1003" s="8" t="s">
        <v>4980</v>
      </c>
      <c r="F1003" s="6" t="s">
        <v>5</v>
      </c>
      <c r="G1003" s="6" t="s">
        <v>2350</v>
      </c>
      <c r="H1003" s="6" t="s">
        <v>4963</v>
      </c>
      <c r="I1003" s="6" t="s">
        <v>417</v>
      </c>
      <c r="J1003" s="6" t="s">
        <v>4964</v>
      </c>
      <c r="K1003" s="6" t="s">
        <v>4792</v>
      </c>
      <c r="L1003" s="6" t="s">
        <v>4965</v>
      </c>
      <c r="M1003" s="6" t="s">
        <v>4966</v>
      </c>
      <c r="N1003" s="6" t="s">
        <v>3541</v>
      </c>
      <c r="O1003" s="6" t="s">
        <v>2355</v>
      </c>
      <c r="P1003" s="6"/>
      <c r="Q1003" s="8">
        <v>190</v>
      </c>
      <c r="R1003" s="8">
        <v>190.57</v>
      </c>
      <c r="S1003" s="8">
        <v>379.9</v>
      </c>
      <c r="T1003" s="8">
        <v>14</v>
      </c>
      <c r="U1003" s="8"/>
      <c r="V1003" s="8">
        <f t="shared" si="18"/>
        <v>0</v>
      </c>
      <c r="W1003" s="12">
        <f t="shared" si="19"/>
        <v>0</v>
      </c>
      <c r="Y1003">
        <v>0</v>
      </c>
    </row>
    <row r="1004" spans="1:25" ht="40" customHeight="1">
      <c r="A1004" s="6" t="s">
        <v>4981</v>
      </c>
      <c r="B1004" s="8" t="s">
        <v>4982</v>
      </c>
      <c r="C1004" s="8" t="s">
        <v>4979</v>
      </c>
      <c r="D1004" s="6" t="s">
        <v>89</v>
      </c>
      <c r="E1004" s="8" t="s">
        <v>4983</v>
      </c>
      <c r="F1004" s="6" t="s">
        <v>5</v>
      </c>
      <c r="G1004" s="6" t="s">
        <v>2350</v>
      </c>
      <c r="H1004" s="6" t="s">
        <v>4963</v>
      </c>
      <c r="I1004" s="6" t="s">
        <v>417</v>
      </c>
      <c r="J1004" s="6" t="s">
        <v>4964</v>
      </c>
      <c r="K1004" s="6" t="s">
        <v>4984</v>
      </c>
      <c r="L1004" s="6" t="s">
        <v>4965</v>
      </c>
      <c r="M1004" s="6" t="s">
        <v>4966</v>
      </c>
      <c r="N1004" s="6" t="s">
        <v>3541</v>
      </c>
      <c r="O1004" s="6" t="s">
        <v>2355</v>
      </c>
      <c r="P1004" s="6"/>
      <c r="Q1004" s="8">
        <v>190</v>
      </c>
      <c r="R1004" s="8">
        <v>190.57</v>
      </c>
      <c r="S1004" s="8">
        <v>379.9</v>
      </c>
      <c r="T1004" s="8">
        <v>14</v>
      </c>
      <c r="U1004" s="8"/>
      <c r="V1004" s="8">
        <f t="shared" si="18"/>
        <v>0</v>
      </c>
      <c r="W1004" s="12">
        <f t="shared" si="19"/>
        <v>0</v>
      </c>
      <c r="Y1004">
        <v>0</v>
      </c>
    </row>
    <row r="1005" spans="1:25" ht="40" customHeight="1">
      <c r="A1005" s="5" t="s">
        <v>4985</v>
      </c>
      <c r="B1005" s="6" t="s">
        <v>4986</v>
      </c>
      <c r="C1005" s="6">
        <v>237818</v>
      </c>
      <c r="D1005" s="6" t="s">
        <v>27</v>
      </c>
      <c r="E1005" s="6" t="s">
        <v>4987</v>
      </c>
      <c r="F1005" s="6"/>
      <c r="G1005" s="6" t="s">
        <v>4988</v>
      </c>
      <c r="H1005" s="6" t="s">
        <v>4989</v>
      </c>
      <c r="I1005" s="6" t="s">
        <v>417</v>
      </c>
      <c r="J1005" s="6" t="s">
        <v>4990</v>
      </c>
      <c r="K1005" s="6" t="s">
        <v>4931</v>
      </c>
      <c r="L1005" s="6" t="s">
        <v>54</v>
      </c>
      <c r="M1005" s="6" t="s">
        <v>54</v>
      </c>
      <c r="N1005" s="6" t="s">
        <v>3541</v>
      </c>
      <c r="O1005" s="6" t="s">
        <v>4991</v>
      </c>
      <c r="P1005" s="6"/>
      <c r="Q1005" s="8">
        <v>160</v>
      </c>
      <c r="R1005" s="8">
        <v>160.47999999999999</v>
      </c>
      <c r="S1005" s="8">
        <v>319.89999999999998</v>
      </c>
      <c r="T1005" s="8">
        <v>14</v>
      </c>
      <c r="U1005" s="8">
        <v>1</v>
      </c>
      <c r="V1005" s="8">
        <f t="shared" si="18"/>
        <v>14</v>
      </c>
      <c r="W1005" s="12">
        <f t="shared" si="19"/>
        <v>2246.7199999999998</v>
      </c>
      <c r="Y1005">
        <v>1</v>
      </c>
    </row>
    <row r="1006" spans="1:25" ht="40" customHeight="1">
      <c r="A1006" s="5" t="s">
        <v>4992</v>
      </c>
      <c r="B1006" s="6" t="s">
        <v>4993</v>
      </c>
      <c r="C1006" s="6">
        <v>237818</v>
      </c>
      <c r="D1006" s="6" t="s">
        <v>40</v>
      </c>
      <c r="E1006" s="6" t="s">
        <v>4994</v>
      </c>
      <c r="F1006" s="6"/>
      <c r="G1006" s="6" t="s">
        <v>4988</v>
      </c>
      <c r="H1006" s="6" t="s">
        <v>4989</v>
      </c>
      <c r="I1006" s="6" t="s">
        <v>417</v>
      </c>
      <c r="J1006" s="6" t="s">
        <v>4990</v>
      </c>
      <c r="K1006" s="6" t="s">
        <v>4995</v>
      </c>
      <c r="L1006" s="6" t="s">
        <v>54</v>
      </c>
      <c r="M1006" s="6" t="s">
        <v>54</v>
      </c>
      <c r="N1006" s="6" t="s">
        <v>3541</v>
      </c>
      <c r="O1006" s="6" t="s">
        <v>4991</v>
      </c>
      <c r="P1006" s="6"/>
      <c r="Q1006" s="8">
        <v>160</v>
      </c>
      <c r="R1006" s="8">
        <v>160.47999999999999</v>
      </c>
      <c r="S1006" s="8">
        <v>319.89999999999998</v>
      </c>
      <c r="T1006" s="8">
        <v>14</v>
      </c>
      <c r="U1006" s="8">
        <v>1</v>
      </c>
      <c r="V1006" s="8">
        <f t="shared" si="18"/>
        <v>14</v>
      </c>
      <c r="W1006" s="12">
        <f t="shared" si="19"/>
        <v>2246.7199999999998</v>
      </c>
      <c r="Y1006">
        <v>1</v>
      </c>
    </row>
    <row r="1007" spans="1:25" ht="40" customHeight="1">
      <c r="A1007" s="5" t="s">
        <v>4996</v>
      </c>
      <c r="B1007" s="6" t="s">
        <v>4997</v>
      </c>
      <c r="C1007" s="6">
        <v>237818</v>
      </c>
      <c r="D1007" s="6" t="s">
        <v>45</v>
      </c>
      <c r="E1007" s="6" t="s">
        <v>4998</v>
      </c>
      <c r="F1007" s="6"/>
      <c r="G1007" s="6" t="s">
        <v>4988</v>
      </c>
      <c r="H1007" s="6" t="s">
        <v>4989</v>
      </c>
      <c r="I1007" s="6" t="s">
        <v>417</v>
      </c>
      <c r="J1007" s="6" t="s">
        <v>4990</v>
      </c>
      <c r="K1007" s="6" t="s">
        <v>4999</v>
      </c>
      <c r="L1007" s="6" t="s">
        <v>54</v>
      </c>
      <c r="M1007" s="6" t="s">
        <v>54</v>
      </c>
      <c r="N1007" s="6" t="s">
        <v>3541</v>
      </c>
      <c r="O1007" s="6" t="s">
        <v>4991</v>
      </c>
      <c r="P1007" s="6"/>
      <c r="Q1007" s="8">
        <v>160</v>
      </c>
      <c r="R1007" s="8">
        <v>160.47999999999999</v>
      </c>
      <c r="S1007" s="8">
        <v>319.89999999999998</v>
      </c>
      <c r="T1007" s="8">
        <v>14</v>
      </c>
      <c r="U1007" s="8">
        <v>1</v>
      </c>
      <c r="V1007" s="8">
        <f t="shared" si="18"/>
        <v>14</v>
      </c>
      <c r="W1007" s="12">
        <f t="shared" si="19"/>
        <v>2246.7199999999998</v>
      </c>
      <c r="Y1007">
        <v>1</v>
      </c>
    </row>
    <row r="1008" spans="1:25" ht="40" customHeight="1">
      <c r="A1008" s="5" t="s">
        <v>5000</v>
      </c>
      <c r="B1008" s="6" t="s">
        <v>5001</v>
      </c>
      <c r="C1008" s="6">
        <v>237820</v>
      </c>
      <c r="D1008" s="6" t="s">
        <v>27</v>
      </c>
      <c r="E1008" s="6" t="s">
        <v>5002</v>
      </c>
      <c r="F1008" s="6"/>
      <c r="G1008" s="6" t="s">
        <v>5003</v>
      </c>
      <c r="H1008" s="6" t="s">
        <v>215</v>
      </c>
      <c r="I1008" s="6" t="s">
        <v>417</v>
      </c>
      <c r="J1008" s="6" t="s">
        <v>5004</v>
      </c>
      <c r="K1008" s="6" t="s">
        <v>4555</v>
      </c>
      <c r="L1008" s="6" t="s">
        <v>54</v>
      </c>
      <c r="M1008" s="6" t="s">
        <v>54</v>
      </c>
      <c r="N1008" s="6" t="s">
        <v>3541</v>
      </c>
      <c r="O1008" s="6" t="s">
        <v>5005</v>
      </c>
      <c r="P1008" s="6"/>
      <c r="Q1008" s="8">
        <v>175</v>
      </c>
      <c r="R1008" s="8">
        <v>175.52500000000001</v>
      </c>
      <c r="S1008" s="8">
        <v>349.9</v>
      </c>
      <c r="T1008" s="8">
        <v>14</v>
      </c>
      <c r="U1008" s="8">
        <v>2</v>
      </c>
      <c r="V1008" s="8">
        <f t="shared" si="18"/>
        <v>28</v>
      </c>
      <c r="W1008" s="12">
        <f t="shared" si="19"/>
        <v>4914.7</v>
      </c>
      <c r="Y1008">
        <v>2</v>
      </c>
    </row>
    <row r="1009" spans="1:25" ht="40" customHeight="1">
      <c r="A1009" s="5" t="s">
        <v>5006</v>
      </c>
      <c r="B1009" s="6" t="s">
        <v>5007</v>
      </c>
      <c r="C1009" s="6">
        <v>237820</v>
      </c>
      <c r="D1009" s="6" t="s">
        <v>45</v>
      </c>
      <c r="E1009" s="6" t="s">
        <v>5008</v>
      </c>
      <c r="F1009" s="6"/>
      <c r="G1009" s="6" t="s">
        <v>5003</v>
      </c>
      <c r="H1009" s="6" t="s">
        <v>215</v>
      </c>
      <c r="I1009" s="6" t="s">
        <v>417</v>
      </c>
      <c r="J1009" s="6" t="s">
        <v>5004</v>
      </c>
      <c r="K1009" s="6" t="s">
        <v>2346</v>
      </c>
      <c r="L1009" s="6" t="s">
        <v>54</v>
      </c>
      <c r="M1009" s="6" t="s">
        <v>54</v>
      </c>
      <c r="N1009" s="6" t="s">
        <v>3541</v>
      </c>
      <c r="O1009" s="6" t="s">
        <v>5005</v>
      </c>
      <c r="P1009" s="6"/>
      <c r="Q1009" s="8">
        <v>175</v>
      </c>
      <c r="R1009" s="8">
        <v>175.52500000000001</v>
      </c>
      <c r="S1009" s="8">
        <v>349.9</v>
      </c>
      <c r="T1009" s="8">
        <v>14</v>
      </c>
      <c r="U1009" s="8">
        <v>2</v>
      </c>
      <c r="V1009" s="8">
        <f t="shared" si="18"/>
        <v>28</v>
      </c>
      <c r="W1009" s="12">
        <f t="shared" si="19"/>
        <v>4914.7</v>
      </c>
      <c r="Y1009">
        <v>2</v>
      </c>
    </row>
    <row r="1010" spans="1:25" ht="40" customHeight="1">
      <c r="A1010" s="5" t="s">
        <v>5009</v>
      </c>
      <c r="B1010" s="6" t="s">
        <v>5010</v>
      </c>
      <c r="C1010" s="6">
        <v>237821</v>
      </c>
      <c r="D1010" s="6" t="s">
        <v>27</v>
      </c>
      <c r="E1010" s="6" t="s">
        <v>5011</v>
      </c>
      <c r="F1010" s="6"/>
      <c r="G1010" s="6" t="s">
        <v>5003</v>
      </c>
      <c r="H1010" s="6" t="s">
        <v>5012</v>
      </c>
      <c r="I1010" s="6" t="s">
        <v>417</v>
      </c>
      <c r="J1010" s="6" t="s">
        <v>5013</v>
      </c>
      <c r="K1010" s="6" t="s">
        <v>4931</v>
      </c>
      <c r="L1010" s="6" t="s">
        <v>5014</v>
      </c>
      <c r="M1010" s="6" t="s">
        <v>5015</v>
      </c>
      <c r="N1010" s="6" t="s">
        <v>3541</v>
      </c>
      <c r="O1010" s="6" t="s">
        <v>5016</v>
      </c>
      <c r="P1010" s="6"/>
      <c r="Q1010" s="8">
        <v>225</v>
      </c>
      <c r="R1010" s="8">
        <v>225.67500000000001</v>
      </c>
      <c r="S1010" s="8">
        <v>449.9</v>
      </c>
      <c r="T1010" s="8">
        <v>14</v>
      </c>
      <c r="U1010" s="8">
        <v>1</v>
      </c>
      <c r="V1010" s="8">
        <f t="shared" si="18"/>
        <v>14</v>
      </c>
      <c r="W1010" s="12">
        <f t="shared" si="19"/>
        <v>3159.45</v>
      </c>
      <c r="Y1010">
        <v>1</v>
      </c>
    </row>
    <row r="1011" spans="1:25" ht="40" customHeight="1">
      <c r="A1011" s="5" t="s">
        <v>5017</v>
      </c>
      <c r="B1011" s="6" t="s">
        <v>5018</v>
      </c>
      <c r="C1011" s="6">
        <v>237821</v>
      </c>
      <c r="D1011" s="6" t="s">
        <v>40</v>
      </c>
      <c r="E1011" s="6" t="s">
        <v>5019</v>
      </c>
      <c r="F1011" s="6"/>
      <c r="G1011" s="6" t="s">
        <v>5003</v>
      </c>
      <c r="H1011" s="6" t="s">
        <v>5012</v>
      </c>
      <c r="I1011" s="6" t="s">
        <v>417</v>
      </c>
      <c r="J1011" s="6" t="s">
        <v>5013</v>
      </c>
      <c r="K1011" s="6" t="s">
        <v>4995</v>
      </c>
      <c r="L1011" s="6" t="s">
        <v>5014</v>
      </c>
      <c r="M1011" s="6" t="s">
        <v>5015</v>
      </c>
      <c r="N1011" s="6" t="s">
        <v>3541</v>
      </c>
      <c r="O1011" s="6" t="s">
        <v>5016</v>
      </c>
      <c r="P1011" s="6"/>
      <c r="Q1011" s="8">
        <v>225</v>
      </c>
      <c r="R1011" s="8">
        <v>225.67500000000001</v>
      </c>
      <c r="S1011" s="8">
        <v>449.9</v>
      </c>
      <c r="T1011" s="8">
        <v>14</v>
      </c>
      <c r="U1011" s="8">
        <v>1</v>
      </c>
      <c r="V1011" s="8">
        <f t="shared" si="18"/>
        <v>14</v>
      </c>
      <c r="W1011" s="12">
        <f t="shared" si="19"/>
        <v>3159.45</v>
      </c>
      <c r="Y1011">
        <v>1</v>
      </c>
    </row>
    <row r="1012" spans="1:25" ht="40" customHeight="1">
      <c r="A1012" s="5" t="s">
        <v>5020</v>
      </c>
      <c r="B1012" s="6" t="s">
        <v>5021</v>
      </c>
      <c r="C1012" s="6">
        <v>246220</v>
      </c>
      <c r="D1012" s="6" t="s">
        <v>147</v>
      </c>
      <c r="E1012" s="6" t="s">
        <v>5022</v>
      </c>
      <c r="F1012" s="6"/>
      <c r="G1012" s="6" t="s">
        <v>2158</v>
      </c>
      <c r="H1012" s="6" t="s">
        <v>215</v>
      </c>
      <c r="I1012" s="6" t="s">
        <v>417</v>
      </c>
      <c r="J1012" s="6" t="s">
        <v>2159</v>
      </c>
      <c r="K1012" s="6" t="s">
        <v>5023</v>
      </c>
      <c r="L1012" s="6" t="s">
        <v>2161</v>
      </c>
      <c r="M1012" s="6" t="s">
        <v>5024</v>
      </c>
      <c r="N1012" s="6" t="s">
        <v>5025</v>
      </c>
      <c r="O1012" s="6" t="s">
        <v>2164</v>
      </c>
      <c r="P1012" s="6"/>
      <c r="Q1012" s="8">
        <v>225</v>
      </c>
      <c r="R1012" s="8">
        <v>225.67500000000001</v>
      </c>
      <c r="S1012" s="8">
        <v>449.9</v>
      </c>
      <c r="T1012" s="8">
        <v>14</v>
      </c>
      <c r="U1012" s="8"/>
      <c r="V1012" s="8">
        <f t="shared" si="18"/>
        <v>0</v>
      </c>
      <c r="W1012" s="12">
        <f t="shared" si="19"/>
        <v>0</v>
      </c>
      <c r="Y1012">
        <v>0</v>
      </c>
    </row>
    <row r="1013" spans="1:25" ht="40" customHeight="1">
      <c r="A1013" s="5" t="s">
        <v>5026</v>
      </c>
      <c r="B1013" s="6" t="s">
        <v>5027</v>
      </c>
      <c r="C1013" s="6">
        <v>246220</v>
      </c>
      <c r="D1013" s="6" t="s">
        <v>89</v>
      </c>
      <c r="E1013" s="6" t="s">
        <v>5028</v>
      </c>
      <c r="F1013" s="6"/>
      <c r="G1013" s="6" t="s">
        <v>2158</v>
      </c>
      <c r="H1013" s="6" t="s">
        <v>215</v>
      </c>
      <c r="I1013" s="6" t="s">
        <v>417</v>
      </c>
      <c r="J1013" s="6" t="s">
        <v>2159</v>
      </c>
      <c r="K1013" s="6" t="s">
        <v>5029</v>
      </c>
      <c r="L1013" s="6" t="s">
        <v>2161</v>
      </c>
      <c r="M1013" s="6" t="s">
        <v>5024</v>
      </c>
      <c r="N1013" s="6" t="s">
        <v>5025</v>
      </c>
      <c r="O1013" s="6" t="s">
        <v>2164</v>
      </c>
      <c r="P1013" s="6"/>
      <c r="Q1013" s="8">
        <v>225</v>
      </c>
      <c r="R1013" s="8">
        <v>225.67500000000001</v>
      </c>
      <c r="S1013" s="8">
        <v>449.9</v>
      </c>
      <c r="T1013" s="8">
        <v>14</v>
      </c>
      <c r="U1013" s="8"/>
      <c r="V1013" s="8">
        <f t="shared" si="18"/>
        <v>0</v>
      </c>
      <c r="W1013" s="12">
        <f t="shared" si="19"/>
        <v>0</v>
      </c>
      <c r="Y1013">
        <v>0</v>
      </c>
    </row>
    <row r="1014" spans="1:25" ht="40" customHeight="1">
      <c r="A1014" s="5" t="s">
        <v>5030</v>
      </c>
      <c r="B1014" s="6" t="s">
        <v>5031</v>
      </c>
      <c r="C1014" s="6">
        <v>246220</v>
      </c>
      <c r="D1014" s="6" t="s">
        <v>5032</v>
      </c>
      <c r="E1014" s="6" t="s">
        <v>5033</v>
      </c>
      <c r="F1014" s="6"/>
      <c r="G1014" s="6" t="s">
        <v>2158</v>
      </c>
      <c r="H1014" s="6" t="s">
        <v>215</v>
      </c>
      <c r="I1014" s="6" t="s">
        <v>417</v>
      </c>
      <c r="J1014" s="6" t="s">
        <v>2159</v>
      </c>
      <c r="K1014" s="6" t="s">
        <v>5034</v>
      </c>
      <c r="L1014" s="6" t="s">
        <v>2161</v>
      </c>
      <c r="M1014" s="6" t="s">
        <v>5024</v>
      </c>
      <c r="N1014" s="6" t="s">
        <v>5025</v>
      </c>
      <c r="O1014" s="6" t="s">
        <v>2164</v>
      </c>
      <c r="P1014" s="6"/>
      <c r="Q1014" s="8">
        <v>225</v>
      </c>
      <c r="R1014" s="8">
        <v>225.67500000000001</v>
      </c>
      <c r="S1014" s="8">
        <v>449.9</v>
      </c>
      <c r="T1014" s="8">
        <v>14</v>
      </c>
      <c r="U1014" s="8"/>
      <c r="V1014" s="8">
        <f t="shared" si="18"/>
        <v>0</v>
      </c>
      <c r="W1014" s="12">
        <f t="shared" si="19"/>
        <v>0</v>
      </c>
      <c r="Y1014">
        <v>0</v>
      </c>
    </row>
    <row r="1015" spans="1:25" ht="40" customHeight="1">
      <c r="A1015" s="5" t="s">
        <v>5035</v>
      </c>
      <c r="B1015" s="6" t="s">
        <v>5036</v>
      </c>
      <c r="C1015" s="6">
        <v>246220</v>
      </c>
      <c r="D1015" s="6" t="s">
        <v>5037</v>
      </c>
      <c r="E1015" s="6" t="s">
        <v>5038</v>
      </c>
      <c r="F1015" s="6"/>
      <c r="G1015" s="6" t="s">
        <v>2158</v>
      </c>
      <c r="H1015" s="6" t="s">
        <v>215</v>
      </c>
      <c r="I1015" s="6" t="s">
        <v>417</v>
      </c>
      <c r="J1015" s="6" t="s">
        <v>2159</v>
      </c>
      <c r="K1015" s="6" t="s">
        <v>5039</v>
      </c>
      <c r="L1015" s="6" t="s">
        <v>2161</v>
      </c>
      <c r="M1015" s="6" t="s">
        <v>5024</v>
      </c>
      <c r="N1015" s="6" t="s">
        <v>5025</v>
      </c>
      <c r="O1015" s="6" t="s">
        <v>2164</v>
      </c>
      <c r="P1015" s="6"/>
      <c r="Q1015" s="8">
        <v>225</v>
      </c>
      <c r="R1015" s="8">
        <v>225.67500000000001</v>
      </c>
      <c r="S1015" s="8">
        <v>449.9</v>
      </c>
      <c r="T1015" s="8">
        <v>14</v>
      </c>
      <c r="U1015" s="8"/>
      <c r="V1015" s="8">
        <f t="shared" si="18"/>
        <v>0</v>
      </c>
      <c r="W1015" s="12">
        <f t="shared" si="19"/>
        <v>0</v>
      </c>
      <c r="Y1015">
        <v>0</v>
      </c>
    </row>
    <row r="1016" spans="1:25" ht="40" customHeight="1">
      <c r="A1016" s="5" t="s">
        <v>5040</v>
      </c>
      <c r="B1016" s="6" t="s">
        <v>5041</v>
      </c>
      <c r="C1016" s="6">
        <v>254026</v>
      </c>
      <c r="D1016" s="6" t="s">
        <v>4017</v>
      </c>
      <c r="E1016" s="6" t="s">
        <v>5042</v>
      </c>
      <c r="F1016" s="6"/>
      <c r="G1016" s="6" t="s">
        <v>2549</v>
      </c>
      <c r="H1016" s="6" t="s">
        <v>5043</v>
      </c>
      <c r="I1016" s="6" t="s">
        <v>417</v>
      </c>
      <c r="J1016" s="6" t="s">
        <v>5044</v>
      </c>
      <c r="K1016" s="6" t="s">
        <v>5045</v>
      </c>
      <c r="L1016" s="6" t="s">
        <v>1569</v>
      </c>
      <c r="M1016" s="6" t="s">
        <v>5046</v>
      </c>
      <c r="N1016" s="6" t="s">
        <v>5047</v>
      </c>
      <c r="O1016" s="6" t="s">
        <v>1571</v>
      </c>
      <c r="P1016" s="6"/>
      <c r="Q1016" s="8">
        <v>175</v>
      </c>
      <c r="R1016" s="8">
        <v>175.52500000000001</v>
      </c>
      <c r="S1016" s="8">
        <v>349.9</v>
      </c>
      <c r="T1016" s="8">
        <v>14</v>
      </c>
      <c r="U1016" s="8"/>
      <c r="V1016" s="8">
        <f t="shared" si="18"/>
        <v>0</v>
      </c>
      <c r="W1016" s="12">
        <f t="shared" si="19"/>
        <v>0</v>
      </c>
      <c r="Y1016">
        <v>0</v>
      </c>
    </row>
    <row r="1017" spans="1:25" ht="40" customHeight="1">
      <c r="A1017" s="6" t="s">
        <v>5048</v>
      </c>
      <c r="B1017" s="6" t="s">
        <v>5049</v>
      </c>
      <c r="C1017" s="6">
        <v>254026</v>
      </c>
      <c r="D1017" s="6" t="s">
        <v>94</v>
      </c>
      <c r="E1017" s="6" t="s">
        <v>5050</v>
      </c>
      <c r="F1017" s="6"/>
      <c r="G1017" s="6" t="s">
        <v>2549</v>
      </c>
      <c r="H1017" s="6" t="s">
        <v>5043</v>
      </c>
      <c r="I1017" s="6" t="s">
        <v>417</v>
      </c>
      <c r="J1017" s="6" t="s">
        <v>5044</v>
      </c>
      <c r="K1017" s="6" t="s">
        <v>5051</v>
      </c>
      <c r="L1017" s="6" t="s">
        <v>1569</v>
      </c>
      <c r="M1017" s="6" t="s">
        <v>5046</v>
      </c>
      <c r="N1017" s="6" t="s">
        <v>5047</v>
      </c>
      <c r="O1017" s="6" t="s">
        <v>1571</v>
      </c>
      <c r="P1017" s="6"/>
      <c r="Q1017" s="8">
        <v>175</v>
      </c>
      <c r="R1017" s="8">
        <v>175.52500000000001</v>
      </c>
      <c r="S1017" s="8">
        <v>349.9</v>
      </c>
      <c r="T1017" s="8">
        <v>14</v>
      </c>
      <c r="U1017" s="8"/>
      <c r="V1017" s="8">
        <f t="shared" si="18"/>
        <v>0</v>
      </c>
      <c r="W1017" s="12">
        <f t="shared" si="19"/>
        <v>0</v>
      </c>
      <c r="Y1017">
        <v>0</v>
      </c>
    </row>
    <row r="1018" spans="1:25" ht="40" customHeight="1">
      <c r="A1018" s="5" t="s">
        <v>5052</v>
      </c>
      <c r="B1018" s="6" t="s">
        <v>5053</v>
      </c>
      <c r="C1018" s="6">
        <v>254026</v>
      </c>
      <c r="D1018" s="6" t="s">
        <v>126</v>
      </c>
      <c r="E1018" s="6" t="s">
        <v>5054</v>
      </c>
      <c r="F1018" s="6"/>
      <c r="G1018" s="6" t="s">
        <v>2549</v>
      </c>
      <c r="H1018" s="6" t="s">
        <v>5043</v>
      </c>
      <c r="I1018" s="6" t="s">
        <v>417</v>
      </c>
      <c r="J1018" s="6" t="s">
        <v>5044</v>
      </c>
      <c r="K1018" s="6" t="s">
        <v>972</v>
      </c>
      <c r="L1018" s="6" t="s">
        <v>1569</v>
      </c>
      <c r="M1018" s="6" t="s">
        <v>5046</v>
      </c>
      <c r="N1018" s="6" t="s">
        <v>5047</v>
      </c>
      <c r="O1018" s="6" t="s">
        <v>1571</v>
      </c>
      <c r="P1018" s="6"/>
      <c r="Q1018" s="8">
        <v>175</v>
      </c>
      <c r="R1018" s="8">
        <v>175.52500000000001</v>
      </c>
      <c r="S1018" s="8">
        <v>349.9</v>
      </c>
      <c r="T1018" s="8">
        <v>14</v>
      </c>
      <c r="U1018" s="8"/>
      <c r="V1018" s="8">
        <f t="shared" si="18"/>
        <v>0</v>
      </c>
      <c r="W1018" s="12">
        <f t="shared" si="19"/>
        <v>0</v>
      </c>
      <c r="Y1018">
        <v>0</v>
      </c>
    </row>
    <row r="1019" spans="1:25" ht="40" customHeight="1">
      <c r="A1019" s="5" t="s">
        <v>5055</v>
      </c>
      <c r="B1019" s="6" t="s">
        <v>5056</v>
      </c>
      <c r="C1019" s="6">
        <v>254150</v>
      </c>
      <c r="D1019" s="6" t="s">
        <v>64</v>
      </c>
      <c r="E1019" s="6" t="s">
        <v>5057</v>
      </c>
      <c r="F1019" s="6"/>
      <c r="G1019" s="6" t="s">
        <v>2564</v>
      </c>
      <c r="H1019" s="6" t="s">
        <v>5058</v>
      </c>
      <c r="I1019" s="6" t="s">
        <v>417</v>
      </c>
      <c r="J1019" s="6" t="s">
        <v>5059</v>
      </c>
      <c r="K1019" s="6" t="s">
        <v>5060</v>
      </c>
      <c r="L1019" s="6" t="s">
        <v>1569</v>
      </c>
      <c r="M1019" s="6" t="s">
        <v>5061</v>
      </c>
      <c r="N1019" s="6" t="s">
        <v>5047</v>
      </c>
      <c r="O1019" s="6" t="s">
        <v>1571</v>
      </c>
      <c r="P1019" s="6"/>
      <c r="Q1019" s="8">
        <v>150</v>
      </c>
      <c r="R1019" s="8">
        <v>150.44999999999999</v>
      </c>
      <c r="S1019" s="8">
        <v>299.89999999999998</v>
      </c>
      <c r="T1019" s="8">
        <v>14</v>
      </c>
      <c r="U1019" s="8"/>
      <c r="V1019" s="8">
        <f t="shared" si="18"/>
        <v>0</v>
      </c>
      <c r="W1019" s="12">
        <f t="shared" si="19"/>
        <v>0</v>
      </c>
      <c r="Y1019">
        <v>0</v>
      </c>
    </row>
    <row r="1020" spans="1:25" ht="40" customHeight="1">
      <c r="A1020" s="6" t="s">
        <v>5062</v>
      </c>
      <c r="B1020" s="6" t="s">
        <v>5063</v>
      </c>
      <c r="C1020" s="6">
        <v>254150</v>
      </c>
      <c r="D1020" s="6" t="s">
        <v>94</v>
      </c>
      <c r="E1020" s="6" t="s">
        <v>5064</v>
      </c>
      <c r="F1020" s="6"/>
      <c r="G1020" s="6" t="s">
        <v>2564</v>
      </c>
      <c r="H1020" s="6" t="s">
        <v>5058</v>
      </c>
      <c r="I1020" s="6" t="s">
        <v>417</v>
      </c>
      <c r="J1020" s="6" t="s">
        <v>5059</v>
      </c>
      <c r="K1020" s="6" t="s">
        <v>5065</v>
      </c>
      <c r="L1020" s="6" t="s">
        <v>1569</v>
      </c>
      <c r="M1020" s="6" t="s">
        <v>5061</v>
      </c>
      <c r="N1020" s="6" t="s">
        <v>5047</v>
      </c>
      <c r="O1020" s="6" t="s">
        <v>1571</v>
      </c>
      <c r="P1020" s="6"/>
      <c r="Q1020" s="8">
        <v>150</v>
      </c>
      <c r="R1020" s="8">
        <v>150.44999999999999</v>
      </c>
      <c r="S1020" s="8">
        <v>299.89999999999998</v>
      </c>
      <c r="T1020" s="8">
        <v>14</v>
      </c>
      <c r="U1020" s="8"/>
      <c r="V1020" s="8">
        <f t="shared" si="18"/>
        <v>0</v>
      </c>
      <c r="W1020" s="12">
        <f t="shared" si="19"/>
        <v>0</v>
      </c>
      <c r="Y1020">
        <v>0</v>
      </c>
    </row>
    <row r="1021" spans="1:25" ht="40" customHeight="1">
      <c r="A1021" s="6" t="s">
        <v>5066</v>
      </c>
      <c r="B1021" s="6" t="s">
        <v>5067</v>
      </c>
      <c r="C1021" s="6">
        <v>254150</v>
      </c>
      <c r="D1021" s="6" t="s">
        <v>4814</v>
      </c>
      <c r="E1021" s="6" t="s">
        <v>5068</v>
      </c>
      <c r="F1021" s="6"/>
      <c r="G1021" s="6" t="s">
        <v>2564</v>
      </c>
      <c r="H1021" s="6" t="s">
        <v>5058</v>
      </c>
      <c r="I1021" s="6" t="s">
        <v>417</v>
      </c>
      <c r="J1021" s="6" t="s">
        <v>5059</v>
      </c>
      <c r="K1021" s="6" t="s">
        <v>5069</v>
      </c>
      <c r="L1021" s="6" t="s">
        <v>1569</v>
      </c>
      <c r="M1021" s="6" t="s">
        <v>5061</v>
      </c>
      <c r="N1021" s="6" t="s">
        <v>5047</v>
      </c>
      <c r="O1021" s="6" t="s">
        <v>1571</v>
      </c>
      <c r="P1021" s="6"/>
      <c r="Q1021" s="8">
        <v>150</v>
      </c>
      <c r="R1021" s="8">
        <v>150.44999999999999</v>
      </c>
      <c r="S1021" s="8">
        <v>299.89999999999998</v>
      </c>
      <c r="T1021" s="8">
        <v>14</v>
      </c>
      <c r="U1021" s="8"/>
      <c r="V1021" s="8">
        <f t="shared" si="18"/>
        <v>0</v>
      </c>
      <c r="W1021" s="12">
        <f t="shared" si="19"/>
        <v>0</v>
      </c>
      <c r="Y1021">
        <v>0</v>
      </c>
    </row>
    <row r="1022" spans="1:25" ht="40" customHeight="1">
      <c r="A1022" s="5" t="s">
        <v>5070</v>
      </c>
      <c r="B1022" s="6" t="s">
        <v>5071</v>
      </c>
      <c r="C1022" s="6">
        <v>254172</v>
      </c>
      <c r="D1022" s="6" t="s">
        <v>2637</v>
      </c>
      <c r="E1022" s="6" t="s">
        <v>5072</v>
      </c>
      <c r="F1022" s="6"/>
      <c r="G1022" s="6" t="s">
        <v>5073</v>
      </c>
      <c r="H1022" s="6" t="s">
        <v>215</v>
      </c>
      <c r="I1022" s="6" t="s">
        <v>417</v>
      </c>
      <c r="J1022" s="6" t="s">
        <v>5074</v>
      </c>
      <c r="K1022" s="6" t="s">
        <v>5075</v>
      </c>
      <c r="L1022" s="6" t="s">
        <v>1569</v>
      </c>
      <c r="M1022" s="6" t="s">
        <v>5076</v>
      </c>
      <c r="N1022" s="6" t="s">
        <v>5047</v>
      </c>
      <c r="O1022" s="6" t="s">
        <v>1571</v>
      </c>
      <c r="P1022" s="6"/>
      <c r="Q1022" s="8">
        <v>215</v>
      </c>
      <c r="R1022" s="8">
        <v>215.64500000000001</v>
      </c>
      <c r="S1022" s="8">
        <v>429.9</v>
      </c>
      <c r="T1022" s="8">
        <v>14</v>
      </c>
      <c r="U1022" s="8"/>
      <c r="V1022" s="8">
        <f t="shared" si="18"/>
        <v>0</v>
      </c>
      <c r="W1022" s="12">
        <f t="shared" si="19"/>
        <v>0</v>
      </c>
      <c r="Y1022">
        <v>0</v>
      </c>
    </row>
    <row r="1023" spans="1:25" ht="40" customHeight="1">
      <c r="A1023" s="5" t="s">
        <v>5077</v>
      </c>
      <c r="B1023" s="6" t="s">
        <v>5078</v>
      </c>
      <c r="C1023" s="6">
        <v>254172</v>
      </c>
      <c r="D1023" s="6" t="s">
        <v>2703</v>
      </c>
      <c r="E1023" s="6" t="s">
        <v>5079</v>
      </c>
      <c r="F1023" s="6"/>
      <c r="G1023" s="6" t="s">
        <v>5073</v>
      </c>
      <c r="H1023" s="6" t="s">
        <v>215</v>
      </c>
      <c r="I1023" s="6" t="s">
        <v>417</v>
      </c>
      <c r="J1023" s="6" t="s">
        <v>5074</v>
      </c>
      <c r="K1023" s="6" t="s">
        <v>5080</v>
      </c>
      <c r="L1023" s="6" t="s">
        <v>1569</v>
      </c>
      <c r="M1023" s="6" t="s">
        <v>5076</v>
      </c>
      <c r="N1023" s="6" t="s">
        <v>5047</v>
      </c>
      <c r="O1023" s="6" t="s">
        <v>1571</v>
      </c>
      <c r="P1023" s="6"/>
      <c r="Q1023" s="8">
        <v>215</v>
      </c>
      <c r="R1023" s="8">
        <v>215.64500000000001</v>
      </c>
      <c r="S1023" s="8">
        <v>429.9</v>
      </c>
      <c r="T1023" s="8">
        <v>14</v>
      </c>
      <c r="U1023" s="8"/>
      <c r="V1023" s="8">
        <f t="shared" si="18"/>
        <v>0</v>
      </c>
      <c r="W1023" s="12">
        <f t="shared" si="19"/>
        <v>0</v>
      </c>
      <c r="Y1023">
        <v>0</v>
      </c>
    </row>
    <row r="1024" spans="1:25" ht="40" customHeight="1">
      <c r="A1024" s="5" t="s">
        <v>5081</v>
      </c>
      <c r="B1024" s="6" t="s">
        <v>5082</v>
      </c>
      <c r="C1024" s="6">
        <v>254172</v>
      </c>
      <c r="D1024" s="6" t="s">
        <v>333</v>
      </c>
      <c r="E1024" s="6" t="s">
        <v>5083</v>
      </c>
      <c r="F1024" s="6"/>
      <c r="G1024" s="6" t="s">
        <v>5073</v>
      </c>
      <c r="H1024" s="6" t="s">
        <v>215</v>
      </c>
      <c r="I1024" s="6" t="s">
        <v>417</v>
      </c>
      <c r="J1024" s="6" t="s">
        <v>5074</v>
      </c>
      <c r="K1024" s="6" t="s">
        <v>5084</v>
      </c>
      <c r="L1024" s="6" t="s">
        <v>1569</v>
      </c>
      <c r="M1024" s="6" t="s">
        <v>5076</v>
      </c>
      <c r="N1024" s="6" t="s">
        <v>5047</v>
      </c>
      <c r="O1024" s="6" t="s">
        <v>1571</v>
      </c>
      <c r="P1024" s="6"/>
      <c r="Q1024" s="8">
        <v>215</v>
      </c>
      <c r="R1024" s="8">
        <v>215.64500000000001</v>
      </c>
      <c r="S1024" s="8">
        <v>429.9</v>
      </c>
      <c r="T1024" s="8">
        <v>14</v>
      </c>
      <c r="U1024" s="8"/>
      <c r="V1024" s="8">
        <f t="shared" si="18"/>
        <v>0</v>
      </c>
      <c r="W1024" s="12">
        <f t="shared" si="19"/>
        <v>0</v>
      </c>
      <c r="Y1024">
        <v>0</v>
      </c>
    </row>
    <row r="1025" spans="1:25" ht="40" customHeight="1">
      <c r="A1025" s="5" t="s">
        <v>5085</v>
      </c>
      <c r="B1025" s="6" t="s">
        <v>5086</v>
      </c>
      <c r="C1025" s="6">
        <v>254172</v>
      </c>
      <c r="D1025" s="6" t="s">
        <v>5087</v>
      </c>
      <c r="E1025" s="6" t="s">
        <v>5088</v>
      </c>
      <c r="F1025" s="6"/>
      <c r="G1025" s="6" t="s">
        <v>5073</v>
      </c>
      <c r="H1025" s="6" t="s">
        <v>215</v>
      </c>
      <c r="I1025" s="6" t="s">
        <v>417</v>
      </c>
      <c r="J1025" s="6" t="s">
        <v>5074</v>
      </c>
      <c r="K1025" s="6" t="s">
        <v>5089</v>
      </c>
      <c r="L1025" s="6" t="s">
        <v>1569</v>
      </c>
      <c r="M1025" s="6" t="s">
        <v>5076</v>
      </c>
      <c r="N1025" s="6" t="s">
        <v>5047</v>
      </c>
      <c r="O1025" s="6" t="s">
        <v>1571</v>
      </c>
      <c r="P1025" s="6"/>
      <c r="Q1025" s="8">
        <v>215</v>
      </c>
      <c r="R1025" s="8">
        <v>215.64500000000001</v>
      </c>
      <c r="S1025" s="8">
        <v>429.9</v>
      </c>
      <c r="T1025" s="8">
        <v>14</v>
      </c>
      <c r="U1025" s="8"/>
      <c r="V1025" s="8">
        <f t="shared" si="18"/>
        <v>0</v>
      </c>
      <c r="W1025" s="12">
        <f t="shared" si="19"/>
        <v>0</v>
      </c>
      <c r="Y1025">
        <v>0</v>
      </c>
    </row>
    <row r="1026" spans="1:25" ht="40" customHeight="1">
      <c r="A1026" s="5" t="s">
        <v>5090</v>
      </c>
      <c r="B1026" s="6" t="s">
        <v>5091</v>
      </c>
      <c r="C1026" s="6">
        <v>254179</v>
      </c>
      <c r="D1026" s="6" t="s">
        <v>27</v>
      </c>
      <c r="E1026" s="6" t="s">
        <v>5092</v>
      </c>
      <c r="F1026" s="6"/>
      <c r="G1026" s="6" t="s">
        <v>5073</v>
      </c>
      <c r="H1026" s="6" t="s">
        <v>5093</v>
      </c>
      <c r="I1026" s="6" t="s">
        <v>417</v>
      </c>
      <c r="J1026" s="6" t="s">
        <v>5094</v>
      </c>
      <c r="K1026" s="6" t="s">
        <v>5095</v>
      </c>
      <c r="L1026" s="6" t="s">
        <v>54</v>
      </c>
      <c r="M1026" s="6" t="s">
        <v>54</v>
      </c>
      <c r="N1026" s="6" t="s">
        <v>5047</v>
      </c>
      <c r="O1026" s="6" t="s">
        <v>1571</v>
      </c>
      <c r="P1026" s="6"/>
      <c r="Q1026" s="8">
        <v>215</v>
      </c>
      <c r="R1026" s="8">
        <v>215.64500000000001</v>
      </c>
      <c r="S1026" s="8">
        <v>429.9</v>
      </c>
      <c r="T1026" s="8">
        <v>14</v>
      </c>
      <c r="U1026" s="8"/>
      <c r="V1026" s="8">
        <f t="shared" si="18"/>
        <v>0</v>
      </c>
      <c r="W1026" s="12">
        <f t="shared" si="19"/>
        <v>0</v>
      </c>
      <c r="Y1026">
        <v>0</v>
      </c>
    </row>
    <row r="1027" spans="1:25" ht="40" customHeight="1">
      <c r="A1027" s="5" t="s">
        <v>5096</v>
      </c>
      <c r="B1027" s="6" t="s">
        <v>5097</v>
      </c>
      <c r="C1027" s="6">
        <v>254179</v>
      </c>
      <c r="D1027" s="6" t="s">
        <v>109</v>
      </c>
      <c r="E1027" s="6" t="s">
        <v>5098</v>
      </c>
      <c r="F1027" s="6"/>
      <c r="G1027" s="6" t="s">
        <v>5073</v>
      </c>
      <c r="H1027" s="6" t="s">
        <v>5093</v>
      </c>
      <c r="I1027" s="6" t="s">
        <v>417</v>
      </c>
      <c r="J1027" s="6" t="s">
        <v>5094</v>
      </c>
      <c r="K1027" s="6" t="s">
        <v>5099</v>
      </c>
      <c r="L1027" s="6" t="s">
        <v>54</v>
      </c>
      <c r="M1027" s="6" t="s">
        <v>54</v>
      </c>
      <c r="N1027" s="6" t="s">
        <v>5047</v>
      </c>
      <c r="O1027" s="6" t="s">
        <v>1571</v>
      </c>
      <c r="P1027" s="6"/>
      <c r="Q1027" s="8">
        <v>215</v>
      </c>
      <c r="R1027" s="8">
        <v>215.64500000000001</v>
      </c>
      <c r="S1027" s="8">
        <v>429.9</v>
      </c>
      <c r="T1027" s="8">
        <v>14</v>
      </c>
      <c r="U1027" s="8">
        <v>1</v>
      </c>
      <c r="V1027" s="8">
        <f t="shared" si="18"/>
        <v>14</v>
      </c>
      <c r="W1027" s="12">
        <f t="shared" si="19"/>
        <v>3019.03</v>
      </c>
      <c r="Y1027">
        <v>1</v>
      </c>
    </row>
    <row r="1028" spans="1:25" ht="40" customHeight="1">
      <c r="A1028" s="5" t="s">
        <v>5100</v>
      </c>
      <c r="B1028" s="6" t="s">
        <v>5101</v>
      </c>
      <c r="C1028" s="6">
        <v>254226</v>
      </c>
      <c r="D1028" s="6" t="s">
        <v>64</v>
      </c>
      <c r="E1028" s="6" t="s">
        <v>5102</v>
      </c>
      <c r="F1028" s="6"/>
      <c r="G1028" s="6" t="s">
        <v>2728</v>
      </c>
      <c r="H1028" s="6" t="s">
        <v>215</v>
      </c>
      <c r="I1028" s="6" t="s">
        <v>417</v>
      </c>
      <c r="J1028" s="6" t="s">
        <v>5103</v>
      </c>
      <c r="K1028" s="6" t="s">
        <v>5104</v>
      </c>
      <c r="L1028" s="6" t="s">
        <v>5105</v>
      </c>
      <c r="M1028" s="6" t="s">
        <v>5106</v>
      </c>
      <c r="N1028" s="6" t="s">
        <v>5047</v>
      </c>
      <c r="O1028" s="6" t="s">
        <v>5107</v>
      </c>
      <c r="P1028" s="6"/>
      <c r="Q1028" s="8">
        <v>200</v>
      </c>
      <c r="R1028" s="8">
        <v>200.6</v>
      </c>
      <c r="S1028" s="8">
        <v>399.9</v>
      </c>
      <c r="T1028" s="8">
        <v>14</v>
      </c>
      <c r="U1028" s="8"/>
      <c r="V1028" s="8">
        <f t="shared" si="18"/>
        <v>0</v>
      </c>
      <c r="W1028" s="12">
        <f t="shared" si="19"/>
        <v>0</v>
      </c>
      <c r="Y1028">
        <v>0</v>
      </c>
    </row>
    <row r="1029" spans="1:25" ht="40" customHeight="1">
      <c r="A1029" s="5" t="s">
        <v>5108</v>
      </c>
      <c r="B1029" s="6" t="s">
        <v>5109</v>
      </c>
      <c r="C1029" s="6">
        <v>254226</v>
      </c>
      <c r="D1029" s="6" t="s">
        <v>2736</v>
      </c>
      <c r="E1029" s="6" t="s">
        <v>5110</v>
      </c>
      <c r="F1029" s="6"/>
      <c r="G1029" s="6" t="s">
        <v>2728</v>
      </c>
      <c r="H1029" s="6" t="s">
        <v>215</v>
      </c>
      <c r="I1029" s="6" t="s">
        <v>417</v>
      </c>
      <c r="J1029" s="6" t="s">
        <v>5103</v>
      </c>
      <c r="K1029" s="6" t="s">
        <v>5111</v>
      </c>
      <c r="L1029" s="6" t="s">
        <v>5105</v>
      </c>
      <c r="M1029" s="6" t="s">
        <v>5106</v>
      </c>
      <c r="N1029" s="6" t="s">
        <v>5047</v>
      </c>
      <c r="O1029" s="6" t="s">
        <v>5107</v>
      </c>
      <c r="P1029" s="6"/>
      <c r="Q1029" s="8">
        <v>200</v>
      </c>
      <c r="R1029" s="8">
        <v>200.6</v>
      </c>
      <c r="S1029" s="8">
        <v>399.9</v>
      </c>
      <c r="T1029" s="8">
        <v>14</v>
      </c>
      <c r="U1029" s="8"/>
      <c r="V1029" s="8">
        <f t="shared" si="18"/>
        <v>0</v>
      </c>
      <c r="W1029" s="12">
        <f t="shared" si="19"/>
        <v>0</v>
      </c>
      <c r="Y1029">
        <v>0</v>
      </c>
    </row>
    <row r="1030" spans="1:25" ht="40" customHeight="1">
      <c r="A1030" s="6" t="s">
        <v>5112</v>
      </c>
      <c r="B1030" s="6" t="s">
        <v>5113</v>
      </c>
      <c r="C1030" s="6">
        <v>254226</v>
      </c>
      <c r="D1030" s="6" t="s">
        <v>94</v>
      </c>
      <c r="E1030" s="6" t="s">
        <v>5114</v>
      </c>
      <c r="F1030" s="6"/>
      <c r="G1030" s="6" t="s">
        <v>2728</v>
      </c>
      <c r="H1030" s="6" t="s">
        <v>215</v>
      </c>
      <c r="I1030" s="6" t="s">
        <v>417</v>
      </c>
      <c r="J1030" s="6" t="s">
        <v>5103</v>
      </c>
      <c r="K1030" s="6" t="s">
        <v>5115</v>
      </c>
      <c r="L1030" s="6" t="s">
        <v>5105</v>
      </c>
      <c r="M1030" s="6" t="s">
        <v>5106</v>
      </c>
      <c r="N1030" s="6" t="s">
        <v>5047</v>
      </c>
      <c r="O1030" s="6" t="s">
        <v>5107</v>
      </c>
      <c r="P1030" s="6"/>
      <c r="Q1030" s="8">
        <v>200</v>
      </c>
      <c r="R1030" s="8">
        <v>200.6</v>
      </c>
      <c r="S1030" s="8">
        <v>399.9</v>
      </c>
      <c r="T1030" s="8">
        <v>14</v>
      </c>
      <c r="U1030" s="8"/>
      <c r="V1030" s="8">
        <f t="shared" si="18"/>
        <v>0</v>
      </c>
      <c r="W1030" s="12">
        <f t="shared" si="19"/>
        <v>0</v>
      </c>
      <c r="Y1030">
        <v>0</v>
      </c>
    </row>
    <row r="1031" spans="1:25" ht="40" customHeight="1">
      <c r="A1031" s="6" t="s">
        <v>5116</v>
      </c>
      <c r="B1031" s="6" t="s">
        <v>5117</v>
      </c>
      <c r="C1031" s="6">
        <v>254226</v>
      </c>
      <c r="D1031" s="6" t="s">
        <v>126</v>
      </c>
      <c r="E1031" s="6" t="s">
        <v>5118</v>
      </c>
      <c r="F1031" s="6"/>
      <c r="G1031" s="6" t="s">
        <v>2728</v>
      </c>
      <c r="H1031" s="6" t="s">
        <v>215</v>
      </c>
      <c r="I1031" s="6" t="s">
        <v>417</v>
      </c>
      <c r="J1031" s="6" t="s">
        <v>5103</v>
      </c>
      <c r="K1031" s="6" t="s">
        <v>5119</v>
      </c>
      <c r="L1031" s="6" t="s">
        <v>5105</v>
      </c>
      <c r="M1031" s="6" t="s">
        <v>5106</v>
      </c>
      <c r="N1031" s="6" t="s">
        <v>5047</v>
      </c>
      <c r="O1031" s="6" t="s">
        <v>5107</v>
      </c>
      <c r="P1031" s="6"/>
      <c r="Q1031" s="8">
        <v>200</v>
      </c>
      <c r="R1031" s="8">
        <v>200.6</v>
      </c>
      <c r="S1031" s="8">
        <v>399.9</v>
      </c>
      <c r="T1031" s="8">
        <v>14</v>
      </c>
      <c r="U1031" s="8"/>
      <c r="V1031" s="8">
        <f t="shared" si="18"/>
        <v>0</v>
      </c>
      <c r="W1031" s="12">
        <f t="shared" si="19"/>
        <v>0</v>
      </c>
      <c r="Y1031">
        <v>0</v>
      </c>
    </row>
    <row r="1032" spans="1:25" ht="40" customHeight="1">
      <c r="A1032" s="5" t="s">
        <v>5120</v>
      </c>
      <c r="B1032" s="6" t="s">
        <v>5121</v>
      </c>
      <c r="C1032" s="6">
        <v>256202</v>
      </c>
      <c r="D1032" s="6" t="s">
        <v>27</v>
      </c>
      <c r="E1032" s="6" t="s">
        <v>5122</v>
      </c>
      <c r="F1032" s="6"/>
      <c r="G1032" s="6" t="s">
        <v>4890</v>
      </c>
      <c r="H1032" s="6" t="s">
        <v>5123</v>
      </c>
      <c r="I1032" s="6" t="s">
        <v>417</v>
      </c>
      <c r="J1032" s="6" t="s">
        <v>5124</v>
      </c>
      <c r="K1032" s="6" t="s">
        <v>5125</v>
      </c>
      <c r="L1032" s="6" t="s">
        <v>5126</v>
      </c>
      <c r="M1032" s="6" t="s">
        <v>5127</v>
      </c>
      <c r="N1032" s="6" t="s">
        <v>5128</v>
      </c>
      <c r="O1032" s="6" t="s">
        <v>5129</v>
      </c>
      <c r="P1032" s="6"/>
      <c r="Q1032" s="8">
        <v>275</v>
      </c>
      <c r="R1032" s="8">
        <v>275.82499999999999</v>
      </c>
      <c r="S1032" s="8">
        <v>549.9</v>
      </c>
      <c r="T1032" s="8">
        <v>14</v>
      </c>
      <c r="U1032" s="8">
        <v>2</v>
      </c>
      <c r="V1032" s="8">
        <f t="shared" si="18"/>
        <v>28</v>
      </c>
      <c r="W1032" s="12">
        <f t="shared" si="19"/>
        <v>7723.1</v>
      </c>
      <c r="Y1032">
        <v>2</v>
      </c>
    </row>
    <row r="1033" spans="1:25" ht="40" customHeight="1">
      <c r="A1033" s="5" t="s">
        <v>5130</v>
      </c>
      <c r="B1033" s="6" t="s">
        <v>5131</v>
      </c>
      <c r="C1033" s="6">
        <v>256202</v>
      </c>
      <c r="D1033" s="6" t="s">
        <v>5132</v>
      </c>
      <c r="E1033" s="6" t="s">
        <v>5133</v>
      </c>
      <c r="F1033" s="6"/>
      <c r="G1033" s="6" t="s">
        <v>4890</v>
      </c>
      <c r="H1033" s="6" t="s">
        <v>5123</v>
      </c>
      <c r="I1033" s="6" t="s">
        <v>417</v>
      </c>
      <c r="J1033" s="6" t="s">
        <v>5124</v>
      </c>
      <c r="K1033" s="6" t="s">
        <v>5134</v>
      </c>
      <c r="L1033" s="6" t="s">
        <v>5126</v>
      </c>
      <c r="M1033" s="6" t="s">
        <v>5127</v>
      </c>
      <c r="N1033" s="6" t="s">
        <v>5128</v>
      </c>
      <c r="O1033" s="6" t="s">
        <v>5129</v>
      </c>
      <c r="P1033" s="6"/>
      <c r="Q1033" s="8">
        <v>275</v>
      </c>
      <c r="R1033" s="8">
        <v>275.82499999999999</v>
      </c>
      <c r="S1033" s="8">
        <v>549.9</v>
      </c>
      <c r="T1033" s="8">
        <v>14</v>
      </c>
      <c r="U1033" s="8"/>
      <c r="V1033" s="8">
        <f t="shared" si="18"/>
        <v>0</v>
      </c>
      <c r="W1033" s="12">
        <f t="shared" si="19"/>
        <v>0</v>
      </c>
      <c r="Y1033">
        <v>0</v>
      </c>
    </row>
    <row r="1034" spans="1:25" ht="40" customHeight="1">
      <c r="A1034" s="6" t="s">
        <v>5135</v>
      </c>
      <c r="B1034" s="6" t="s">
        <v>5136</v>
      </c>
      <c r="C1034" s="6" t="s">
        <v>5137</v>
      </c>
      <c r="D1034" s="6" t="s">
        <v>5138</v>
      </c>
      <c r="E1034" s="6" t="s">
        <v>5139</v>
      </c>
      <c r="F1034" s="6"/>
      <c r="G1034" s="17" t="s">
        <v>5140</v>
      </c>
      <c r="H1034" s="6" t="s">
        <v>215</v>
      </c>
      <c r="I1034" s="6" t="s">
        <v>5141</v>
      </c>
      <c r="J1034" s="6" t="s">
        <v>5142</v>
      </c>
      <c r="K1034" s="6" t="s">
        <v>5143</v>
      </c>
      <c r="L1034" s="6" t="s">
        <v>5144</v>
      </c>
      <c r="M1034" s="6" t="s">
        <v>5145</v>
      </c>
      <c r="N1034" s="6" t="s">
        <v>5146</v>
      </c>
      <c r="O1034" s="6" t="s">
        <v>5147</v>
      </c>
      <c r="P1034" s="6" t="s">
        <v>5148</v>
      </c>
      <c r="Q1034" s="8">
        <v>110</v>
      </c>
      <c r="R1034" s="8">
        <v>110.33</v>
      </c>
      <c r="S1034" s="8">
        <v>219.9</v>
      </c>
      <c r="T1034" s="8">
        <v>14</v>
      </c>
      <c r="U1034" s="8"/>
      <c r="V1034" s="8">
        <v>0</v>
      </c>
      <c r="W1034" s="12">
        <v>0</v>
      </c>
      <c r="Y1034">
        <v>0</v>
      </c>
    </row>
    <row r="1035" spans="1:25" ht="40" customHeight="1">
      <c r="A1035" s="6" t="s">
        <v>5149</v>
      </c>
      <c r="B1035" s="6" t="s">
        <v>5150</v>
      </c>
      <c r="C1035" s="6" t="s">
        <v>5137</v>
      </c>
      <c r="D1035" s="6" t="s">
        <v>1809</v>
      </c>
      <c r="E1035" s="6" t="s">
        <v>5151</v>
      </c>
      <c r="F1035" s="6"/>
      <c r="G1035" s="17" t="s">
        <v>5140</v>
      </c>
      <c r="H1035" s="6" t="s">
        <v>215</v>
      </c>
      <c r="I1035" s="6" t="s">
        <v>5141</v>
      </c>
      <c r="J1035" s="6" t="s">
        <v>5142</v>
      </c>
      <c r="K1035" s="6" t="s">
        <v>5152</v>
      </c>
      <c r="L1035" s="6" t="s">
        <v>5144</v>
      </c>
      <c r="M1035" s="6" t="s">
        <v>5145</v>
      </c>
      <c r="N1035" s="6" t="s">
        <v>5146</v>
      </c>
      <c r="O1035" s="6" t="s">
        <v>5147</v>
      </c>
      <c r="P1035" s="6" t="s">
        <v>5148</v>
      </c>
      <c r="Q1035" s="8">
        <v>110</v>
      </c>
      <c r="R1035" s="8">
        <v>110.33</v>
      </c>
      <c r="S1035" s="8">
        <v>219.9</v>
      </c>
      <c r="T1035" s="8">
        <v>14</v>
      </c>
      <c r="U1035" s="8"/>
      <c r="V1035" s="8">
        <v>0</v>
      </c>
      <c r="W1035" s="12">
        <v>0</v>
      </c>
      <c r="Y1035">
        <v>0</v>
      </c>
    </row>
    <row r="1036" spans="1:25" ht="40" customHeight="1">
      <c r="A1036" s="6" t="s">
        <v>5153</v>
      </c>
      <c r="B1036" s="6" t="s">
        <v>5154</v>
      </c>
      <c r="C1036" s="6" t="s">
        <v>5137</v>
      </c>
      <c r="D1036" s="6" t="s">
        <v>5155</v>
      </c>
      <c r="E1036" s="6" t="s">
        <v>5156</v>
      </c>
      <c r="F1036" s="6"/>
      <c r="G1036" s="17" t="s">
        <v>5140</v>
      </c>
      <c r="H1036" s="6" t="s">
        <v>215</v>
      </c>
      <c r="I1036" s="6" t="s">
        <v>5141</v>
      </c>
      <c r="J1036" s="6" t="s">
        <v>5142</v>
      </c>
      <c r="K1036" s="6" t="s">
        <v>5157</v>
      </c>
      <c r="L1036" s="6" t="s">
        <v>5144</v>
      </c>
      <c r="M1036" s="6" t="s">
        <v>5145</v>
      </c>
      <c r="N1036" s="6" t="s">
        <v>5146</v>
      </c>
      <c r="O1036" s="6" t="s">
        <v>5147</v>
      </c>
      <c r="P1036" s="6" t="s">
        <v>5148</v>
      </c>
      <c r="Q1036" s="8">
        <v>110</v>
      </c>
      <c r="R1036" s="8">
        <v>110.33</v>
      </c>
      <c r="S1036" s="8">
        <v>219.9</v>
      </c>
      <c r="T1036" s="8">
        <v>14</v>
      </c>
      <c r="U1036" s="8"/>
      <c r="V1036" s="8">
        <v>0</v>
      </c>
      <c r="W1036" s="12">
        <v>0</v>
      </c>
      <c r="Y1036">
        <v>0</v>
      </c>
    </row>
    <row r="1037" spans="1:25" ht="40" customHeight="1">
      <c r="A1037" s="6" t="s">
        <v>5158</v>
      </c>
      <c r="B1037" s="6" t="s">
        <v>5159</v>
      </c>
      <c r="C1037" s="6" t="s">
        <v>5160</v>
      </c>
      <c r="D1037" s="6" t="s">
        <v>1809</v>
      </c>
      <c r="E1037" s="6" t="s">
        <v>5161</v>
      </c>
      <c r="F1037" s="6"/>
      <c r="G1037" s="17" t="s">
        <v>5162</v>
      </c>
      <c r="H1037" s="6" t="s">
        <v>5163</v>
      </c>
      <c r="I1037" s="6" t="s">
        <v>5141</v>
      </c>
      <c r="J1037" s="6" t="s">
        <v>5164</v>
      </c>
      <c r="K1037" s="6" t="s">
        <v>5152</v>
      </c>
      <c r="L1037" s="6" t="s">
        <v>5165</v>
      </c>
      <c r="M1037" s="6" t="s">
        <v>5166</v>
      </c>
      <c r="N1037" s="6" t="s">
        <v>5146</v>
      </c>
      <c r="O1037" s="6" t="s">
        <v>5167</v>
      </c>
      <c r="P1037" s="6"/>
      <c r="Q1037" s="8">
        <v>100</v>
      </c>
      <c r="R1037" s="8">
        <v>100.3</v>
      </c>
      <c r="S1037" s="8">
        <v>199.9</v>
      </c>
      <c r="T1037" s="8">
        <v>14</v>
      </c>
      <c r="U1037" s="8"/>
      <c r="V1037" s="8">
        <v>0</v>
      </c>
      <c r="W1037" s="12">
        <v>0</v>
      </c>
      <c r="Y1037">
        <v>0</v>
      </c>
    </row>
    <row r="1038" spans="1:25" ht="40" customHeight="1">
      <c r="A1038" s="6" t="s">
        <v>5168</v>
      </c>
      <c r="B1038" s="6" t="s">
        <v>5169</v>
      </c>
      <c r="C1038" s="6" t="s">
        <v>5170</v>
      </c>
      <c r="D1038" s="6" t="s">
        <v>5138</v>
      </c>
      <c r="E1038" s="6" t="s">
        <v>5171</v>
      </c>
      <c r="F1038" s="6"/>
      <c r="G1038" s="17" t="s">
        <v>5172</v>
      </c>
      <c r="H1038" s="6" t="s">
        <v>215</v>
      </c>
      <c r="I1038" s="6" t="s">
        <v>5141</v>
      </c>
      <c r="J1038" s="6" t="s">
        <v>5173</v>
      </c>
      <c r="K1038" s="6" t="s">
        <v>5174</v>
      </c>
      <c r="L1038" s="6" t="s">
        <v>54</v>
      </c>
      <c r="M1038" s="6" t="s">
        <v>54</v>
      </c>
      <c r="N1038" s="6" t="s">
        <v>5146</v>
      </c>
      <c r="O1038" s="6" t="s">
        <v>5167</v>
      </c>
      <c r="P1038" s="6"/>
      <c r="Q1038" s="8">
        <v>100</v>
      </c>
      <c r="R1038" s="8">
        <v>100.3</v>
      </c>
      <c r="S1038" s="8">
        <v>199.9</v>
      </c>
      <c r="T1038" s="8">
        <v>14</v>
      </c>
      <c r="U1038" s="8"/>
      <c r="V1038" s="8">
        <v>0</v>
      </c>
      <c r="W1038" s="12">
        <v>0</v>
      </c>
      <c r="Y1038">
        <v>0</v>
      </c>
    </row>
    <row r="1039" spans="1:25" ht="40" customHeight="1">
      <c r="A1039" s="6" t="s">
        <v>5175</v>
      </c>
      <c r="B1039" s="6" t="s">
        <v>5176</v>
      </c>
      <c r="C1039" s="6" t="s">
        <v>5170</v>
      </c>
      <c r="D1039" s="6" t="s">
        <v>1809</v>
      </c>
      <c r="E1039" s="6" t="s">
        <v>5177</v>
      </c>
      <c r="F1039" s="6"/>
      <c r="G1039" s="17" t="s">
        <v>5172</v>
      </c>
      <c r="H1039" s="6" t="s">
        <v>215</v>
      </c>
      <c r="I1039" s="6" t="s">
        <v>5141</v>
      </c>
      <c r="J1039" s="6" t="s">
        <v>5173</v>
      </c>
      <c r="K1039" s="6" t="s">
        <v>5152</v>
      </c>
      <c r="L1039" s="6" t="s">
        <v>54</v>
      </c>
      <c r="M1039" s="6" t="s">
        <v>54</v>
      </c>
      <c r="N1039" s="6" t="s">
        <v>5146</v>
      </c>
      <c r="O1039" s="6" t="s">
        <v>5167</v>
      </c>
      <c r="P1039" s="6"/>
      <c r="Q1039" s="8">
        <v>100</v>
      </c>
      <c r="R1039" s="8">
        <v>100.3</v>
      </c>
      <c r="S1039" s="8">
        <v>199.9</v>
      </c>
      <c r="T1039" s="8">
        <v>14</v>
      </c>
      <c r="U1039" s="8"/>
      <c r="V1039" s="8">
        <v>0</v>
      </c>
      <c r="W1039" s="12">
        <v>0</v>
      </c>
      <c r="Y1039">
        <v>0</v>
      </c>
    </row>
    <row r="1040" spans="1:25" ht="40" customHeight="1">
      <c r="A1040" s="6" t="s">
        <v>5178</v>
      </c>
      <c r="B1040" s="6" t="s">
        <v>5179</v>
      </c>
      <c r="C1040" s="6" t="s">
        <v>5180</v>
      </c>
      <c r="D1040" s="6" t="s">
        <v>5181</v>
      </c>
      <c r="E1040" s="6" t="s">
        <v>5182</v>
      </c>
      <c r="F1040" s="6"/>
      <c r="G1040" s="6" t="s">
        <v>5183</v>
      </c>
      <c r="H1040" s="6" t="s">
        <v>215</v>
      </c>
      <c r="I1040" s="6" t="s">
        <v>5184</v>
      </c>
      <c r="J1040" s="6" t="s">
        <v>5185</v>
      </c>
      <c r="K1040" s="6" t="s">
        <v>5186</v>
      </c>
      <c r="L1040" s="6" t="s">
        <v>5187</v>
      </c>
      <c r="M1040" s="6" t="s">
        <v>5188</v>
      </c>
      <c r="N1040" s="6" t="s">
        <v>5146</v>
      </c>
      <c r="O1040" s="6" t="s">
        <v>5189</v>
      </c>
      <c r="P1040" s="6"/>
      <c r="Q1040" s="8">
        <v>115</v>
      </c>
      <c r="R1040" s="8">
        <v>115.345</v>
      </c>
      <c r="S1040" s="8">
        <v>229.9</v>
      </c>
      <c r="T1040" s="8">
        <v>16</v>
      </c>
      <c r="U1040" s="8"/>
      <c r="V1040" s="8">
        <v>0</v>
      </c>
      <c r="W1040" s="12">
        <v>0</v>
      </c>
      <c r="Y1040">
        <v>0</v>
      </c>
    </row>
    <row r="1041" spans="1:25" ht="40" customHeight="1">
      <c r="A1041" s="6" t="s">
        <v>5190</v>
      </c>
      <c r="B1041" s="6" t="s">
        <v>5191</v>
      </c>
      <c r="C1041" s="6" t="s">
        <v>5180</v>
      </c>
      <c r="D1041" s="6" t="s">
        <v>5192</v>
      </c>
      <c r="E1041" s="6" t="s">
        <v>5193</v>
      </c>
      <c r="F1041" s="6"/>
      <c r="G1041" s="6" t="s">
        <v>5183</v>
      </c>
      <c r="H1041" s="6" t="s">
        <v>215</v>
      </c>
      <c r="I1041" s="6" t="s">
        <v>5184</v>
      </c>
      <c r="J1041" s="6" t="s">
        <v>5185</v>
      </c>
      <c r="K1041" s="6" t="s">
        <v>5194</v>
      </c>
      <c r="L1041" s="6" t="s">
        <v>5187</v>
      </c>
      <c r="M1041" s="6" t="s">
        <v>5188</v>
      </c>
      <c r="N1041" s="6" t="s">
        <v>5146</v>
      </c>
      <c r="O1041" s="6" t="s">
        <v>5189</v>
      </c>
      <c r="P1041" s="6"/>
      <c r="Q1041" s="8">
        <v>115</v>
      </c>
      <c r="R1041" s="8">
        <v>115.345</v>
      </c>
      <c r="S1041" s="8">
        <v>229.9</v>
      </c>
      <c r="T1041" s="8">
        <v>16</v>
      </c>
      <c r="U1041" s="8"/>
      <c r="V1041" s="8">
        <v>0</v>
      </c>
      <c r="W1041" s="12">
        <v>0</v>
      </c>
      <c r="Y1041">
        <v>0</v>
      </c>
    </row>
    <row r="1042" spans="1:25" ht="40" customHeight="1">
      <c r="A1042" s="6" t="s">
        <v>5195</v>
      </c>
      <c r="B1042" s="6" t="s">
        <v>5196</v>
      </c>
      <c r="C1042" s="6" t="s">
        <v>5197</v>
      </c>
      <c r="D1042" s="6" t="s">
        <v>147</v>
      </c>
      <c r="E1042" s="6" t="s">
        <v>5198</v>
      </c>
      <c r="F1042" s="6"/>
      <c r="G1042" s="6" t="s">
        <v>5199</v>
      </c>
      <c r="H1042" s="6" t="s">
        <v>215</v>
      </c>
      <c r="I1042" s="6" t="s">
        <v>5184</v>
      </c>
      <c r="J1042" s="6" t="s">
        <v>5200</v>
      </c>
      <c r="K1042" s="6" t="s">
        <v>5201</v>
      </c>
      <c r="L1042" s="6" t="s">
        <v>5144</v>
      </c>
      <c r="M1042" s="6" t="s">
        <v>5202</v>
      </c>
      <c r="N1042" s="6" t="s">
        <v>5146</v>
      </c>
      <c r="O1042" s="6" t="s">
        <v>5203</v>
      </c>
      <c r="P1042" s="6" t="s">
        <v>5204</v>
      </c>
      <c r="Q1042" s="8">
        <v>85</v>
      </c>
      <c r="R1042" s="8">
        <v>85.254999999999995</v>
      </c>
      <c r="S1042" s="8">
        <v>169.9</v>
      </c>
      <c r="T1042" s="8">
        <v>16</v>
      </c>
      <c r="U1042" s="8"/>
      <c r="V1042" s="8">
        <v>0</v>
      </c>
      <c r="W1042" s="12">
        <v>0</v>
      </c>
      <c r="Y1042">
        <v>0</v>
      </c>
    </row>
    <row r="1043" spans="1:25" ht="40" customHeight="1">
      <c r="A1043" s="6" t="s">
        <v>5205</v>
      </c>
      <c r="B1043" s="6" t="s">
        <v>5206</v>
      </c>
      <c r="C1043" s="6" t="s">
        <v>5197</v>
      </c>
      <c r="D1043" s="6" t="s">
        <v>1092</v>
      </c>
      <c r="E1043" s="6" t="s">
        <v>5207</v>
      </c>
      <c r="F1043" s="6"/>
      <c r="G1043" s="6" t="s">
        <v>5199</v>
      </c>
      <c r="H1043" s="6" t="s">
        <v>215</v>
      </c>
      <c r="I1043" s="6" t="s">
        <v>5184</v>
      </c>
      <c r="J1043" s="6" t="s">
        <v>5200</v>
      </c>
      <c r="K1043" s="6" t="s">
        <v>5208</v>
      </c>
      <c r="L1043" s="6" t="s">
        <v>5144</v>
      </c>
      <c r="M1043" s="6" t="s">
        <v>5202</v>
      </c>
      <c r="N1043" s="6" t="s">
        <v>5146</v>
      </c>
      <c r="O1043" s="6" t="s">
        <v>5203</v>
      </c>
      <c r="P1043" s="6" t="s">
        <v>5204</v>
      </c>
      <c r="Q1043" s="8">
        <v>85</v>
      </c>
      <c r="R1043" s="8">
        <v>85.254999999999995</v>
      </c>
      <c r="S1043" s="8">
        <v>169.9</v>
      </c>
      <c r="T1043" s="8">
        <v>16</v>
      </c>
      <c r="U1043" s="8"/>
      <c r="V1043" s="8">
        <v>0</v>
      </c>
      <c r="W1043" s="12">
        <v>0</v>
      </c>
      <c r="Y1043">
        <v>0</v>
      </c>
    </row>
    <row r="1044" spans="1:25" ht="40" customHeight="1">
      <c r="A1044" s="6" t="s">
        <v>5209</v>
      </c>
      <c r="B1044" s="6" t="s">
        <v>5210</v>
      </c>
      <c r="C1044" s="6" t="s">
        <v>5197</v>
      </c>
      <c r="D1044" s="6" t="s">
        <v>74</v>
      </c>
      <c r="E1044" s="6" t="s">
        <v>5211</v>
      </c>
      <c r="F1044" s="6"/>
      <c r="G1044" s="6" t="s">
        <v>5199</v>
      </c>
      <c r="H1044" s="6" t="s">
        <v>215</v>
      </c>
      <c r="I1044" s="6" t="s">
        <v>5184</v>
      </c>
      <c r="J1044" s="6" t="s">
        <v>5200</v>
      </c>
      <c r="K1044" s="6" t="s">
        <v>5212</v>
      </c>
      <c r="L1044" s="6" t="s">
        <v>5144</v>
      </c>
      <c r="M1044" s="6" t="s">
        <v>5202</v>
      </c>
      <c r="N1044" s="6" t="s">
        <v>5146</v>
      </c>
      <c r="O1044" s="6" t="s">
        <v>5203</v>
      </c>
      <c r="P1044" s="6" t="s">
        <v>5204</v>
      </c>
      <c r="Q1044" s="8">
        <v>85</v>
      </c>
      <c r="R1044" s="8">
        <v>85.254999999999995</v>
      </c>
      <c r="S1044" s="8">
        <v>169.9</v>
      </c>
      <c r="T1044" s="8">
        <v>16</v>
      </c>
      <c r="U1044" s="8"/>
      <c r="V1044" s="8">
        <v>0</v>
      </c>
      <c r="W1044" s="12">
        <v>0</v>
      </c>
      <c r="Y1044">
        <v>0</v>
      </c>
    </row>
    <row r="1045" spans="1:25" ht="40" customHeight="1">
      <c r="A1045" s="6" t="s">
        <v>5213</v>
      </c>
      <c r="B1045" s="6" t="s">
        <v>5214</v>
      </c>
      <c r="C1045" s="6" t="s">
        <v>5197</v>
      </c>
      <c r="D1045" s="6" t="s">
        <v>747</v>
      </c>
      <c r="E1045" s="6" t="s">
        <v>5215</v>
      </c>
      <c r="F1045" s="6"/>
      <c r="G1045" s="6" t="s">
        <v>5199</v>
      </c>
      <c r="H1045" s="6" t="s">
        <v>215</v>
      </c>
      <c r="I1045" s="6" t="s">
        <v>5184</v>
      </c>
      <c r="J1045" s="6" t="s">
        <v>5200</v>
      </c>
      <c r="K1045" s="6" t="s">
        <v>5216</v>
      </c>
      <c r="L1045" s="6" t="s">
        <v>5144</v>
      </c>
      <c r="M1045" s="6" t="s">
        <v>5202</v>
      </c>
      <c r="N1045" s="6" t="s">
        <v>5146</v>
      </c>
      <c r="O1045" s="6" t="s">
        <v>5203</v>
      </c>
      <c r="P1045" s="6" t="s">
        <v>5204</v>
      </c>
      <c r="Q1045" s="8">
        <v>85</v>
      </c>
      <c r="R1045" s="8">
        <v>85.254999999999995</v>
      </c>
      <c r="S1045" s="8">
        <v>169.9</v>
      </c>
      <c r="T1045" s="8">
        <v>16</v>
      </c>
      <c r="U1045" s="8"/>
      <c r="V1045" s="8">
        <v>0</v>
      </c>
      <c r="W1045" s="12">
        <v>0</v>
      </c>
      <c r="Y1045">
        <v>0</v>
      </c>
    </row>
    <row r="1046" spans="1:25" ht="40" customHeight="1">
      <c r="A1046" s="6" t="s">
        <v>5217</v>
      </c>
      <c r="B1046" s="6" t="s">
        <v>5218</v>
      </c>
      <c r="C1046" s="6" t="s">
        <v>5219</v>
      </c>
      <c r="D1046" s="6" t="s">
        <v>279</v>
      </c>
      <c r="E1046" s="6" t="s">
        <v>5220</v>
      </c>
      <c r="F1046" s="6"/>
      <c r="G1046" s="6" t="s">
        <v>5199</v>
      </c>
      <c r="H1046" s="6" t="s">
        <v>215</v>
      </c>
      <c r="I1046" s="6" t="s">
        <v>5141</v>
      </c>
      <c r="J1046" s="6" t="s">
        <v>5200</v>
      </c>
      <c r="K1046" s="6" t="s">
        <v>5221</v>
      </c>
      <c r="L1046" s="6" t="s">
        <v>5144</v>
      </c>
      <c r="M1046" s="6" t="s">
        <v>5202</v>
      </c>
      <c r="N1046" s="6" t="s">
        <v>5146</v>
      </c>
      <c r="O1046" s="6" t="s">
        <v>5203</v>
      </c>
      <c r="P1046" s="6"/>
      <c r="Q1046" s="8">
        <v>80</v>
      </c>
      <c r="R1046" s="8">
        <v>80.239999999999995</v>
      </c>
      <c r="S1046" s="8">
        <v>159.9</v>
      </c>
      <c r="T1046" s="8">
        <v>14</v>
      </c>
      <c r="U1046" s="8"/>
      <c r="V1046" s="8">
        <v>0</v>
      </c>
      <c r="W1046" s="12">
        <v>0</v>
      </c>
      <c r="Y1046">
        <v>0</v>
      </c>
    </row>
    <row r="1047" spans="1:25" ht="40" customHeight="1">
      <c r="A1047" s="6" t="s">
        <v>5222</v>
      </c>
      <c r="B1047" s="6" t="s">
        <v>5223</v>
      </c>
      <c r="C1047" s="6" t="s">
        <v>5219</v>
      </c>
      <c r="D1047" s="6" t="s">
        <v>561</v>
      </c>
      <c r="E1047" s="6" t="s">
        <v>5224</v>
      </c>
      <c r="F1047" s="6"/>
      <c r="G1047" s="6" t="s">
        <v>5199</v>
      </c>
      <c r="H1047" s="6" t="s">
        <v>215</v>
      </c>
      <c r="I1047" s="6" t="s">
        <v>5141</v>
      </c>
      <c r="J1047" s="6" t="s">
        <v>5200</v>
      </c>
      <c r="K1047" s="6" t="s">
        <v>5225</v>
      </c>
      <c r="L1047" s="6" t="s">
        <v>5144</v>
      </c>
      <c r="M1047" s="6" t="s">
        <v>5202</v>
      </c>
      <c r="N1047" s="6" t="s">
        <v>5146</v>
      </c>
      <c r="O1047" s="6" t="s">
        <v>5203</v>
      </c>
      <c r="P1047" s="6"/>
      <c r="Q1047" s="8">
        <v>80</v>
      </c>
      <c r="R1047" s="8">
        <v>80.239999999999995</v>
      </c>
      <c r="S1047" s="8">
        <v>159.9</v>
      </c>
      <c r="T1047" s="8">
        <v>14</v>
      </c>
      <c r="U1047" s="8"/>
      <c r="V1047" s="8">
        <v>0</v>
      </c>
      <c r="W1047" s="12">
        <v>0</v>
      </c>
      <c r="Y1047">
        <v>0</v>
      </c>
    </row>
    <row r="1048" spans="1:25" ht="40" customHeight="1">
      <c r="A1048" s="6" t="s">
        <v>5226</v>
      </c>
      <c r="B1048" s="6" t="s">
        <v>5227</v>
      </c>
      <c r="C1048" s="6" t="s">
        <v>5219</v>
      </c>
      <c r="D1048" s="6" t="s">
        <v>1092</v>
      </c>
      <c r="E1048" s="6" t="s">
        <v>5228</v>
      </c>
      <c r="F1048" s="6"/>
      <c r="G1048" s="6" t="s">
        <v>5199</v>
      </c>
      <c r="H1048" s="6" t="s">
        <v>215</v>
      </c>
      <c r="I1048" s="6" t="s">
        <v>5141</v>
      </c>
      <c r="J1048" s="6" t="s">
        <v>5200</v>
      </c>
      <c r="K1048" s="6" t="s">
        <v>5208</v>
      </c>
      <c r="L1048" s="6" t="s">
        <v>5144</v>
      </c>
      <c r="M1048" s="6" t="s">
        <v>5202</v>
      </c>
      <c r="N1048" s="6" t="s">
        <v>5146</v>
      </c>
      <c r="O1048" s="6" t="s">
        <v>5203</v>
      </c>
      <c r="P1048" s="6"/>
      <c r="Q1048" s="8">
        <v>80</v>
      </c>
      <c r="R1048" s="8">
        <v>80.239999999999995</v>
      </c>
      <c r="S1048" s="8">
        <v>159.9</v>
      </c>
      <c r="T1048" s="8">
        <v>14</v>
      </c>
      <c r="U1048" s="8"/>
      <c r="V1048" s="8">
        <v>0</v>
      </c>
      <c r="W1048" s="12">
        <v>0</v>
      </c>
      <c r="Y1048">
        <v>0</v>
      </c>
    </row>
    <row r="1049" spans="1:25" ht="40" customHeight="1">
      <c r="A1049" s="6" t="s">
        <v>5229</v>
      </c>
      <c r="B1049" s="6" t="s">
        <v>5230</v>
      </c>
      <c r="C1049" s="6" t="s">
        <v>5219</v>
      </c>
      <c r="D1049" s="6" t="s">
        <v>74</v>
      </c>
      <c r="E1049" s="6" t="s">
        <v>5231</v>
      </c>
      <c r="F1049" s="6"/>
      <c r="G1049" s="6" t="s">
        <v>5199</v>
      </c>
      <c r="H1049" s="6" t="s">
        <v>215</v>
      </c>
      <c r="I1049" s="6" t="s">
        <v>5141</v>
      </c>
      <c r="J1049" s="6" t="s">
        <v>5200</v>
      </c>
      <c r="K1049" s="6" t="s">
        <v>5212</v>
      </c>
      <c r="L1049" s="6" t="s">
        <v>5144</v>
      </c>
      <c r="M1049" s="6" t="s">
        <v>5202</v>
      </c>
      <c r="N1049" s="6" t="s">
        <v>5146</v>
      </c>
      <c r="O1049" s="6" t="s">
        <v>5203</v>
      </c>
      <c r="P1049" s="6"/>
      <c r="Q1049" s="8">
        <v>80</v>
      </c>
      <c r="R1049" s="8">
        <v>80.239999999999995</v>
      </c>
      <c r="S1049" s="8">
        <v>159.9</v>
      </c>
      <c r="T1049" s="8">
        <v>14</v>
      </c>
      <c r="U1049" s="8"/>
      <c r="V1049" s="8">
        <v>0</v>
      </c>
      <c r="W1049" s="12">
        <v>0</v>
      </c>
      <c r="Y1049">
        <v>0</v>
      </c>
    </row>
    <row r="1050" spans="1:25" ht="40" customHeight="1">
      <c r="A1050" s="6" t="s">
        <v>5232</v>
      </c>
      <c r="B1050" s="6" t="s">
        <v>5233</v>
      </c>
      <c r="C1050" s="6" t="s">
        <v>5234</v>
      </c>
      <c r="D1050" s="6" t="s">
        <v>279</v>
      </c>
      <c r="E1050" s="6" t="s">
        <v>5235</v>
      </c>
      <c r="F1050" s="6"/>
      <c r="G1050" s="6" t="s">
        <v>5236</v>
      </c>
      <c r="H1050" s="6" t="s">
        <v>5237</v>
      </c>
      <c r="I1050" s="6" t="s">
        <v>5184</v>
      </c>
      <c r="J1050" s="6" t="s">
        <v>5238</v>
      </c>
      <c r="K1050" s="6" t="s">
        <v>5239</v>
      </c>
      <c r="L1050" s="6" t="s">
        <v>54</v>
      </c>
      <c r="M1050" s="6" t="s">
        <v>54</v>
      </c>
      <c r="N1050" s="6" t="s">
        <v>5146</v>
      </c>
      <c r="O1050" s="6" t="s">
        <v>5203</v>
      </c>
      <c r="P1050" s="6"/>
      <c r="Q1050" s="8">
        <v>75</v>
      </c>
      <c r="R1050" s="8">
        <v>75.224999999999994</v>
      </c>
      <c r="S1050" s="8">
        <v>149.9</v>
      </c>
      <c r="T1050" s="8">
        <v>16</v>
      </c>
      <c r="U1050" s="8"/>
      <c r="V1050" s="8">
        <v>0</v>
      </c>
      <c r="W1050" s="12">
        <v>0</v>
      </c>
      <c r="Y1050">
        <v>0</v>
      </c>
    </row>
    <row r="1051" spans="1:25" ht="40" customHeight="1">
      <c r="A1051" s="6" t="s">
        <v>5240</v>
      </c>
      <c r="B1051" s="6" t="s">
        <v>5241</v>
      </c>
      <c r="C1051" s="6" t="s">
        <v>5234</v>
      </c>
      <c r="D1051" s="6" t="s">
        <v>5242</v>
      </c>
      <c r="E1051" s="6" t="s">
        <v>5243</v>
      </c>
      <c r="F1051" s="6"/>
      <c r="G1051" s="6" t="s">
        <v>5236</v>
      </c>
      <c r="H1051" s="6" t="s">
        <v>5237</v>
      </c>
      <c r="I1051" s="6" t="s">
        <v>5184</v>
      </c>
      <c r="J1051" s="6" t="s">
        <v>5238</v>
      </c>
      <c r="K1051" s="8"/>
      <c r="L1051" s="8"/>
      <c r="M1051" s="8"/>
      <c r="N1051" s="8"/>
      <c r="O1051" s="8"/>
      <c r="P1051" s="8"/>
      <c r="Q1051" s="8">
        <v>75</v>
      </c>
      <c r="R1051" s="8">
        <v>75.224999999999994</v>
      </c>
      <c r="S1051" s="8">
        <v>149.9</v>
      </c>
      <c r="T1051" s="8">
        <v>16</v>
      </c>
      <c r="U1051" s="8"/>
      <c r="V1051" s="8">
        <v>0</v>
      </c>
      <c r="W1051" s="12">
        <v>0</v>
      </c>
      <c r="Y1051">
        <v>0</v>
      </c>
    </row>
    <row r="1052" spans="1:25" ht="40" customHeight="1">
      <c r="A1052" s="6" t="s">
        <v>5244</v>
      </c>
      <c r="B1052" s="6" t="s">
        <v>5245</v>
      </c>
      <c r="C1052" s="6" t="s">
        <v>5246</v>
      </c>
      <c r="D1052" s="6" t="s">
        <v>5247</v>
      </c>
      <c r="E1052" s="6" t="s">
        <v>5248</v>
      </c>
      <c r="F1052" s="6"/>
      <c r="G1052" s="6" t="s">
        <v>5249</v>
      </c>
      <c r="H1052" s="6" t="s">
        <v>5250</v>
      </c>
      <c r="I1052" s="6" t="s">
        <v>5184</v>
      </c>
      <c r="J1052" s="6" t="s">
        <v>5251</v>
      </c>
      <c r="K1052" s="6" t="s">
        <v>5252</v>
      </c>
      <c r="L1052" s="6" t="s">
        <v>5253</v>
      </c>
      <c r="M1052" s="6" t="s">
        <v>5254</v>
      </c>
      <c r="N1052" s="6" t="s">
        <v>5146</v>
      </c>
      <c r="O1052" s="6" t="s">
        <v>5255</v>
      </c>
      <c r="P1052" s="6" t="s">
        <v>5256</v>
      </c>
      <c r="Q1052" s="8">
        <v>90</v>
      </c>
      <c r="R1052" s="8">
        <v>90.27</v>
      </c>
      <c r="S1052" s="8">
        <v>179.9</v>
      </c>
      <c r="T1052" s="8">
        <v>16</v>
      </c>
      <c r="U1052" s="8"/>
      <c r="V1052" s="8">
        <v>0</v>
      </c>
      <c r="W1052" s="12">
        <v>0</v>
      </c>
      <c r="Y1052">
        <v>0</v>
      </c>
    </row>
    <row r="1053" spans="1:25" ht="40" customHeight="1">
      <c r="A1053" s="6" t="s">
        <v>5257</v>
      </c>
      <c r="B1053" s="6" t="s">
        <v>5258</v>
      </c>
      <c r="C1053" s="6" t="s">
        <v>5246</v>
      </c>
      <c r="D1053" s="6" t="s">
        <v>1195</v>
      </c>
      <c r="E1053" s="6" t="s">
        <v>5259</v>
      </c>
      <c r="F1053" s="6"/>
      <c r="G1053" s="6" t="s">
        <v>5249</v>
      </c>
      <c r="H1053" s="6" t="s">
        <v>5250</v>
      </c>
      <c r="I1053" s="6" t="s">
        <v>5184</v>
      </c>
      <c r="J1053" s="6" t="s">
        <v>5251</v>
      </c>
      <c r="K1053" s="6" t="s">
        <v>5260</v>
      </c>
      <c r="L1053" s="6" t="s">
        <v>5253</v>
      </c>
      <c r="M1053" s="6" t="s">
        <v>5254</v>
      </c>
      <c r="N1053" s="6" t="s">
        <v>5146</v>
      </c>
      <c r="O1053" s="6" t="s">
        <v>5255</v>
      </c>
      <c r="P1053" s="6" t="s">
        <v>5256</v>
      </c>
      <c r="Q1053" s="8">
        <v>90</v>
      </c>
      <c r="R1053" s="8">
        <v>90.27</v>
      </c>
      <c r="S1053" s="8">
        <v>179.9</v>
      </c>
      <c r="T1053" s="8">
        <v>16</v>
      </c>
      <c r="U1053" s="8"/>
      <c r="V1053" s="8">
        <v>0</v>
      </c>
      <c r="W1053" s="12">
        <v>0</v>
      </c>
      <c r="Y1053">
        <v>0</v>
      </c>
    </row>
    <row r="1054" spans="1:25" ht="40" customHeight="1">
      <c r="A1054" s="6" t="s">
        <v>5261</v>
      </c>
      <c r="B1054" s="6" t="s">
        <v>5262</v>
      </c>
      <c r="C1054" s="6" t="s">
        <v>5246</v>
      </c>
      <c r="D1054" s="6" t="s">
        <v>1681</v>
      </c>
      <c r="E1054" s="6" t="s">
        <v>5263</v>
      </c>
      <c r="F1054" s="6"/>
      <c r="G1054" s="6" t="s">
        <v>5249</v>
      </c>
      <c r="H1054" s="6" t="s">
        <v>5250</v>
      </c>
      <c r="I1054" s="6" t="s">
        <v>5184</v>
      </c>
      <c r="J1054" s="6" t="s">
        <v>5251</v>
      </c>
      <c r="K1054" s="6" t="s">
        <v>5264</v>
      </c>
      <c r="L1054" s="6" t="s">
        <v>5253</v>
      </c>
      <c r="M1054" s="6" t="s">
        <v>5254</v>
      </c>
      <c r="N1054" s="6" t="s">
        <v>5146</v>
      </c>
      <c r="O1054" s="6" t="s">
        <v>5255</v>
      </c>
      <c r="P1054" s="6" t="s">
        <v>5256</v>
      </c>
      <c r="Q1054" s="8">
        <v>90</v>
      </c>
      <c r="R1054" s="8">
        <v>90.27</v>
      </c>
      <c r="S1054" s="8">
        <v>179.9</v>
      </c>
      <c r="T1054" s="8">
        <v>16</v>
      </c>
      <c r="U1054" s="8"/>
      <c r="V1054" s="8">
        <v>0</v>
      </c>
      <c r="W1054" s="12">
        <v>0</v>
      </c>
      <c r="Y1054">
        <v>0</v>
      </c>
    </row>
    <row r="1055" spans="1:25" ht="40" customHeight="1">
      <c r="A1055" s="6" t="s">
        <v>5265</v>
      </c>
      <c r="B1055" s="6" t="s">
        <v>5266</v>
      </c>
      <c r="C1055" s="6" t="s">
        <v>5267</v>
      </c>
      <c r="D1055" s="6" t="s">
        <v>195</v>
      </c>
      <c r="E1055" s="6" t="s">
        <v>5268</v>
      </c>
      <c r="F1055" s="6"/>
      <c r="G1055" s="6" t="s">
        <v>5269</v>
      </c>
      <c r="H1055" s="6" t="s">
        <v>5270</v>
      </c>
      <c r="I1055" s="6" t="s">
        <v>5184</v>
      </c>
      <c r="J1055" s="6" t="s">
        <v>5271</v>
      </c>
      <c r="K1055" s="6" t="s">
        <v>5272</v>
      </c>
      <c r="L1055" s="6" t="s">
        <v>54</v>
      </c>
      <c r="M1055" s="6" t="s">
        <v>54</v>
      </c>
      <c r="N1055" s="6" t="s">
        <v>5146</v>
      </c>
      <c r="O1055" s="6" t="s">
        <v>5203</v>
      </c>
      <c r="P1055" s="6" t="s">
        <v>5204</v>
      </c>
      <c r="Q1055" s="8">
        <v>85</v>
      </c>
      <c r="R1055" s="8">
        <v>85.254999999999995</v>
      </c>
      <c r="S1055" s="8">
        <v>169.9</v>
      </c>
      <c r="T1055" s="8">
        <v>16</v>
      </c>
      <c r="U1055" s="8"/>
      <c r="V1055" s="8">
        <v>0</v>
      </c>
      <c r="W1055" s="12">
        <v>0</v>
      </c>
      <c r="Y1055">
        <v>0</v>
      </c>
    </row>
    <row r="1056" spans="1:25" ht="40" customHeight="1">
      <c r="A1056" s="6" t="s">
        <v>5273</v>
      </c>
      <c r="B1056" s="6" t="s">
        <v>5274</v>
      </c>
      <c r="C1056" s="6" t="s">
        <v>5267</v>
      </c>
      <c r="D1056" s="6" t="s">
        <v>5138</v>
      </c>
      <c r="E1056" s="6" t="s">
        <v>5275</v>
      </c>
      <c r="F1056" s="6"/>
      <c r="G1056" s="6" t="s">
        <v>5269</v>
      </c>
      <c r="H1056" s="6" t="s">
        <v>5270</v>
      </c>
      <c r="I1056" s="6" t="s">
        <v>5184</v>
      </c>
      <c r="J1056" s="6" t="s">
        <v>5271</v>
      </c>
      <c r="K1056" s="6" t="s">
        <v>5276</v>
      </c>
      <c r="L1056" s="6" t="s">
        <v>54</v>
      </c>
      <c r="M1056" s="6" t="s">
        <v>54</v>
      </c>
      <c r="N1056" s="6" t="s">
        <v>5146</v>
      </c>
      <c r="O1056" s="6" t="s">
        <v>5203</v>
      </c>
      <c r="P1056" s="6" t="s">
        <v>5204</v>
      </c>
      <c r="Q1056" s="8">
        <v>85</v>
      </c>
      <c r="R1056" s="8">
        <v>85.254999999999995</v>
      </c>
      <c r="S1056" s="8">
        <v>169.9</v>
      </c>
      <c r="T1056" s="8">
        <v>16</v>
      </c>
      <c r="U1056" s="8"/>
      <c r="V1056" s="8">
        <v>0</v>
      </c>
      <c r="W1056" s="12">
        <v>0</v>
      </c>
      <c r="Y1056">
        <v>0</v>
      </c>
    </row>
    <row r="1057" spans="1:25" ht="40" customHeight="1">
      <c r="A1057" s="6" t="s">
        <v>5277</v>
      </c>
      <c r="B1057" s="6" t="s">
        <v>5278</v>
      </c>
      <c r="C1057" s="6" t="s">
        <v>5267</v>
      </c>
      <c r="D1057" s="6" t="s">
        <v>1809</v>
      </c>
      <c r="E1057" s="6" t="s">
        <v>5279</v>
      </c>
      <c r="F1057" s="6"/>
      <c r="G1057" s="6" t="s">
        <v>5269</v>
      </c>
      <c r="H1057" s="6" t="s">
        <v>5270</v>
      </c>
      <c r="I1057" s="6" t="s">
        <v>5184</v>
      </c>
      <c r="J1057" s="6" t="s">
        <v>5271</v>
      </c>
      <c r="K1057" s="6" t="s">
        <v>5280</v>
      </c>
      <c r="L1057" s="6" t="s">
        <v>54</v>
      </c>
      <c r="M1057" s="6" t="s">
        <v>54</v>
      </c>
      <c r="N1057" s="6" t="s">
        <v>5146</v>
      </c>
      <c r="O1057" s="6" t="s">
        <v>5203</v>
      </c>
      <c r="P1057" s="6" t="s">
        <v>5204</v>
      </c>
      <c r="Q1057" s="8">
        <v>85</v>
      </c>
      <c r="R1057" s="8">
        <v>85.254999999999995</v>
      </c>
      <c r="S1057" s="8">
        <v>169.9</v>
      </c>
      <c r="T1057" s="8">
        <v>16</v>
      </c>
      <c r="U1057" s="8"/>
      <c r="V1057" s="8">
        <v>0</v>
      </c>
      <c r="W1057" s="12">
        <v>0</v>
      </c>
      <c r="Y1057">
        <v>0</v>
      </c>
    </row>
    <row r="1058" spans="1:25" ht="40" customHeight="1">
      <c r="A1058" s="6" t="s">
        <v>5281</v>
      </c>
      <c r="B1058" s="6" t="s">
        <v>5282</v>
      </c>
      <c r="C1058" s="6" t="s">
        <v>5267</v>
      </c>
      <c r="D1058" s="6" t="s">
        <v>1153</v>
      </c>
      <c r="E1058" s="6" t="s">
        <v>5283</v>
      </c>
      <c r="F1058" s="6"/>
      <c r="G1058" s="6" t="s">
        <v>5269</v>
      </c>
      <c r="H1058" s="6" t="s">
        <v>5270</v>
      </c>
      <c r="I1058" s="6" t="s">
        <v>5184</v>
      </c>
      <c r="J1058" s="6" t="s">
        <v>5271</v>
      </c>
      <c r="K1058" s="6" t="s">
        <v>5284</v>
      </c>
      <c r="L1058" s="6" t="s">
        <v>54</v>
      </c>
      <c r="M1058" s="6" t="s">
        <v>54</v>
      </c>
      <c r="N1058" s="6" t="s">
        <v>5146</v>
      </c>
      <c r="O1058" s="6" t="s">
        <v>5203</v>
      </c>
      <c r="P1058" s="6" t="s">
        <v>5204</v>
      </c>
      <c r="Q1058" s="8">
        <v>85</v>
      </c>
      <c r="R1058" s="8">
        <v>85.254999999999995</v>
      </c>
      <c r="S1058" s="8">
        <v>169.9</v>
      </c>
      <c r="T1058" s="8">
        <v>16</v>
      </c>
      <c r="U1058" s="8"/>
      <c r="V1058" s="8">
        <v>0</v>
      </c>
      <c r="W1058" s="12">
        <v>0</v>
      </c>
      <c r="Y1058">
        <v>0</v>
      </c>
    </row>
    <row r="1059" spans="1:25" ht="40" customHeight="1">
      <c r="A1059" s="6" t="s">
        <v>5285</v>
      </c>
      <c r="B1059" s="6" t="s">
        <v>5286</v>
      </c>
      <c r="C1059" s="6" t="s">
        <v>5287</v>
      </c>
      <c r="D1059" s="6" t="s">
        <v>147</v>
      </c>
      <c r="E1059" s="6" t="s">
        <v>5288</v>
      </c>
      <c r="F1059" s="6"/>
      <c r="G1059" s="6" t="s">
        <v>5289</v>
      </c>
      <c r="H1059" s="6" t="s">
        <v>5290</v>
      </c>
      <c r="I1059" s="6" t="s">
        <v>5184</v>
      </c>
      <c r="J1059" s="6" t="s">
        <v>5291</v>
      </c>
      <c r="K1059" s="6" t="s">
        <v>744</v>
      </c>
      <c r="L1059" s="6" t="s">
        <v>5144</v>
      </c>
      <c r="M1059" s="6" t="s">
        <v>5292</v>
      </c>
      <c r="N1059" s="6" t="s">
        <v>5146</v>
      </c>
      <c r="O1059" s="6" t="s">
        <v>5293</v>
      </c>
      <c r="P1059" s="6" t="s">
        <v>5204</v>
      </c>
      <c r="Q1059" s="8">
        <v>75</v>
      </c>
      <c r="R1059" s="8">
        <v>75.224999999999994</v>
      </c>
      <c r="S1059" s="8">
        <v>149.9</v>
      </c>
      <c r="T1059" s="8">
        <v>16</v>
      </c>
      <c r="U1059" s="8"/>
      <c r="V1059" s="8">
        <v>0</v>
      </c>
      <c r="W1059" s="12">
        <v>0</v>
      </c>
      <c r="Y1059">
        <v>0</v>
      </c>
    </row>
    <row r="1060" spans="1:25" ht="40" customHeight="1">
      <c r="A1060" s="6" t="s">
        <v>5294</v>
      </c>
      <c r="B1060" s="6" t="s">
        <v>5295</v>
      </c>
      <c r="C1060" s="6" t="s">
        <v>5287</v>
      </c>
      <c r="D1060" s="6" t="s">
        <v>279</v>
      </c>
      <c r="E1060" s="6" t="s">
        <v>5296</v>
      </c>
      <c r="F1060" s="6"/>
      <c r="G1060" s="6" t="s">
        <v>5289</v>
      </c>
      <c r="H1060" s="6" t="s">
        <v>5290</v>
      </c>
      <c r="I1060" s="6" t="s">
        <v>5184</v>
      </c>
      <c r="J1060" s="6" t="s">
        <v>5291</v>
      </c>
      <c r="K1060" s="6" t="s">
        <v>1335</v>
      </c>
      <c r="L1060" s="6" t="s">
        <v>5144</v>
      </c>
      <c r="M1060" s="6" t="s">
        <v>5292</v>
      </c>
      <c r="N1060" s="6" t="s">
        <v>5146</v>
      </c>
      <c r="O1060" s="6" t="s">
        <v>5293</v>
      </c>
      <c r="P1060" s="6" t="s">
        <v>5204</v>
      </c>
      <c r="Q1060" s="8">
        <v>75</v>
      </c>
      <c r="R1060" s="8">
        <v>75.224999999999994</v>
      </c>
      <c r="S1060" s="8">
        <v>149.9</v>
      </c>
      <c r="T1060" s="8">
        <v>16</v>
      </c>
      <c r="U1060" s="8"/>
      <c r="V1060" s="8">
        <v>0</v>
      </c>
      <c r="W1060" s="12">
        <v>0</v>
      </c>
      <c r="Y1060">
        <v>0</v>
      </c>
    </row>
    <row r="1061" spans="1:25" ht="40" customHeight="1">
      <c r="A1061" s="6" t="s">
        <v>5297</v>
      </c>
      <c r="B1061" s="6" t="s">
        <v>5298</v>
      </c>
      <c r="C1061" s="6" t="s">
        <v>5287</v>
      </c>
      <c r="D1061" s="6" t="s">
        <v>561</v>
      </c>
      <c r="E1061" s="6" t="s">
        <v>5299</v>
      </c>
      <c r="F1061" s="6"/>
      <c r="G1061" s="6" t="s">
        <v>5289</v>
      </c>
      <c r="H1061" s="6" t="s">
        <v>5290</v>
      </c>
      <c r="I1061" s="6" t="s">
        <v>5184</v>
      </c>
      <c r="J1061" s="6" t="s">
        <v>5291</v>
      </c>
      <c r="K1061" s="6" t="s">
        <v>5300</v>
      </c>
      <c r="L1061" s="6" t="s">
        <v>5144</v>
      </c>
      <c r="M1061" s="6" t="s">
        <v>5292</v>
      </c>
      <c r="N1061" s="6" t="s">
        <v>5146</v>
      </c>
      <c r="O1061" s="6" t="s">
        <v>5293</v>
      </c>
      <c r="P1061" s="6" t="s">
        <v>5204</v>
      </c>
      <c r="Q1061" s="8">
        <v>75</v>
      </c>
      <c r="R1061" s="8">
        <v>75.224999999999994</v>
      </c>
      <c r="S1061" s="8">
        <v>149.9</v>
      </c>
      <c r="T1061" s="8">
        <v>16</v>
      </c>
      <c r="U1061" s="8"/>
      <c r="V1061" s="8">
        <v>0</v>
      </c>
      <c r="W1061" s="12">
        <v>0</v>
      </c>
      <c r="Y1061">
        <v>0</v>
      </c>
    </row>
    <row r="1062" spans="1:25" ht="40" customHeight="1">
      <c r="A1062" s="6" t="s">
        <v>5301</v>
      </c>
      <c r="B1062" s="6" t="s">
        <v>5302</v>
      </c>
      <c r="C1062" s="6" t="s">
        <v>5287</v>
      </c>
      <c r="D1062" s="6" t="s">
        <v>1092</v>
      </c>
      <c r="E1062" s="6" t="s">
        <v>5303</v>
      </c>
      <c r="F1062" s="6"/>
      <c r="G1062" s="6" t="s">
        <v>5289</v>
      </c>
      <c r="H1062" s="6" t="s">
        <v>5290</v>
      </c>
      <c r="I1062" s="6" t="s">
        <v>5184</v>
      </c>
      <c r="J1062" s="6" t="s">
        <v>5291</v>
      </c>
      <c r="K1062" s="6" t="s">
        <v>1094</v>
      </c>
      <c r="L1062" s="6" t="s">
        <v>5144</v>
      </c>
      <c r="M1062" s="6" t="s">
        <v>5292</v>
      </c>
      <c r="N1062" s="6" t="s">
        <v>5146</v>
      </c>
      <c r="O1062" s="6" t="s">
        <v>5293</v>
      </c>
      <c r="P1062" s="6" t="s">
        <v>5204</v>
      </c>
      <c r="Q1062" s="8">
        <v>75</v>
      </c>
      <c r="R1062" s="8">
        <v>75.224999999999994</v>
      </c>
      <c r="S1062" s="8">
        <v>149.9</v>
      </c>
      <c r="T1062" s="8">
        <v>16</v>
      </c>
      <c r="U1062" s="8"/>
      <c r="V1062" s="8">
        <v>0</v>
      </c>
      <c r="W1062" s="12">
        <v>0</v>
      </c>
      <c r="Y1062">
        <v>0</v>
      </c>
    </row>
    <row r="1063" spans="1:25" ht="40" customHeight="1">
      <c r="A1063" s="6" t="s">
        <v>5304</v>
      </c>
      <c r="B1063" s="6" t="s">
        <v>5305</v>
      </c>
      <c r="C1063" s="6" t="s">
        <v>5287</v>
      </c>
      <c r="D1063" s="6" t="s">
        <v>711</v>
      </c>
      <c r="E1063" s="6" t="s">
        <v>5306</v>
      </c>
      <c r="F1063" s="6"/>
      <c r="G1063" s="6" t="s">
        <v>5289</v>
      </c>
      <c r="H1063" s="6" t="s">
        <v>5290</v>
      </c>
      <c r="I1063" s="6" t="s">
        <v>5184</v>
      </c>
      <c r="J1063" s="6" t="s">
        <v>5291</v>
      </c>
      <c r="K1063" s="6" t="s">
        <v>5307</v>
      </c>
      <c r="L1063" s="6" t="s">
        <v>5144</v>
      </c>
      <c r="M1063" s="6" t="s">
        <v>5292</v>
      </c>
      <c r="N1063" s="6" t="s">
        <v>5146</v>
      </c>
      <c r="O1063" s="6" t="s">
        <v>5293</v>
      </c>
      <c r="P1063" s="6" t="s">
        <v>5204</v>
      </c>
      <c r="Q1063" s="8">
        <v>75</v>
      </c>
      <c r="R1063" s="8">
        <v>75.224999999999994</v>
      </c>
      <c r="S1063" s="8">
        <v>149.9</v>
      </c>
      <c r="T1063" s="8">
        <v>16</v>
      </c>
      <c r="U1063" s="8"/>
      <c r="V1063" s="8">
        <v>0</v>
      </c>
      <c r="W1063" s="12">
        <v>0</v>
      </c>
      <c r="Y1063">
        <v>0</v>
      </c>
    </row>
    <row r="1064" spans="1:25" ht="40" customHeight="1">
      <c r="A1064" s="6" t="s">
        <v>5308</v>
      </c>
      <c r="B1064" s="6" t="s">
        <v>5309</v>
      </c>
      <c r="C1064" s="6" t="s">
        <v>5310</v>
      </c>
      <c r="D1064" s="6" t="s">
        <v>279</v>
      </c>
      <c r="E1064" s="6" t="s">
        <v>5311</v>
      </c>
      <c r="F1064" s="6"/>
      <c r="G1064" s="6" t="s">
        <v>5289</v>
      </c>
      <c r="H1064" s="6" t="s">
        <v>5290</v>
      </c>
      <c r="I1064" s="6" t="s">
        <v>5141</v>
      </c>
      <c r="J1064" s="6" t="s">
        <v>5312</v>
      </c>
      <c r="K1064" s="6" t="s">
        <v>1335</v>
      </c>
      <c r="L1064" s="6" t="s">
        <v>54</v>
      </c>
      <c r="M1064" s="6" t="s">
        <v>54</v>
      </c>
      <c r="N1064" s="6" t="s">
        <v>5146</v>
      </c>
      <c r="O1064" s="6" t="s">
        <v>5313</v>
      </c>
      <c r="P1064" s="6" t="s">
        <v>5204</v>
      </c>
      <c r="Q1064" s="8">
        <v>65</v>
      </c>
      <c r="R1064" s="8">
        <v>65.194999999999993</v>
      </c>
      <c r="S1064" s="8">
        <v>129.9</v>
      </c>
      <c r="T1064" s="8">
        <v>14</v>
      </c>
      <c r="U1064" s="8"/>
      <c r="V1064" s="8">
        <v>0</v>
      </c>
      <c r="W1064" s="12">
        <v>0</v>
      </c>
      <c r="Y1064">
        <v>0</v>
      </c>
    </row>
    <row r="1065" spans="1:25" ht="40" customHeight="1">
      <c r="A1065" s="6" t="s">
        <v>5314</v>
      </c>
      <c r="B1065" s="6" t="s">
        <v>5315</v>
      </c>
      <c r="C1065" s="6" t="s">
        <v>5310</v>
      </c>
      <c r="D1065" s="6" t="s">
        <v>1092</v>
      </c>
      <c r="E1065" s="6" t="s">
        <v>5316</v>
      </c>
      <c r="F1065" s="6"/>
      <c r="G1065" s="6" t="s">
        <v>5289</v>
      </c>
      <c r="H1065" s="6" t="s">
        <v>5290</v>
      </c>
      <c r="I1065" s="6" t="s">
        <v>5141</v>
      </c>
      <c r="J1065" s="6" t="s">
        <v>5312</v>
      </c>
      <c r="K1065" s="6" t="s">
        <v>1094</v>
      </c>
      <c r="L1065" s="6" t="s">
        <v>54</v>
      </c>
      <c r="M1065" s="6" t="s">
        <v>54</v>
      </c>
      <c r="N1065" s="6" t="s">
        <v>5146</v>
      </c>
      <c r="O1065" s="6" t="s">
        <v>5313</v>
      </c>
      <c r="P1065" s="6" t="s">
        <v>5204</v>
      </c>
      <c r="Q1065" s="8">
        <v>65</v>
      </c>
      <c r="R1065" s="8">
        <v>65.194999999999993</v>
      </c>
      <c r="S1065" s="8">
        <v>129.9</v>
      </c>
      <c r="T1065" s="8">
        <v>14</v>
      </c>
      <c r="U1065" s="8"/>
      <c r="V1065" s="8">
        <v>0</v>
      </c>
      <c r="W1065" s="12">
        <v>0</v>
      </c>
      <c r="Y1065">
        <v>0</v>
      </c>
    </row>
    <row r="1066" spans="1:25" ht="40" customHeight="1">
      <c r="A1066" s="6" t="s">
        <v>5317</v>
      </c>
      <c r="B1066" s="6" t="s">
        <v>5318</v>
      </c>
      <c r="C1066" s="6" t="s">
        <v>5310</v>
      </c>
      <c r="D1066" s="6" t="s">
        <v>711</v>
      </c>
      <c r="E1066" s="6" t="s">
        <v>5319</v>
      </c>
      <c r="F1066" s="6"/>
      <c r="G1066" s="6" t="s">
        <v>5289</v>
      </c>
      <c r="H1066" s="6" t="s">
        <v>5290</v>
      </c>
      <c r="I1066" s="6" t="s">
        <v>5141</v>
      </c>
      <c r="J1066" s="6" t="s">
        <v>5312</v>
      </c>
      <c r="K1066" s="6" t="s">
        <v>5307</v>
      </c>
      <c r="L1066" s="6" t="s">
        <v>54</v>
      </c>
      <c r="M1066" s="6" t="s">
        <v>54</v>
      </c>
      <c r="N1066" s="6" t="s">
        <v>5146</v>
      </c>
      <c r="O1066" s="6" t="s">
        <v>5313</v>
      </c>
      <c r="P1066" s="6" t="s">
        <v>5204</v>
      </c>
      <c r="Q1066" s="8">
        <v>65</v>
      </c>
      <c r="R1066" s="8">
        <v>65.194999999999993</v>
      </c>
      <c r="S1066" s="8">
        <v>129.9</v>
      </c>
      <c r="T1066" s="8">
        <v>14</v>
      </c>
      <c r="U1066" s="8"/>
      <c r="V1066" s="8">
        <v>0</v>
      </c>
      <c r="W1066" s="12">
        <v>0</v>
      </c>
      <c r="Y1066">
        <v>0</v>
      </c>
    </row>
    <row r="1067" spans="1:25" ht="40" customHeight="1">
      <c r="A1067" s="6" t="s">
        <v>5320</v>
      </c>
      <c r="B1067" s="6" t="s">
        <v>5321</v>
      </c>
      <c r="C1067" s="6" t="s">
        <v>5322</v>
      </c>
      <c r="D1067" s="6" t="s">
        <v>1564</v>
      </c>
      <c r="E1067" s="6" t="s">
        <v>5323</v>
      </c>
      <c r="F1067" s="6"/>
      <c r="G1067" s="6" t="s">
        <v>5324</v>
      </c>
      <c r="H1067" s="6" t="s">
        <v>215</v>
      </c>
      <c r="I1067" s="6" t="s">
        <v>5184</v>
      </c>
      <c r="J1067" s="6" t="s">
        <v>5325</v>
      </c>
      <c r="K1067" s="6" t="s">
        <v>5326</v>
      </c>
      <c r="L1067" s="6" t="s">
        <v>5144</v>
      </c>
      <c r="M1067" s="6" t="s">
        <v>5327</v>
      </c>
      <c r="N1067" s="6" t="s">
        <v>5146</v>
      </c>
      <c r="O1067" s="6" t="s">
        <v>5203</v>
      </c>
      <c r="P1067" s="6" t="s">
        <v>5204</v>
      </c>
      <c r="Q1067" s="8">
        <v>85</v>
      </c>
      <c r="R1067" s="8">
        <v>85.254999999999995</v>
      </c>
      <c r="S1067" s="8">
        <v>169.9</v>
      </c>
      <c r="T1067" s="8">
        <v>16</v>
      </c>
      <c r="U1067" s="8"/>
      <c r="V1067" s="8">
        <v>0</v>
      </c>
      <c r="W1067" s="12">
        <v>0</v>
      </c>
      <c r="Y1067">
        <v>0</v>
      </c>
    </row>
    <row r="1068" spans="1:25" ht="40" customHeight="1">
      <c r="A1068" s="6" t="s">
        <v>5328</v>
      </c>
      <c r="B1068" s="6" t="s">
        <v>5329</v>
      </c>
      <c r="C1068" s="6" t="s">
        <v>5322</v>
      </c>
      <c r="D1068" s="6" t="s">
        <v>195</v>
      </c>
      <c r="E1068" s="6" t="s">
        <v>5330</v>
      </c>
      <c r="F1068" s="6"/>
      <c r="G1068" s="6" t="s">
        <v>5324</v>
      </c>
      <c r="H1068" s="6" t="s">
        <v>215</v>
      </c>
      <c r="I1068" s="6" t="s">
        <v>5184</v>
      </c>
      <c r="J1068" s="6" t="s">
        <v>5325</v>
      </c>
      <c r="K1068" s="6" t="s">
        <v>5331</v>
      </c>
      <c r="L1068" s="6" t="s">
        <v>5144</v>
      </c>
      <c r="M1068" s="6" t="s">
        <v>5327</v>
      </c>
      <c r="N1068" s="6" t="s">
        <v>5146</v>
      </c>
      <c r="O1068" s="6" t="s">
        <v>5203</v>
      </c>
      <c r="P1068" s="6" t="s">
        <v>5204</v>
      </c>
      <c r="Q1068" s="8">
        <v>85</v>
      </c>
      <c r="R1068" s="8">
        <v>85.254999999999995</v>
      </c>
      <c r="S1068" s="8">
        <v>169.9</v>
      </c>
      <c r="T1068" s="8">
        <v>16</v>
      </c>
      <c r="U1068" s="8"/>
      <c r="V1068" s="8">
        <v>0</v>
      </c>
      <c r="W1068" s="12">
        <v>0</v>
      </c>
      <c r="Y1068">
        <v>0</v>
      </c>
    </row>
    <row r="1069" spans="1:25" ht="40" customHeight="1">
      <c r="A1069" s="6" t="s">
        <v>5332</v>
      </c>
      <c r="B1069" s="6" t="s">
        <v>5333</v>
      </c>
      <c r="C1069" s="6" t="s">
        <v>5322</v>
      </c>
      <c r="D1069" s="6" t="s">
        <v>5334</v>
      </c>
      <c r="E1069" s="6" t="s">
        <v>5335</v>
      </c>
      <c r="F1069" s="6"/>
      <c r="G1069" s="6" t="s">
        <v>5324</v>
      </c>
      <c r="H1069" s="6" t="s">
        <v>215</v>
      </c>
      <c r="I1069" s="6" t="s">
        <v>5184</v>
      </c>
      <c r="J1069" s="6" t="s">
        <v>5325</v>
      </c>
      <c r="K1069" s="6" t="s">
        <v>5336</v>
      </c>
      <c r="L1069" s="6" t="s">
        <v>5144</v>
      </c>
      <c r="M1069" s="6" t="s">
        <v>5327</v>
      </c>
      <c r="N1069" s="6" t="s">
        <v>5146</v>
      </c>
      <c r="O1069" s="6" t="s">
        <v>5203</v>
      </c>
      <c r="P1069" s="6" t="s">
        <v>5204</v>
      </c>
      <c r="Q1069" s="8">
        <v>85</v>
      </c>
      <c r="R1069" s="8">
        <v>85.254999999999995</v>
      </c>
      <c r="S1069" s="8">
        <v>169.9</v>
      </c>
      <c r="T1069" s="8">
        <v>16</v>
      </c>
      <c r="U1069" s="8"/>
      <c r="V1069" s="8">
        <v>0</v>
      </c>
      <c r="W1069" s="12">
        <v>0</v>
      </c>
      <c r="Y1069">
        <v>0</v>
      </c>
    </row>
    <row r="1070" spans="1:25" ht="40" customHeight="1">
      <c r="A1070" s="6" t="s">
        <v>5337</v>
      </c>
      <c r="B1070" s="6" t="s">
        <v>5338</v>
      </c>
      <c r="C1070" s="6" t="s">
        <v>5339</v>
      </c>
      <c r="D1070" s="6" t="s">
        <v>1564</v>
      </c>
      <c r="E1070" s="6" t="s">
        <v>5340</v>
      </c>
      <c r="F1070" s="6"/>
      <c r="G1070" s="6" t="s">
        <v>5341</v>
      </c>
      <c r="H1070" s="6" t="s">
        <v>5342</v>
      </c>
      <c r="I1070" s="6" t="s">
        <v>5184</v>
      </c>
      <c r="J1070" s="6" t="s">
        <v>5343</v>
      </c>
      <c r="K1070" s="6" t="s">
        <v>5326</v>
      </c>
      <c r="L1070" s="6" t="s">
        <v>5344</v>
      </c>
      <c r="M1070" s="6" t="s">
        <v>5345</v>
      </c>
      <c r="N1070" s="6" t="s">
        <v>5146</v>
      </c>
      <c r="O1070" s="6" t="s">
        <v>5346</v>
      </c>
      <c r="P1070" s="6" t="s">
        <v>2932</v>
      </c>
      <c r="Q1070" s="8">
        <v>115</v>
      </c>
      <c r="R1070" s="8">
        <v>115.345</v>
      </c>
      <c r="S1070" s="8">
        <v>229.9</v>
      </c>
      <c r="T1070" s="8">
        <v>16</v>
      </c>
      <c r="U1070" s="8"/>
      <c r="V1070" s="8">
        <v>0</v>
      </c>
      <c r="W1070" s="12">
        <v>0</v>
      </c>
      <c r="Y1070">
        <v>0</v>
      </c>
    </row>
    <row r="1071" spans="1:25" ht="40" customHeight="1">
      <c r="A1071" s="6" t="s">
        <v>5347</v>
      </c>
      <c r="B1071" s="6" t="s">
        <v>5348</v>
      </c>
      <c r="C1071" s="6" t="s">
        <v>5339</v>
      </c>
      <c r="D1071" s="6" t="s">
        <v>882</v>
      </c>
      <c r="E1071" s="6" t="s">
        <v>5349</v>
      </c>
      <c r="F1071" s="6"/>
      <c r="G1071" s="6" t="s">
        <v>5341</v>
      </c>
      <c r="H1071" s="6" t="s">
        <v>5342</v>
      </c>
      <c r="I1071" s="6" t="s">
        <v>5184</v>
      </c>
      <c r="J1071" s="6" t="s">
        <v>5343</v>
      </c>
      <c r="K1071" s="6" t="s">
        <v>5350</v>
      </c>
      <c r="L1071" s="6" t="s">
        <v>5344</v>
      </c>
      <c r="M1071" s="6" t="s">
        <v>5345</v>
      </c>
      <c r="N1071" s="6" t="s">
        <v>5146</v>
      </c>
      <c r="O1071" s="6" t="s">
        <v>5346</v>
      </c>
      <c r="P1071" s="6" t="s">
        <v>2932</v>
      </c>
      <c r="Q1071" s="8">
        <v>115</v>
      </c>
      <c r="R1071" s="8">
        <v>115.345</v>
      </c>
      <c r="S1071" s="8">
        <v>229.9</v>
      </c>
      <c r="T1071" s="8">
        <v>16</v>
      </c>
      <c r="U1071" s="8"/>
      <c r="V1071" s="8">
        <v>0</v>
      </c>
      <c r="W1071" s="12">
        <v>0</v>
      </c>
      <c r="Y1071">
        <v>0</v>
      </c>
    </row>
    <row r="1072" spans="1:25" ht="40" customHeight="1">
      <c r="A1072" s="6" t="s">
        <v>5351</v>
      </c>
      <c r="B1072" s="6" t="s">
        <v>5352</v>
      </c>
      <c r="C1072" s="6" t="s">
        <v>5339</v>
      </c>
      <c r="D1072" s="6" t="s">
        <v>1092</v>
      </c>
      <c r="E1072" s="6" t="s">
        <v>5353</v>
      </c>
      <c r="F1072" s="6"/>
      <c r="G1072" s="6" t="s">
        <v>5341</v>
      </c>
      <c r="H1072" s="6" t="s">
        <v>5342</v>
      </c>
      <c r="I1072" s="6" t="s">
        <v>5184</v>
      </c>
      <c r="J1072" s="6" t="s">
        <v>5343</v>
      </c>
      <c r="K1072" s="6" t="s">
        <v>5354</v>
      </c>
      <c r="L1072" s="6" t="s">
        <v>5344</v>
      </c>
      <c r="M1072" s="6" t="s">
        <v>5345</v>
      </c>
      <c r="N1072" s="6" t="s">
        <v>5146</v>
      </c>
      <c r="O1072" s="6" t="s">
        <v>5346</v>
      </c>
      <c r="P1072" s="6" t="s">
        <v>2932</v>
      </c>
      <c r="Q1072" s="8">
        <v>115</v>
      </c>
      <c r="R1072" s="8">
        <v>115.345</v>
      </c>
      <c r="S1072" s="8">
        <v>229.9</v>
      </c>
      <c r="T1072" s="8">
        <v>16</v>
      </c>
      <c r="U1072" s="8"/>
      <c r="V1072" s="8">
        <v>0</v>
      </c>
      <c r="W1072" s="12">
        <v>0</v>
      </c>
      <c r="Y1072">
        <v>0</v>
      </c>
    </row>
    <row r="1073" spans="1:25" ht="40" customHeight="1">
      <c r="A1073" s="6" t="s">
        <v>5355</v>
      </c>
      <c r="B1073" s="6" t="s">
        <v>5356</v>
      </c>
      <c r="C1073" s="6" t="s">
        <v>5339</v>
      </c>
      <c r="D1073" s="6" t="s">
        <v>74</v>
      </c>
      <c r="E1073" s="6" t="s">
        <v>5357</v>
      </c>
      <c r="F1073" s="6"/>
      <c r="G1073" s="6" t="s">
        <v>5341</v>
      </c>
      <c r="H1073" s="6" t="s">
        <v>5342</v>
      </c>
      <c r="I1073" s="6" t="s">
        <v>5184</v>
      </c>
      <c r="J1073" s="6" t="s">
        <v>5343</v>
      </c>
      <c r="K1073" s="6" t="s">
        <v>1150</v>
      </c>
      <c r="L1073" s="6" t="s">
        <v>5344</v>
      </c>
      <c r="M1073" s="6" t="s">
        <v>5345</v>
      </c>
      <c r="N1073" s="6" t="s">
        <v>5146</v>
      </c>
      <c r="O1073" s="6" t="s">
        <v>5346</v>
      </c>
      <c r="P1073" s="6" t="s">
        <v>2932</v>
      </c>
      <c r="Q1073" s="8">
        <v>115</v>
      </c>
      <c r="R1073" s="8">
        <v>115.345</v>
      </c>
      <c r="S1073" s="8">
        <v>229.9</v>
      </c>
      <c r="T1073" s="8">
        <v>16</v>
      </c>
      <c r="U1073" s="8"/>
      <c r="V1073" s="8">
        <v>0</v>
      </c>
      <c r="W1073" s="12">
        <v>0</v>
      </c>
      <c r="Y1073">
        <v>0</v>
      </c>
    </row>
    <row r="1074" spans="1:25" ht="40" customHeight="1">
      <c r="A1074" s="6" t="s">
        <v>5358</v>
      </c>
      <c r="B1074" s="6" t="s">
        <v>5359</v>
      </c>
      <c r="C1074" s="6" t="s">
        <v>5339</v>
      </c>
      <c r="D1074" s="6" t="s">
        <v>126</v>
      </c>
      <c r="E1074" s="6" t="s">
        <v>5360</v>
      </c>
      <c r="F1074" s="6"/>
      <c r="G1074" s="6" t="s">
        <v>5341</v>
      </c>
      <c r="H1074" s="6" t="s">
        <v>5342</v>
      </c>
      <c r="I1074" s="6" t="s">
        <v>5184</v>
      </c>
      <c r="J1074" s="6" t="s">
        <v>5343</v>
      </c>
      <c r="K1074" s="6" t="s">
        <v>5361</v>
      </c>
      <c r="L1074" s="6" t="s">
        <v>5344</v>
      </c>
      <c r="M1074" s="6" t="s">
        <v>5345</v>
      </c>
      <c r="N1074" s="6" t="s">
        <v>5146</v>
      </c>
      <c r="O1074" s="6" t="s">
        <v>5346</v>
      </c>
      <c r="P1074" s="6" t="s">
        <v>2932</v>
      </c>
      <c r="Q1074" s="8">
        <v>115</v>
      </c>
      <c r="R1074" s="8">
        <v>115.345</v>
      </c>
      <c r="S1074" s="8">
        <v>229.9</v>
      </c>
      <c r="T1074" s="8">
        <v>16</v>
      </c>
      <c r="U1074" s="8"/>
      <c r="V1074" s="8">
        <v>0</v>
      </c>
      <c r="W1074" s="12">
        <v>0</v>
      </c>
      <c r="Y1074">
        <v>0</v>
      </c>
    </row>
    <row r="1075" spans="1:25" ht="40" customHeight="1">
      <c r="A1075" s="6" t="s">
        <v>5362</v>
      </c>
      <c r="B1075" s="6" t="s">
        <v>5363</v>
      </c>
      <c r="C1075" s="6" t="s">
        <v>5364</v>
      </c>
      <c r="D1075" s="6" t="s">
        <v>5365</v>
      </c>
      <c r="E1075" s="6" t="s">
        <v>5366</v>
      </c>
      <c r="F1075" s="6"/>
      <c r="G1075" s="6" t="s">
        <v>5367</v>
      </c>
      <c r="H1075" s="6" t="s">
        <v>5368</v>
      </c>
      <c r="I1075" s="6" t="s">
        <v>5184</v>
      </c>
      <c r="J1075" s="6" t="s">
        <v>5369</v>
      </c>
      <c r="K1075" s="6" t="s">
        <v>5370</v>
      </c>
      <c r="L1075" s="6" t="s">
        <v>5144</v>
      </c>
      <c r="M1075" s="6" t="s">
        <v>5371</v>
      </c>
      <c r="N1075" s="6" t="s">
        <v>5146</v>
      </c>
      <c r="O1075" s="6" t="s">
        <v>5203</v>
      </c>
      <c r="P1075" s="6" t="s">
        <v>5204</v>
      </c>
      <c r="Q1075" s="8">
        <v>75</v>
      </c>
      <c r="R1075" s="8">
        <v>75.224999999999994</v>
      </c>
      <c r="S1075" s="8">
        <v>149.9</v>
      </c>
      <c r="T1075" s="8">
        <v>16</v>
      </c>
      <c r="U1075" s="8"/>
      <c r="V1075" s="8">
        <v>0</v>
      </c>
      <c r="W1075" s="12">
        <v>0</v>
      </c>
      <c r="Y1075">
        <v>0</v>
      </c>
    </row>
    <row r="1076" spans="1:25" ht="40" customHeight="1">
      <c r="A1076" s="6" t="s">
        <v>5372</v>
      </c>
      <c r="B1076" s="6" t="s">
        <v>5373</v>
      </c>
      <c r="C1076" s="6" t="s">
        <v>5364</v>
      </c>
      <c r="D1076" s="6" t="s">
        <v>1564</v>
      </c>
      <c r="E1076" s="6" t="s">
        <v>5374</v>
      </c>
      <c r="F1076" s="6"/>
      <c r="G1076" s="6" t="s">
        <v>5367</v>
      </c>
      <c r="H1076" s="6" t="s">
        <v>5368</v>
      </c>
      <c r="I1076" s="6" t="s">
        <v>5184</v>
      </c>
      <c r="J1076" s="6" t="s">
        <v>5369</v>
      </c>
      <c r="K1076" s="6" t="s">
        <v>5375</v>
      </c>
      <c r="L1076" s="6" t="s">
        <v>5144</v>
      </c>
      <c r="M1076" s="6" t="s">
        <v>5371</v>
      </c>
      <c r="N1076" s="6" t="s">
        <v>5146</v>
      </c>
      <c r="O1076" s="6" t="s">
        <v>5203</v>
      </c>
      <c r="P1076" s="6" t="s">
        <v>5204</v>
      </c>
      <c r="Q1076" s="8">
        <v>75</v>
      </c>
      <c r="R1076" s="8">
        <v>75.224999999999994</v>
      </c>
      <c r="S1076" s="8">
        <v>149.9</v>
      </c>
      <c r="T1076" s="8">
        <v>16</v>
      </c>
      <c r="U1076" s="8"/>
      <c r="V1076" s="8">
        <v>0</v>
      </c>
      <c r="W1076" s="12">
        <v>0</v>
      </c>
      <c r="Y1076">
        <v>0</v>
      </c>
    </row>
    <row r="1077" spans="1:25" ht="40" customHeight="1">
      <c r="A1077" s="6" t="s">
        <v>5376</v>
      </c>
      <c r="B1077" s="6" t="s">
        <v>5377</v>
      </c>
      <c r="C1077" s="6" t="s">
        <v>5364</v>
      </c>
      <c r="D1077" s="6" t="s">
        <v>5181</v>
      </c>
      <c r="E1077" s="6" t="s">
        <v>5378</v>
      </c>
      <c r="F1077" s="6"/>
      <c r="G1077" s="6" t="s">
        <v>5367</v>
      </c>
      <c r="H1077" s="6" t="s">
        <v>5368</v>
      </c>
      <c r="I1077" s="6" t="s">
        <v>5184</v>
      </c>
      <c r="J1077" s="6" t="s">
        <v>5369</v>
      </c>
      <c r="K1077" s="6" t="s">
        <v>5379</v>
      </c>
      <c r="L1077" s="6" t="s">
        <v>5144</v>
      </c>
      <c r="M1077" s="6" t="s">
        <v>5371</v>
      </c>
      <c r="N1077" s="6" t="s">
        <v>5146</v>
      </c>
      <c r="O1077" s="6" t="s">
        <v>5203</v>
      </c>
      <c r="P1077" s="6" t="s">
        <v>5204</v>
      </c>
      <c r="Q1077" s="8">
        <v>75</v>
      </c>
      <c r="R1077" s="8">
        <v>75.224999999999994</v>
      </c>
      <c r="S1077" s="8">
        <v>149.9</v>
      </c>
      <c r="T1077" s="8">
        <v>16</v>
      </c>
      <c r="U1077" s="8"/>
      <c r="V1077" s="8">
        <v>0</v>
      </c>
      <c r="W1077" s="12">
        <v>0</v>
      </c>
      <c r="Y1077">
        <v>0</v>
      </c>
    </row>
    <row r="1078" spans="1:25" ht="40" customHeight="1">
      <c r="A1078" s="6" t="s">
        <v>5380</v>
      </c>
      <c r="B1078" s="6" t="s">
        <v>5381</v>
      </c>
      <c r="C1078" s="6" t="s">
        <v>5364</v>
      </c>
      <c r="D1078" s="6" t="s">
        <v>1809</v>
      </c>
      <c r="E1078" s="6" t="s">
        <v>5382</v>
      </c>
      <c r="F1078" s="6"/>
      <c r="G1078" s="6" t="s">
        <v>5367</v>
      </c>
      <c r="H1078" s="6" t="s">
        <v>5368</v>
      </c>
      <c r="I1078" s="6" t="s">
        <v>5184</v>
      </c>
      <c r="J1078" s="6" t="s">
        <v>5369</v>
      </c>
      <c r="K1078" s="6" t="s">
        <v>5383</v>
      </c>
      <c r="L1078" s="6" t="s">
        <v>5144</v>
      </c>
      <c r="M1078" s="6" t="s">
        <v>5371</v>
      </c>
      <c r="N1078" s="6" t="s">
        <v>5146</v>
      </c>
      <c r="O1078" s="6" t="s">
        <v>5203</v>
      </c>
      <c r="P1078" s="6" t="s">
        <v>5204</v>
      </c>
      <c r="Q1078" s="8">
        <v>75</v>
      </c>
      <c r="R1078" s="8">
        <v>75.224999999999994</v>
      </c>
      <c r="S1078" s="8">
        <v>149.9</v>
      </c>
      <c r="T1078" s="8">
        <v>16</v>
      </c>
      <c r="U1078" s="8"/>
      <c r="V1078" s="8">
        <v>0</v>
      </c>
      <c r="W1078" s="12">
        <v>0</v>
      </c>
      <c r="Y1078">
        <v>0</v>
      </c>
    </row>
    <row r="1079" spans="1:25" ht="40" customHeight="1">
      <c r="A1079" s="6" t="s">
        <v>5384</v>
      </c>
      <c r="B1079" s="6" t="s">
        <v>5385</v>
      </c>
      <c r="C1079" s="6" t="s">
        <v>5386</v>
      </c>
      <c r="D1079" s="6" t="s">
        <v>5365</v>
      </c>
      <c r="E1079" s="6" t="s">
        <v>5387</v>
      </c>
      <c r="F1079" s="6"/>
      <c r="G1079" s="6" t="s">
        <v>5367</v>
      </c>
      <c r="H1079" s="6" t="s">
        <v>5368</v>
      </c>
      <c r="I1079" s="6" t="s">
        <v>5141</v>
      </c>
      <c r="J1079" s="6" t="s">
        <v>5369</v>
      </c>
      <c r="K1079" s="6" t="s">
        <v>5370</v>
      </c>
      <c r="L1079" s="6" t="s">
        <v>5144</v>
      </c>
      <c r="M1079" s="6" t="s">
        <v>5371</v>
      </c>
      <c r="N1079" s="6" t="s">
        <v>5146</v>
      </c>
      <c r="O1079" s="6" t="s">
        <v>5203</v>
      </c>
      <c r="P1079" s="6" t="s">
        <v>5204</v>
      </c>
      <c r="Q1079" s="8">
        <v>75</v>
      </c>
      <c r="R1079" s="8">
        <v>75.224999999999994</v>
      </c>
      <c r="S1079" s="8">
        <v>149.9</v>
      </c>
      <c r="T1079" s="8">
        <v>14</v>
      </c>
      <c r="U1079" s="8"/>
      <c r="V1079" s="8">
        <v>0</v>
      </c>
      <c r="W1079" s="12">
        <v>0</v>
      </c>
      <c r="Y1079">
        <v>0</v>
      </c>
    </row>
    <row r="1080" spans="1:25" ht="40" customHeight="1">
      <c r="A1080" s="6" t="s">
        <v>5388</v>
      </c>
      <c r="B1080" s="6" t="s">
        <v>5389</v>
      </c>
      <c r="C1080" s="6" t="s">
        <v>5386</v>
      </c>
      <c r="D1080" s="6" t="s">
        <v>5181</v>
      </c>
      <c r="E1080" s="6" t="s">
        <v>5390</v>
      </c>
      <c r="F1080" s="6"/>
      <c r="G1080" s="6" t="s">
        <v>5367</v>
      </c>
      <c r="H1080" s="6" t="s">
        <v>5368</v>
      </c>
      <c r="I1080" s="6" t="s">
        <v>5141</v>
      </c>
      <c r="J1080" s="6" t="s">
        <v>5369</v>
      </c>
      <c r="K1080" s="6" t="s">
        <v>5391</v>
      </c>
      <c r="L1080" s="6" t="s">
        <v>5144</v>
      </c>
      <c r="M1080" s="6" t="s">
        <v>5371</v>
      </c>
      <c r="N1080" s="6" t="s">
        <v>5146</v>
      </c>
      <c r="O1080" s="6" t="s">
        <v>5203</v>
      </c>
      <c r="P1080" s="6" t="s">
        <v>5204</v>
      </c>
      <c r="Q1080" s="8">
        <v>75</v>
      </c>
      <c r="R1080" s="8">
        <v>75.224999999999994</v>
      </c>
      <c r="S1080" s="8">
        <v>149.9</v>
      </c>
      <c r="T1080" s="8">
        <v>14</v>
      </c>
      <c r="U1080" s="8"/>
      <c r="V1080" s="8">
        <v>0</v>
      </c>
      <c r="W1080" s="12">
        <v>0</v>
      </c>
      <c r="Y1080">
        <v>0</v>
      </c>
    </row>
    <row r="1081" spans="1:25" ht="40" customHeight="1">
      <c r="A1081" s="6" t="s">
        <v>5392</v>
      </c>
      <c r="B1081" s="6" t="s">
        <v>5393</v>
      </c>
      <c r="C1081" s="6" t="s">
        <v>5386</v>
      </c>
      <c r="D1081" s="6" t="s">
        <v>1809</v>
      </c>
      <c r="E1081" s="6" t="s">
        <v>5394</v>
      </c>
      <c r="F1081" s="6"/>
      <c r="G1081" s="6" t="s">
        <v>5367</v>
      </c>
      <c r="H1081" s="6" t="s">
        <v>5368</v>
      </c>
      <c r="I1081" s="6" t="s">
        <v>5141</v>
      </c>
      <c r="J1081" s="6" t="s">
        <v>5369</v>
      </c>
      <c r="K1081" s="6" t="s">
        <v>5395</v>
      </c>
      <c r="L1081" s="6" t="s">
        <v>5144</v>
      </c>
      <c r="M1081" s="6" t="s">
        <v>5371</v>
      </c>
      <c r="N1081" s="6" t="s">
        <v>5146</v>
      </c>
      <c r="O1081" s="6" t="s">
        <v>5203</v>
      </c>
      <c r="P1081" s="6" t="s">
        <v>5204</v>
      </c>
      <c r="Q1081" s="8">
        <v>75</v>
      </c>
      <c r="R1081" s="8">
        <v>75.224999999999994</v>
      </c>
      <c r="S1081" s="8">
        <v>149.9</v>
      </c>
      <c r="T1081" s="8">
        <v>14</v>
      </c>
      <c r="U1081" s="8"/>
      <c r="V1081" s="8">
        <v>0</v>
      </c>
      <c r="W1081" s="12">
        <v>0</v>
      </c>
      <c r="Y1081">
        <v>0</v>
      </c>
    </row>
    <row r="1082" spans="1:25" ht="40" customHeight="1">
      <c r="A1082" s="6" t="s">
        <v>5396</v>
      </c>
      <c r="B1082" s="6" t="s">
        <v>5397</v>
      </c>
      <c r="C1082" s="6" t="s">
        <v>5398</v>
      </c>
      <c r="D1082" s="6" t="s">
        <v>5192</v>
      </c>
      <c r="E1082" s="6" t="s">
        <v>5399</v>
      </c>
      <c r="F1082" s="6"/>
      <c r="G1082" s="6" t="s">
        <v>5400</v>
      </c>
      <c r="H1082" s="6" t="s">
        <v>5401</v>
      </c>
      <c r="I1082" s="6" t="s">
        <v>5184</v>
      </c>
      <c r="J1082" s="6" t="s">
        <v>5402</v>
      </c>
      <c r="K1082" s="6" t="s">
        <v>5403</v>
      </c>
      <c r="L1082" s="6" t="s">
        <v>54</v>
      </c>
      <c r="M1082" s="6" t="s">
        <v>54</v>
      </c>
      <c r="N1082" s="6" t="s">
        <v>5146</v>
      </c>
      <c r="O1082" s="6" t="s">
        <v>5404</v>
      </c>
      <c r="P1082" s="6" t="s">
        <v>5405</v>
      </c>
      <c r="Q1082" s="8">
        <v>100</v>
      </c>
      <c r="R1082" s="8">
        <v>100.3</v>
      </c>
      <c r="S1082" s="8">
        <v>199.9</v>
      </c>
      <c r="T1082" s="8">
        <v>16</v>
      </c>
      <c r="U1082" s="8"/>
      <c r="V1082" s="8">
        <v>0</v>
      </c>
      <c r="W1082" s="12">
        <v>0</v>
      </c>
      <c r="Y1082">
        <v>0</v>
      </c>
    </row>
    <row r="1083" spans="1:25" ht="40" customHeight="1">
      <c r="A1083" s="6" t="s">
        <v>5406</v>
      </c>
      <c r="B1083" s="6" t="s">
        <v>5407</v>
      </c>
      <c r="C1083" s="6" t="s">
        <v>5398</v>
      </c>
      <c r="D1083" s="6" t="s">
        <v>5138</v>
      </c>
      <c r="E1083" s="6" t="s">
        <v>5408</v>
      </c>
      <c r="F1083" s="6"/>
      <c r="G1083" s="6" t="s">
        <v>5400</v>
      </c>
      <c r="H1083" s="6" t="s">
        <v>5401</v>
      </c>
      <c r="I1083" s="6" t="s">
        <v>5184</v>
      </c>
      <c r="J1083" s="6" t="s">
        <v>5402</v>
      </c>
      <c r="K1083" s="6" t="s">
        <v>5409</v>
      </c>
      <c r="L1083" s="6" t="s">
        <v>54</v>
      </c>
      <c r="M1083" s="6" t="s">
        <v>54</v>
      </c>
      <c r="N1083" s="6" t="s">
        <v>5146</v>
      </c>
      <c r="O1083" s="6" t="s">
        <v>5404</v>
      </c>
      <c r="P1083" s="6" t="s">
        <v>5405</v>
      </c>
      <c r="Q1083" s="8">
        <v>100</v>
      </c>
      <c r="R1083" s="8">
        <v>100.3</v>
      </c>
      <c r="S1083" s="8">
        <v>199.9</v>
      </c>
      <c r="T1083" s="8">
        <v>16</v>
      </c>
      <c r="U1083" s="8"/>
      <c r="V1083" s="8">
        <v>0</v>
      </c>
      <c r="W1083" s="12">
        <v>0</v>
      </c>
      <c r="Y1083">
        <v>0</v>
      </c>
    </row>
    <row r="1084" spans="1:25" ht="40" customHeight="1">
      <c r="A1084" s="6" t="s">
        <v>5410</v>
      </c>
      <c r="B1084" s="6" t="s">
        <v>5411</v>
      </c>
      <c r="C1084" s="6" t="s">
        <v>5398</v>
      </c>
      <c r="D1084" s="6" t="s">
        <v>1809</v>
      </c>
      <c r="E1084" s="6" t="s">
        <v>5412</v>
      </c>
      <c r="F1084" s="6"/>
      <c r="G1084" s="6" t="s">
        <v>5400</v>
      </c>
      <c r="H1084" s="6" t="s">
        <v>5401</v>
      </c>
      <c r="I1084" s="6" t="s">
        <v>5184</v>
      </c>
      <c r="J1084" s="6" t="s">
        <v>5402</v>
      </c>
      <c r="K1084" s="6" t="s">
        <v>5280</v>
      </c>
      <c r="L1084" s="6" t="s">
        <v>54</v>
      </c>
      <c r="M1084" s="6" t="s">
        <v>54</v>
      </c>
      <c r="N1084" s="6" t="s">
        <v>5146</v>
      </c>
      <c r="O1084" s="6" t="s">
        <v>5404</v>
      </c>
      <c r="P1084" s="6" t="s">
        <v>5405</v>
      </c>
      <c r="Q1084" s="8">
        <v>100</v>
      </c>
      <c r="R1084" s="8">
        <v>100.3</v>
      </c>
      <c r="S1084" s="8">
        <v>199.9</v>
      </c>
      <c r="T1084" s="8">
        <v>16</v>
      </c>
      <c r="U1084" s="8"/>
      <c r="V1084" s="8">
        <v>0</v>
      </c>
      <c r="W1084" s="12">
        <v>0</v>
      </c>
      <c r="Y1084">
        <v>0</v>
      </c>
    </row>
    <row r="1085" spans="1:25" ht="40" customHeight="1">
      <c r="A1085" s="6" t="s">
        <v>5413</v>
      </c>
      <c r="B1085" s="6" t="s">
        <v>5414</v>
      </c>
      <c r="C1085" s="6" t="s">
        <v>5415</v>
      </c>
      <c r="D1085" s="6" t="s">
        <v>147</v>
      </c>
      <c r="E1085" s="6" t="s">
        <v>5416</v>
      </c>
      <c r="F1085" s="6"/>
      <c r="G1085" s="6" t="s">
        <v>5417</v>
      </c>
      <c r="H1085" s="6" t="s">
        <v>215</v>
      </c>
      <c r="I1085" s="6" t="s">
        <v>5184</v>
      </c>
      <c r="J1085" s="6" t="s">
        <v>5418</v>
      </c>
      <c r="K1085" s="6" t="s">
        <v>5419</v>
      </c>
      <c r="L1085" s="6" t="s">
        <v>5420</v>
      </c>
      <c r="M1085" s="6" t="s">
        <v>5421</v>
      </c>
      <c r="N1085" s="6" t="s">
        <v>5146</v>
      </c>
      <c r="O1085" s="6" t="s">
        <v>5422</v>
      </c>
      <c r="P1085" s="6"/>
      <c r="Q1085" s="8">
        <v>80</v>
      </c>
      <c r="R1085" s="8">
        <v>80.239999999999995</v>
      </c>
      <c r="S1085" s="8">
        <v>159.9</v>
      </c>
      <c r="T1085" s="8">
        <v>16</v>
      </c>
      <c r="U1085" s="8"/>
      <c r="V1085" s="8">
        <v>0</v>
      </c>
      <c r="W1085" s="12">
        <v>0</v>
      </c>
      <c r="Y1085">
        <v>0</v>
      </c>
    </row>
    <row r="1086" spans="1:25" ht="40" customHeight="1">
      <c r="A1086" s="6" t="s">
        <v>5423</v>
      </c>
      <c r="B1086" s="6" t="s">
        <v>5424</v>
      </c>
      <c r="C1086" s="6" t="s">
        <v>5415</v>
      </c>
      <c r="D1086" s="6" t="s">
        <v>5425</v>
      </c>
      <c r="E1086" s="6" t="s">
        <v>5426</v>
      </c>
      <c r="F1086" s="6"/>
      <c r="G1086" s="6" t="s">
        <v>5417</v>
      </c>
      <c r="H1086" s="6" t="s">
        <v>215</v>
      </c>
      <c r="I1086" s="6" t="s">
        <v>5184</v>
      </c>
      <c r="J1086" s="6" t="s">
        <v>5418</v>
      </c>
      <c r="K1086" s="6" t="s">
        <v>5300</v>
      </c>
      <c r="L1086" s="6" t="s">
        <v>5420</v>
      </c>
      <c r="M1086" s="6" t="s">
        <v>5421</v>
      </c>
      <c r="N1086" s="6" t="s">
        <v>5146</v>
      </c>
      <c r="O1086" s="6" t="s">
        <v>5422</v>
      </c>
      <c r="P1086" s="6"/>
      <c r="Q1086" s="8">
        <v>80</v>
      </c>
      <c r="R1086" s="8">
        <v>80.239999999999995</v>
      </c>
      <c r="S1086" s="8">
        <v>159.9</v>
      </c>
      <c r="T1086" s="8">
        <v>16</v>
      </c>
      <c r="U1086" s="8"/>
      <c r="V1086" s="8">
        <v>0</v>
      </c>
      <c r="W1086" s="12">
        <v>0</v>
      </c>
      <c r="Y1086">
        <v>0</v>
      </c>
    </row>
    <row r="1087" spans="1:25" ht="40" customHeight="1">
      <c r="A1087" s="6" t="s">
        <v>5427</v>
      </c>
      <c r="B1087" s="6" t="s">
        <v>5428</v>
      </c>
      <c r="C1087" s="6" t="s">
        <v>5415</v>
      </c>
      <c r="D1087" s="6" t="s">
        <v>1092</v>
      </c>
      <c r="E1087" s="6" t="s">
        <v>5429</v>
      </c>
      <c r="F1087" s="6"/>
      <c r="G1087" s="6" t="s">
        <v>5417</v>
      </c>
      <c r="H1087" s="6" t="s">
        <v>215</v>
      </c>
      <c r="I1087" s="6" t="s">
        <v>5184</v>
      </c>
      <c r="J1087" s="6" t="s">
        <v>5418</v>
      </c>
      <c r="K1087" s="6" t="s">
        <v>1094</v>
      </c>
      <c r="L1087" s="6" t="s">
        <v>5420</v>
      </c>
      <c r="M1087" s="6" t="s">
        <v>5421</v>
      </c>
      <c r="N1087" s="6" t="s">
        <v>5146</v>
      </c>
      <c r="O1087" s="6" t="s">
        <v>5422</v>
      </c>
      <c r="P1087" s="6"/>
      <c r="Q1087" s="8">
        <v>80</v>
      </c>
      <c r="R1087" s="8">
        <v>80.239999999999995</v>
      </c>
      <c r="S1087" s="8">
        <v>159.9</v>
      </c>
      <c r="T1087" s="8">
        <v>16</v>
      </c>
      <c r="U1087" s="8"/>
      <c r="V1087" s="8">
        <v>0</v>
      </c>
      <c r="W1087" s="12">
        <v>0</v>
      </c>
      <c r="Y1087">
        <v>0</v>
      </c>
    </row>
    <row r="1088" spans="1:25" ht="40" customHeight="1">
      <c r="A1088" s="6" t="s">
        <v>5430</v>
      </c>
      <c r="B1088" s="6" t="s">
        <v>5431</v>
      </c>
      <c r="C1088" s="6" t="s">
        <v>5432</v>
      </c>
      <c r="D1088" s="6" t="s">
        <v>1564</v>
      </c>
      <c r="E1088" s="6" t="s">
        <v>5433</v>
      </c>
      <c r="F1088" s="6"/>
      <c r="G1088" s="6" t="s">
        <v>5434</v>
      </c>
      <c r="H1088" s="6" t="s">
        <v>215</v>
      </c>
      <c r="I1088" s="6" t="s">
        <v>5184</v>
      </c>
      <c r="J1088" s="6" t="s">
        <v>5435</v>
      </c>
      <c r="K1088" s="6" t="s">
        <v>3154</v>
      </c>
      <c r="L1088" s="6" t="s">
        <v>5436</v>
      </c>
      <c r="M1088" s="6" t="s">
        <v>5437</v>
      </c>
      <c r="N1088" s="6" t="s">
        <v>5146</v>
      </c>
      <c r="O1088" s="6" t="s">
        <v>5438</v>
      </c>
      <c r="P1088" s="6"/>
      <c r="Q1088" s="8">
        <v>85</v>
      </c>
      <c r="R1088" s="8">
        <v>85.254999999999995</v>
      </c>
      <c r="S1088" s="8">
        <v>169.9</v>
      </c>
      <c r="T1088" s="8">
        <v>16</v>
      </c>
      <c r="U1088" s="8"/>
      <c r="V1088" s="8">
        <v>0</v>
      </c>
      <c r="W1088" s="12">
        <v>0</v>
      </c>
      <c r="Y1088">
        <v>0</v>
      </c>
    </row>
    <row r="1089" spans="1:25" ht="40" customHeight="1">
      <c r="A1089" s="6" t="s">
        <v>5439</v>
      </c>
      <c r="B1089" s="6" t="s">
        <v>5440</v>
      </c>
      <c r="C1089" s="6" t="s">
        <v>5432</v>
      </c>
      <c r="D1089" s="6" t="s">
        <v>5192</v>
      </c>
      <c r="E1089" s="6" t="s">
        <v>5441</v>
      </c>
      <c r="F1089" s="6"/>
      <c r="G1089" s="6" t="s">
        <v>5434</v>
      </c>
      <c r="H1089" s="6" t="s">
        <v>215</v>
      </c>
      <c r="I1089" s="6" t="s">
        <v>5184</v>
      </c>
      <c r="J1089" s="6" t="s">
        <v>5435</v>
      </c>
      <c r="K1089" s="6" t="s">
        <v>5403</v>
      </c>
      <c r="L1089" s="6" t="s">
        <v>5436</v>
      </c>
      <c r="M1089" s="6" t="s">
        <v>5437</v>
      </c>
      <c r="N1089" s="6" t="s">
        <v>5146</v>
      </c>
      <c r="O1089" s="6" t="s">
        <v>5438</v>
      </c>
      <c r="P1089" s="6"/>
      <c r="Q1089" s="8">
        <v>85</v>
      </c>
      <c r="R1089" s="8">
        <v>85.254999999999995</v>
      </c>
      <c r="S1089" s="8">
        <v>169.9</v>
      </c>
      <c r="T1089" s="8">
        <v>16</v>
      </c>
      <c r="U1089" s="8"/>
      <c r="V1089" s="8">
        <v>0</v>
      </c>
      <c r="W1089" s="12">
        <v>0</v>
      </c>
      <c r="Y1089">
        <v>0</v>
      </c>
    </row>
    <row r="1090" spans="1:25" ht="40" customHeight="1">
      <c r="A1090" s="6" t="s">
        <v>5442</v>
      </c>
      <c r="B1090" s="6" t="s">
        <v>5443</v>
      </c>
      <c r="C1090" s="6" t="s">
        <v>5432</v>
      </c>
      <c r="D1090" s="6" t="s">
        <v>1809</v>
      </c>
      <c r="E1090" s="6" t="s">
        <v>5444</v>
      </c>
      <c r="F1090" s="6"/>
      <c r="G1090" s="6" t="s">
        <v>5434</v>
      </c>
      <c r="H1090" s="6" t="s">
        <v>215</v>
      </c>
      <c r="I1090" s="6" t="s">
        <v>5184</v>
      </c>
      <c r="J1090" s="6" t="s">
        <v>5435</v>
      </c>
      <c r="K1090" s="6" t="s">
        <v>5445</v>
      </c>
      <c r="L1090" s="6" t="s">
        <v>5436</v>
      </c>
      <c r="M1090" s="6" t="s">
        <v>5437</v>
      </c>
      <c r="N1090" s="6" t="s">
        <v>5146</v>
      </c>
      <c r="O1090" s="6" t="s">
        <v>5438</v>
      </c>
      <c r="P1090" s="6"/>
      <c r="Q1090" s="8">
        <v>85</v>
      </c>
      <c r="R1090" s="8">
        <v>85.254999999999995</v>
      </c>
      <c r="S1090" s="8">
        <v>169.9</v>
      </c>
      <c r="T1090" s="8">
        <v>16</v>
      </c>
      <c r="U1090" s="8"/>
      <c r="V1090" s="8">
        <v>0</v>
      </c>
      <c r="W1090" s="12">
        <v>0</v>
      </c>
      <c r="Y1090">
        <v>0</v>
      </c>
    </row>
    <row r="1091" spans="1:25" ht="40" customHeight="1">
      <c r="A1091" s="6" t="s">
        <v>5446</v>
      </c>
      <c r="B1091" s="6" t="s">
        <v>5447</v>
      </c>
      <c r="C1091" s="6" t="s">
        <v>5432</v>
      </c>
      <c r="D1091" s="6" t="s">
        <v>1153</v>
      </c>
      <c r="E1091" s="6" t="s">
        <v>5448</v>
      </c>
      <c r="F1091" s="6"/>
      <c r="G1091" s="6" t="s">
        <v>5434</v>
      </c>
      <c r="H1091" s="6" t="s">
        <v>215</v>
      </c>
      <c r="I1091" s="6" t="s">
        <v>5184</v>
      </c>
      <c r="J1091" s="6" t="s">
        <v>5435</v>
      </c>
      <c r="K1091" s="6" t="s">
        <v>5449</v>
      </c>
      <c r="L1091" s="6" t="s">
        <v>5436</v>
      </c>
      <c r="M1091" s="6" t="s">
        <v>5437</v>
      </c>
      <c r="N1091" s="6" t="s">
        <v>5146</v>
      </c>
      <c r="O1091" s="6" t="s">
        <v>5438</v>
      </c>
      <c r="P1091" s="6"/>
      <c r="Q1091" s="8">
        <v>85</v>
      </c>
      <c r="R1091" s="8">
        <v>85.254999999999995</v>
      </c>
      <c r="S1091" s="8">
        <v>169.9</v>
      </c>
      <c r="T1091" s="8">
        <v>16</v>
      </c>
      <c r="U1091" s="8"/>
      <c r="V1091" s="8">
        <v>0</v>
      </c>
      <c r="W1091" s="12">
        <v>0</v>
      </c>
      <c r="Y1091">
        <v>0</v>
      </c>
    </row>
    <row r="1092" spans="1:25" ht="40" customHeight="1">
      <c r="A1092" s="6" t="s">
        <v>5450</v>
      </c>
      <c r="B1092" s="6" t="s">
        <v>5451</v>
      </c>
      <c r="C1092" s="6" t="s">
        <v>5452</v>
      </c>
      <c r="D1092" s="6" t="s">
        <v>1033</v>
      </c>
      <c r="E1092" s="6" t="s">
        <v>5453</v>
      </c>
      <c r="F1092" s="6"/>
      <c r="G1092" s="6" t="s">
        <v>5341</v>
      </c>
      <c r="H1092" s="6" t="s">
        <v>5454</v>
      </c>
      <c r="I1092" s="6" t="s">
        <v>5184</v>
      </c>
      <c r="J1092" s="6" t="s">
        <v>5455</v>
      </c>
      <c r="K1092" s="6" t="s">
        <v>5456</v>
      </c>
      <c r="L1092" s="6" t="s">
        <v>54</v>
      </c>
      <c r="M1092" s="6" t="s">
        <v>54</v>
      </c>
      <c r="N1092" s="6" t="s">
        <v>5146</v>
      </c>
      <c r="O1092" s="6" t="s">
        <v>5457</v>
      </c>
      <c r="P1092" s="6"/>
      <c r="Q1092" s="8">
        <v>115</v>
      </c>
      <c r="R1092" s="8">
        <v>115.345</v>
      </c>
      <c r="S1092" s="8">
        <v>229.9</v>
      </c>
      <c r="T1092" s="8">
        <v>16</v>
      </c>
      <c r="U1092" s="8"/>
      <c r="V1092" s="8">
        <v>0</v>
      </c>
      <c r="W1092" s="12">
        <v>0</v>
      </c>
      <c r="Y1092">
        <v>0</v>
      </c>
    </row>
    <row r="1093" spans="1:25" ht="40" customHeight="1">
      <c r="A1093" s="6" t="s">
        <v>5458</v>
      </c>
      <c r="B1093" s="6" t="s">
        <v>5459</v>
      </c>
      <c r="C1093" s="6" t="s">
        <v>5452</v>
      </c>
      <c r="D1093" s="6" t="s">
        <v>1153</v>
      </c>
      <c r="E1093" s="6" t="s">
        <v>5460</v>
      </c>
      <c r="F1093" s="6"/>
      <c r="G1093" s="6" t="s">
        <v>5341</v>
      </c>
      <c r="H1093" s="6" t="s">
        <v>5454</v>
      </c>
      <c r="I1093" s="6" t="s">
        <v>5184</v>
      </c>
      <c r="J1093" s="6" t="s">
        <v>5455</v>
      </c>
      <c r="K1093" s="6" t="s">
        <v>5461</v>
      </c>
      <c r="L1093" s="6" t="s">
        <v>54</v>
      </c>
      <c r="M1093" s="6" t="s">
        <v>54</v>
      </c>
      <c r="N1093" s="6" t="s">
        <v>5146</v>
      </c>
      <c r="O1093" s="6" t="s">
        <v>5457</v>
      </c>
      <c r="P1093" s="6"/>
      <c r="Q1093" s="8">
        <v>115</v>
      </c>
      <c r="R1093" s="8">
        <v>115.345</v>
      </c>
      <c r="S1093" s="8">
        <v>229.9</v>
      </c>
      <c r="T1093" s="8">
        <v>16</v>
      </c>
      <c r="U1093" s="8"/>
      <c r="V1093" s="8">
        <v>0</v>
      </c>
      <c r="W1093" s="12">
        <v>0</v>
      </c>
      <c r="Y1093">
        <v>0</v>
      </c>
    </row>
    <row r="1094" spans="1:25" ht="40" customHeight="1">
      <c r="A1094" s="6" t="s">
        <v>5462</v>
      </c>
      <c r="B1094" s="6" t="s">
        <v>5463</v>
      </c>
      <c r="C1094" s="6" t="s">
        <v>5452</v>
      </c>
      <c r="D1094" s="6" t="s">
        <v>5464</v>
      </c>
      <c r="E1094" s="6" t="s">
        <v>5465</v>
      </c>
      <c r="F1094" s="6"/>
      <c r="G1094" s="6" t="s">
        <v>5341</v>
      </c>
      <c r="H1094" s="6" t="s">
        <v>5454</v>
      </c>
      <c r="I1094" s="6" t="s">
        <v>5184</v>
      </c>
      <c r="J1094" s="6" t="s">
        <v>5455</v>
      </c>
      <c r="K1094" s="6" t="s">
        <v>5466</v>
      </c>
      <c r="L1094" s="6" t="s">
        <v>54</v>
      </c>
      <c r="M1094" s="6" t="s">
        <v>54</v>
      </c>
      <c r="N1094" s="6" t="s">
        <v>5146</v>
      </c>
      <c r="O1094" s="6" t="s">
        <v>5457</v>
      </c>
      <c r="P1094" s="6"/>
      <c r="Q1094" s="8">
        <v>115</v>
      </c>
      <c r="R1094" s="8">
        <v>115.345</v>
      </c>
      <c r="S1094" s="8">
        <v>229.9</v>
      </c>
      <c r="T1094" s="8">
        <v>16</v>
      </c>
      <c r="U1094" s="8"/>
      <c r="V1094" s="8">
        <v>0</v>
      </c>
      <c r="W1094" s="12">
        <v>0</v>
      </c>
      <c r="Y1094">
        <v>0</v>
      </c>
    </row>
    <row r="1095" spans="1:25" ht="40" customHeight="1">
      <c r="A1095" s="6" t="s">
        <v>5467</v>
      </c>
      <c r="B1095" s="6" t="s">
        <v>5468</v>
      </c>
      <c r="C1095" s="6" t="s">
        <v>5469</v>
      </c>
      <c r="D1095" s="6" t="s">
        <v>147</v>
      </c>
      <c r="E1095" s="6" t="s">
        <v>5470</v>
      </c>
      <c r="F1095" s="6"/>
      <c r="G1095" s="6" t="s">
        <v>5471</v>
      </c>
      <c r="H1095" s="6" t="s">
        <v>5472</v>
      </c>
      <c r="I1095" s="6" t="s">
        <v>5184</v>
      </c>
      <c r="J1095" s="6" t="s">
        <v>5473</v>
      </c>
      <c r="K1095" s="6" t="s">
        <v>1854</v>
      </c>
      <c r="L1095" s="6" t="s">
        <v>54</v>
      </c>
      <c r="M1095" s="6" t="s">
        <v>54</v>
      </c>
      <c r="N1095" s="6" t="s">
        <v>5146</v>
      </c>
      <c r="O1095" s="6" t="s">
        <v>5255</v>
      </c>
      <c r="P1095" s="6" t="s">
        <v>5256</v>
      </c>
      <c r="Q1095" s="8">
        <v>90</v>
      </c>
      <c r="R1095" s="8">
        <v>90.27</v>
      </c>
      <c r="S1095" s="8">
        <v>179.9</v>
      </c>
      <c r="T1095" s="8">
        <v>16</v>
      </c>
      <c r="U1095" s="8"/>
      <c r="V1095" s="8">
        <v>0</v>
      </c>
      <c r="W1095" s="12">
        <v>0</v>
      </c>
      <c r="Y1095">
        <v>0</v>
      </c>
    </row>
    <row r="1096" spans="1:25" ht="40" customHeight="1">
      <c r="A1096" s="6" t="s">
        <v>5474</v>
      </c>
      <c r="B1096" s="6" t="s">
        <v>5475</v>
      </c>
      <c r="C1096" s="6" t="s">
        <v>5469</v>
      </c>
      <c r="D1096" s="6" t="s">
        <v>1092</v>
      </c>
      <c r="E1096" s="6" t="s">
        <v>5476</v>
      </c>
      <c r="F1096" s="6"/>
      <c r="G1096" s="6" t="s">
        <v>5471</v>
      </c>
      <c r="H1096" s="6" t="s">
        <v>5472</v>
      </c>
      <c r="I1096" s="6" t="s">
        <v>5184</v>
      </c>
      <c r="J1096" s="6" t="s">
        <v>5473</v>
      </c>
      <c r="K1096" s="6" t="s">
        <v>5477</v>
      </c>
      <c r="L1096" s="6" t="s">
        <v>54</v>
      </c>
      <c r="M1096" s="6" t="s">
        <v>54</v>
      </c>
      <c r="N1096" s="6" t="s">
        <v>5146</v>
      </c>
      <c r="O1096" s="6" t="s">
        <v>5255</v>
      </c>
      <c r="P1096" s="6" t="s">
        <v>5256</v>
      </c>
      <c r="Q1096" s="8">
        <v>90</v>
      </c>
      <c r="R1096" s="8">
        <v>90.27</v>
      </c>
      <c r="S1096" s="8">
        <v>179.9</v>
      </c>
      <c r="T1096" s="8">
        <v>16</v>
      </c>
      <c r="U1096" s="8"/>
      <c r="V1096" s="8">
        <v>0</v>
      </c>
      <c r="W1096" s="12">
        <v>0</v>
      </c>
      <c r="Y1096">
        <v>0</v>
      </c>
    </row>
    <row r="1097" spans="1:25" ht="40" customHeight="1">
      <c r="A1097" s="6" t="s">
        <v>5478</v>
      </c>
      <c r="B1097" s="6" t="s">
        <v>5479</v>
      </c>
      <c r="C1097" s="6" t="s">
        <v>5480</v>
      </c>
      <c r="D1097" s="6" t="s">
        <v>147</v>
      </c>
      <c r="E1097" s="6" t="s">
        <v>5481</v>
      </c>
      <c r="F1097" s="6"/>
      <c r="G1097" s="6" t="s">
        <v>5482</v>
      </c>
      <c r="H1097" s="6" t="s">
        <v>215</v>
      </c>
      <c r="I1097" s="6" t="s">
        <v>5184</v>
      </c>
      <c r="J1097" s="6" t="s">
        <v>5483</v>
      </c>
      <c r="K1097" s="6" t="s">
        <v>3143</v>
      </c>
      <c r="L1097" s="6" t="s">
        <v>54</v>
      </c>
      <c r="M1097" s="6" t="s">
        <v>54</v>
      </c>
      <c r="N1097" s="6" t="s">
        <v>5146</v>
      </c>
      <c r="O1097" s="6" t="s">
        <v>5484</v>
      </c>
      <c r="P1097" s="6" t="s">
        <v>2872</v>
      </c>
      <c r="Q1097" s="8">
        <v>100</v>
      </c>
      <c r="R1097" s="8">
        <v>100.3</v>
      </c>
      <c r="S1097" s="8">
        <v>199.9</v>
      </c>
      <c r="T1097" s="8">
        <v>16</v>
      </c>
      <c r="U1097" s="8"/>
      <c r="V1097" s="8">
        <v>0</v>
      </c>
      <c r="W1097" s="12">
        <v>0</v>
      </c>
      <c r="Y1097">
        <v>0</v>
      </c>
    </row>
    <row r="1098" spans="1:25" ht="40" customHeight="1">
      <c r="A1098" s="6" t="s">
        <v>5485</v>
      </c>
      <c r="B1098" s="6" t="s">
        <v>5486</v>
      </c>
      <c r="C1098" s="6" t="s">
        <v>5480</v>
      </c>
      <c r="D1098" s="6" t="s">
        <v>279</v>
      </c>
      <c r="E1098" s="6" t="s">
        <v>5487</v>
      </c>
      <c r="F1098" s="6"/>
      <c r="G1098" s="6" t="s">
        <v>5482</v>
      </c>
      <c r="H1098" s="6" t="s">
        <v>215</v>
      </c>
      <c r="I1098" s="6" t="s">
        <v>5184</v>
      </c>
      <c r="J1098" s="6" t="s">
        <v>5483</v>
      </c>
      <c r="K1098" s="6" t="s">
        <v>5488</v>
      </c>
      <c r="L1098" s="6" t="s">
        <v>54</v>
      </c>
      <c r="M1098" s="6" t="s">
        <v>54</v>
      </c>
      <c r="N1098" s="6" t="s">
        <v>5146</v>
      </c>
      <c r="O1098" s="6" t="s">
        <v>5484</v>
      </c>
      <c r="P1098" s="6" t="s">
        <v>2872</v>
      </c>
      <c r="Q1098" s="8">
        <v>100</v>
      </c>
      <c r="R1098" s="8">
        <v>100.3</v>
      </c>
      <c r="S1098" s="8">
        <v>199.9</v>
      </c>
      <c r="T1098" s="8">
        <v>16</v>
      </c>
      <c r="U1098" s="8"/>
      <c r="V1098" s="8">
        <v>0</v>
      </c>
      <c r="W1098" s="12">
        <v>0</v>
      </c>
      <c r="Y1098">
        <v>0</v>
      </c>
    </row>
    <row r="1099" spans="1:25" ht="40" customHeight="1">
      <c r="A1099" s="6" t="s">
        <v>5489</v>
      </c>
      <c r="B1099" s="6" t="s">
        <v>5490</v>
      </c>
      <c r="C1099" s="6" t="s">
        <v>5480</v>
      </c>
      <c r="D1099" s="6" t="s">
        <v>1092</v>
      </c>
      <c r="E1099" s="6" t="s">
        <v>5491</v>
      </c>
      <c r="F1099" s="6"/>
      <c r="G1099" s="6" t="s">
        <v>5482</v>
      </c>
      <c r="H1099" s="6" t="s">
        <v>215</v>
      </c>
      <c r="I1099" s="6" t="s">
        <v>5184</v>
      </c>
      <c r="J1099" s="6" t="s">
        <v>5483</v>
      </c>
      <c r="K1099" s="6" t="s">
        <v>5492</v>
      </c>
      <c r="L1099" s="6" t="s">
        <v>54</v>
      </c>
      <c r="M1099" s="6" t="s">
        <v>54</v>
      </c>
      <c r="N1099" s="6" t="s">
        <v>5146</v>
      </c>
      <c r="O1099" s="6" t="s">
        <v>5484</v>
      </c>
      <c r="P1099" s="6" t="s">
        <v>2872</v>
      </c>
      <c r="Q1099" s="8">
        <v>100</v>
      </c>
      <c r="R1099" s="8">
        <v>100.3</v>
      </c>
      <c r="S1099" s="8">
        <v>199.9</v>
      </c>
      <c r="T1099" s="8">
        <v>16</v>
      </c>
      <c r="U1099" s="8"/>
      <c r="V1099" s="8">
        <v>0</v>
      </c>
      <c r="W1099" s="12">
        <v>0</v>
      </c>
      <c r="Y1099">
        <v>0</v>
      </c>
    </row>
    <row r="1100" spans="1:25" ht="40" customHeight="1">
      <c r="A1100" s="6" t="s">
        <v>5493</v>
      </c>
      <c r="B1100" s="6" t="s">
        <v>5494</v>
      </c>
      <c r="C1100" s="6" t="s">
        <v>5480</v>
      </c>
      <c r="D1100" s="6" t="s">
        <v>711</v>
      </c>
      <c r="E1100" s="6" t="s">
        <v>5495</v>
      </c>
      <c r="F1100" s="6"/>
      <c r="G1100" s="6" t="s">
        <v>5482</v>
      </c>
      <c r="H1100" s="6" t="s">
        <v>215</v>
      </c>
      <c r="I1100" s="6" t="s">
        <v>5184</v>
      </c>
      <c r="J1100" s="6" t="s">
        <v>5483</v>
      </c>
      <c r="K1100" s="6" t="s">
        <v>5496</v>
      </c>
      <c r="L1100" s="6" t="s">
        <v>54</v>
      </c>
      <c r="M1100" s="6" t="s">
        <v>54</v>
      </c>
      <c r="N1100" s="6" t="s">
        <v>5146</v>
      </c>
      <c r="O1100" s="6" t="s">
        <v>5484</v>
      </c>
      <c r="P1100" s="6" t="s">
        <v>2872</v>
      </c>
      <c r="Q1100" s="8">
        <v>100</v>
      </c>
      <c r="R1100" s="8">
        <v>100.3</v>
      </c>
      <c r="S1100" s="8">
        <v>199.9</v>
      </c>
      <c r="T1100" s="8">
        <v>16</v>
      </c>
      <c r="U1100" s="8"/>
      <c r="V1100" s="8">
        <v>0</v>
      </c>
      <c r="W1100" s="12">
        <v>0</v>
      </c>
      <c r="Y1100">
        <v>0</v>
      </c>
    </row>
    <row r="1101" spans="1:25" ht="40" customHeight="1">
      <c r="A1101" s="6" t="s">
        <v>5497</v>
      </c>
      <c r="B1101" s="6" t="s">
        <v>5498</v>
      </c>
      <c r="C1101" s="6" t="s">
        <v>5499</v>
      </c>
      <c r="D1101" s="6" t="s">
        <v>147</v>
      </c>
      <c r="E1101" s="6" t="s">
        <v>5500</v>
      </c>
      <c r="F1101" s="6"/>
      <c r="G1101" s="6" t="s">
        <v>5482</v>
      </c>
      <c r="H1101" s="6" t="s">
        <v>5501</v>
      </c>
      <c r="I1101" s="6" t="s">
        <v>5141</v>
      </c>
      <c r="J1101" s="6" t="s">
        <v>5483</v>
      </c>
      <c r="K1101" s="6" t="s">
        <v>5502</v>
      </c>
      <c r="L1101" s="6" t="s">
        <v>54</v>
      </c>
      <c r="M1101" s="6" t="s">
        <v>54</v>
      </c>
      <c r="N1101" s="6" t="s">
        <v>5146</v>
      </c>
      <c r="O1101" s="6" t="s">
        <v>5484</v>
      </c>
      <c r="P1101" s="6" t="s">
        <v>2872</v>
      </c>
      <c r="Q1101" s="8">
        <v>90</v>
      </c>
      <c r="R1101" s="8">
        <v>90.27</v>
      </c>
      <c r="S1101" s="8">
        <v>179.9</v>
      </c>
      <c r="T1101" s="8">
        <v>14</v>
      </c>
      <c r="U1101" s="8"/>
      <c r="V1101" s="8">
        <v>0</v>
      </c>
      <c r="W1101" s="12">
        <v>0</v>
      </c>
      <c r="Y1101">
        <v>0</v>
      </c>
    </row>
    <row r="1102" spans="1:25" ht="40" customHeight="1">
      <c r="A1102" s="6" t="s">
        <v>5503</v>
      </c>
      <c r="B1102" s="6" t="s">
        <v>5504</v>
      </c>
      <c r="C1102" s="6" t="s">
        <v>5499</v>
      </c>
      <c r="D1102" s="6" t="s">
        <v>1092</v>
      </c>
      <c r="E1102" s="6" t="s">
        <v>5505</v>
      </c>
      <c r="F1102" s="6"/>
      <c r="G1102" s="6" t="s">
        <v>5482</v>
      </c>
      <c r="H1102" s="6" t="s">
        <v>5501</v>
      </c>
      <c r="I1102" s="6" t="s">
        <v>5141</v>
      </c>
      <c r="J1102" s="6" t="s">
        <v>5483</v>
      </c>
      <c r="K1102" s="6" t="s">
        <v>5506</v>
      </c>
      <c r="L1102" s="6" t="s">
        <v>54</v>
      </c>
      <c r="M1102" s="6" t="s">
        <v>54</v>
      </c>
      <c r="N1102" s="6" t="s">
        <v>5146</v>
      </c>
      <c r="O1102" s="6" t="s">
        <v>5484</v>
      </c>
      <c r="P1102" s="6" t="s">
        <v>2872</v>
      </c>
      <c r="Q1102" s="8">
        <v>90</v>
      </c>
      <c r="R1102" s="8">
        <v>90.27</v>
      </c>
      <c r="S1102" s="8">
        <v>179.9</v>
      </c>
      <c r="T1102" s="8">
        <v>14</v>
      </c>
      <c r="U1102" s="8"/>
      <c r="V1102" s="8">
        <v>0</v>
      </c>
      <c r="W1102" s="12">
        <v>0</v>
      </c>
      <c r="Y1102">
        <v>0</v>
      </c>
    </row>
    <row r="1103" spans="1:25" ht="40" customHeight="1">
      <c r="A1103" s="6" t="s">
        <v>5507</v>
      </c>
      <c r="B1103" s="6" t="s">
        <v>5508</v>
      </c>
      <c r="C1103" s="6" t="s">
        <v>5509</v>
      </c>
      <c r="D1103" s="6" t="s">
        <v>1564</v>
      </c>
      <c r="E1103" s="6" t="s">
        <v>5510</v>
      </c>
      <c r="F1103" s="6"/>
      <c r="G1103" s="17" t="s">
        <v>5511</v>
      </c>
      <c r="H1103" s="6" t="s">
        <v>5512</v>
      </c>
      <c r="I1103" s="6" t="s">
        <v>5184</v>
      </c>
      <c r="J1103" s="6" t="s">
        <v>5513</v>
      </c>
      <c r="K1103" s="6" t="s">
        <v>5514</v>
      </c>
      <c r="L1103" s="6" t="s">
        <v>54</v>
      </c>
      <c r="M1103" s="6" t="s">
        <v>54</v>
      </c>
      <c r="N1103" s="6" t="s">
        <v>5146</v>
      </c>
      <c r="O1103" s="6" t="s">
        <v>5515</v>
      </c>
      <c r="P1103" s="6"/>
      <c r="Q1103" s="8">
        <v>115</v>
      </c>
      <c r="R1103" s="8">
        <v>115.345</v>
      </c>
      <c r="S1103" s="8">
        <v>229.9</v>
      </c>
      <c r="T1103" s="8">
        <v>16</v>
      </c>
      <c r="U1103" s="8"/>
      <c r="V1103" s="8">
        <v>0</v>
      </c>
      <c r="W1103" s="12">
        <v>0</v>
      </c>
      <c r="Y1103">
        <v>0</v>
      </c>
    </row>
    <row r="1104" spans="1:25" ht="40" customHeight="1">
      <c r="A1104" s="6" t="s">
        <v>5516</v>
      </c>
      <c r="B1104" s="6" t="s">
        <v>5517</v>
      </c>
      <c r="C1104" s="6" t="s">
        <v>5509</v>
      </c>
      <c r="D1104" s="6" t="s">
        <v>5464</v>
      </c>
      <c r="E1104" s="6" t="s">
        <v>5518</v>
      </c>
      <c r="F1104" s="6"/>
      <c r="G1104" s="17" t="s">
        <v>5511</v>
      </c>
      <c r="H1104" s="6" t="s">
        <v>5512</v>
      </c>
      <c r="I1104" s="6" t="s">
        <v>5184</v>
      </c>
      <c r="J1104" s="6" t="s">
        <v>5513</v>
      </c>
      <c r="K1104" s="6" t="s">
        <v>5466</v>
      </c>
      <c r="L1104" s="6" t="s">
        <v>54</v>
      </c>
      <c r="M1104" s="6" t="s">
        <v>54</v>
      </c>
      <c r="N1104" s="6" t="s">
        <v>5146</v>
      </c>
      <c r="O1104" s="6" t="s">
        <v>5515</v>
      </c>
      <c r="P1104" s="6"/>
      <c r="Q1104" s="8">
        <v>115</v>
      </c>
      <c r="R1104" s="8">
        <v>115.345</v>
      </c>
      <c r="S1104" s="8">
        <v>229.9</v>
      </c>
      <c r="T1104" s="8">
        <v>16</v>
      </c>
      <c r="U1104" s="8"/>
      <c r="V1104" s="8">
        <v>0</v>
      </c>
      <c r="W1104" s="12">
        <v>0</v>
      </c>
      <c r="Y1104">
        <v>0</v>
      </c>
    </row>
    <row r="1105" spans="1:25" ht="40" customHeight="1">
      <c r="A1105" s="6" t="s">
        <v>5519</v>
      </c>
      <c r="B1105" s="6" t="s">
        <v>5520</v>
      </c>
      <c r="C1105" s="6" t="s">
        <v>5509</v>
      </c>
      <c r="D1105" s="6" t="s">
        <v>2340</v>
      </c>
      <c r="E1105" s="6" t="s">
        <v>5521</v>
      </c>
      <c r="F1105" s="6"/>
      <c r="G1105" s="17" t="s">
        <v>5511</v>
      </c>
      <c r="H1105" s="6" t="s">
        <v>5512</v>
      </c>
      <c r="I1105" s="6" t="s">
        <v>5184</v>
      </c>
      <c r="J1105" s="6" t="s">
        <v>5513</v>
      </c>
      <c r="K1105" s="6" t="s">
        <v>5522</v>
      </c>
      <c r="L1105" s="6" t="s">
        <v>54</v>
      </c>
      <c r="M1105" s="6" t="s">
        <v>54</v>
      </c>
      <c r="N1105" s="6" t="s">
        <v>5146</v>
      </c>
      <c r="O1105" s="6" t="s">
        <v>5515</v>
      </c>
      <c r="P1105" s="6"/>
      <c r="Q1105" s="8">
        <v>115</v>
      </c>
      <c r="R1105" s="8">
        <v>115.345</v>
      </c>
      <c r="S1105" s="8">
        <v>229.9</v>
      </c>
      <c r="T1105" s="8">
        <v>16</v>
      </c>
      <c r="U1105" s="8"/>
      <c r="V1105" s="8">
        <v>0</v>
      </c>
      <c r="W1105" s="12">
        <v>0</v>
      </c>
      <c r="Y1105">
        <v>0</v>
      </c>
    </row>
    <row r="1106" spans="1:25" ht="40" customHeight="1">
      <c r="A1106" s="6" t="s">
        <v>5523</v>
      </c>
      <c r="B1106" s="6" t="s">
        <v>5524</v>
      </c>
      <c r="C1106" s="6" t="s">
        <v>5525</v>
      </c>
      <c r="D1106" s="6" t="s">
        <v>882</v>
      </c>
      <c r="E1106" s="6" t="s">
        <v>5526</v>
      </c>
      <c r="F1106" s="6"/>
      <c r="G1106" s="17" t="s">
        <v>5527</v>
      </c>
      <c r="H1106" s="6" t="s">
        <v>5528</v>
      </c>
      <c r="I1106" s="6" t="s">
        <v>5184</v>
      </c>
      <c r="J1106" s="6" t="s">
        <v>5529</v>
      </c>
      <c r="K1106" s="6" t="s">
        <v>5530</v>
      </c>
      <c r="L1106" s="6" t="s">
        <v>54</v>
      </c>
      <c r="M1106" s="6" t="s">
        <v>54</v>
      </c>
      <c r="N1106" s="6" t="s">
        <v>5146</v>
      </c>
      <c r="O1106" s="6" t="s">
        <v>5147</v>
      </c>
      <c r="P1106" s="6"/>
      <c r="Q1106" s="8">
        <v>100</v>
      </c>
      <c r="R1106" s="8">
        <v>100.3</v>
      </c>
      <c r="S1106" s="8">
        <v>199.9</v>
      </c>
      <c r="T1106" s="8">
        <v>16</v>
      </c>
      <c r="U1106" s="8"/>
      <c r="V1106" s="8">
        <v>0</v>
      </c>
      <c r="W1106" s="12">
        <v>0</v>
      </c>
      <c r="Y1106">
        <v>0</v>
      </c>
    </row>
    <row r="1107" spans="1:25" ht="40" customHeight="1">
      <c r="A1107" s="6" t="s">
        <v>5531</v>
      </c>
      <c r="B1107" s="6" t="s">
        <v>5532</v>
      </c>
      <c r="C1107" s="6" t="s">
        <v>5525</v>
      </c>
      <c r="D1107" s="6" t="s">
        <v>5533</v>
      </c>
      <c r="E1107" s="6" t="s">
        <v>5534</v>
      </c>
      <c r="F1107" s="6"/>
      <c r="G1107" s="17" t="s">
        <v>5527</v>
      </c>
      <c r="H1107" s="6" t="s">
        <v>5528</v>
      </c>
      <c r="I1107" s="6" t="s">
        <v>5184</v>
      </c>
      <c r="J1107" s="6" t="s">
        <v>5529</v>
      </c>
      <c r="K1107" s="6" t="s">
        <v>5535</v>
      </c>
      <c r="L1107" s="6" t="s">
        <v>54</v>
      </c>
      <c r="M1107" s="6" t="s">
        <v>54</v>
      </c>
      <c r="N1107" s="6" t="s">
        <v>5146</v>
      </c>
      <c r="O1107" s="6" t="s">
        <v>5147</v>
      </c>
      <c r="P1107" s="6"/>
      <c r="Q1107" s="8">
        <v>100</v>
      </c>
      <c r="R1107" s="8">
        <v>100.3</v>
      </c>
      <c r="S1107" s="8">
        <v>199.9</v>
      </c>
      <c r="T1107" s="8">
        <v>16</v>
      </c>
      <c r="U1107" s="8"/>
      <c r="V1107" s="8">
        <v>0</v>
      </c>
      <c r="W1107" s="12">
        <v>0</v>
      </c>
      <c r="Y1107">
        <v>0</v>
      </c>
    </row>
    <row r="1108" spans="1:25" ht="40" customHeight="1">
      <c r="A1108" s="6" t="s">
        <v>5536</v>
      </c>
      <c r="B1108" s="6" t="s">
        <v>5537</v>
      </c>
      <c r="C1108" s="6" t="s">
        <v>5525</v>
      </c>
      <c r="D1108" s="6" t="s">
        <v>1158</v>
      </c>
      <c r="E1108" s="6" t="s">
        <v>5538</v>
      </c>
      <c r="F1108" s="6"/>
      <c r="G1108" s="17" t="s">
        <v>5527</v>
      </c>
      <c r="H1108" s="6" t="s">
        <v>5528</v>
      </c>
      <c r="I1108" s="6" t="s">
        <v>5184</v>
      </c>
      <c r="J1108" s="6" t="s">
        <v>5529</v>
      </c>
      <c r="K1108" s="6" t="s">
        <v>5539</v>
      </c>
      <c r="L1108" s="6" t="s">
        <v>54</v>
      </c>
      <c r="M1108" s="6" t="s">
        <v>54</v>
      </c>
      <c r="N1108" s="6" t="s">
        <v>5146</v>
      </c>
      <c r="O1108" s="6" t="s">
        <v>5147</v>
      </c>
      <c r="P1108" s="6"/>
      <c r="Q1108" s="8">
        <v>100</v>
      </c>
      <c r="R1108" s="8">
        <v>100.3</v>
      </c>
      <c r="S1108" s="8">
        <v>199.9</v>
      </c>
      <c r="T1108" s="8">
        <v>16</v>
      </c>
      <c r="U1108" s="8"/>
      <c r="V1108" s="8">
        <v>0</v>
      </c>
      <c r="W1108" s="12">
        <v>0</v>
      </c>
      <c r="Y1108">
        <v>0</v>
      </c>
    </row>
    <row r="1109" spans="1:25" ht="40" customHeight="1">
      <c r="A1109" s="6" t="s">
        <v>5540</v>
      </c>
      <c r="B1109" s="6" t="s">
        <v>5541</v>
      </c>
      <c r="C1109" s="6" t="s">
        <v>5525</v>
      </c>
      <c r="D1109" s="6" t="s">
        <v>5542</v>
      </c>
      <c r="E1109" s="6" t="s">
        <v>5543</v>
      </c>
      <c r="F1109" s="6"/>
      <c r="G1109" s="17" t="s">
        <v>5527</v>
      </c>
      <c r="H1109" s="6" t="s">
        <v>5528</v>
      </c>
      <c r="I1109" s="6" t="s">
        <v>5184</v>
      </c>
      <c r="J1109" s="6" t="s">
        <v>5529</v>
      </c>
      <c r="K1109" s="6" t="s">
        <v>5544</v>
      </c>
      <c r="L1109" s="6" t="s">
        <v>54</v>
      </c>
      <c r="M1109" s="6" t="s">
        <v>54</v>
      </c>
      <c r="N1109" s="6" t="s">
        <v>5146</v>
      </c>
      <c r="O1109" s="6" t="s">
        <v>5147</v>
      </c>
      <c r="P1109" s="6"/>
      <c r="Q1109" s="8">
        <v>100</v>
      </c>
      <c r="R1109" s="8">
        <v>100.3</v>
      </c>
      <c r="S1109" s="8">
        <v>199.9</v>
      </c>
      <c r="T1109" s="8">
        <v>16</v>
      </c>
      <c r="U1109" s="8"/>
      <c r="V1109" s="8">
        <v>0</v>
      </c>
      <c r="W1109" s="12">
        <v>0</v>
      </c>
      <c r="Y1109">
        <v>0</v>
      </c>
    </row>
    <row r="1110" spans="1:25" ht="40" customHeight="1">
      <c r="A1110" s="6" t="s">
        <v>5545</v>
      </c>
      <c r="B1110" s="6" t="s">
        <v>5546</v>
      </c>
      <c r="C1110" s="6" t="s">
        <v>5547</v>
      </c>
      <c r="D1110" s="6" t="s">
        <v>882</v>
      </c>
      <c r="E1110" s="6" t="s">
        <v>5548</v>
      </c>
      <c r="F1110" s="6"/>
      <c r="G1110" s="17" t="s">
        <v>5527</v>
      </c>
      <c r="H1110" s="6" t="s">
        <v>5528</v>
      </c>
      <c r="I1110" s="6" t="s">
        <v>5141</v>
      </c>
      <c r="J1110" s="6" t="s">
        <v>5529</v>
      </c>
      <c r="K1110" s="6" t="s">
        <v>5530</v>
      </c>
      <c r="L1110" s="6" t="s">
        <v>54</v>
      </c>
      <c r="M1110" s="6" t="s">
        <v>54</v>
      </c>
      <c r="N1110" s="6" t="s">
        <v>5146</v>
      </c>
      <c r="O1110" s="6" t="s">
        <v>5549</v>
      </c>
      <c r="P1110" s="6"/>
      <c r="Q1110" s="8">
        <v>90</v>
      </c>
      <c r="R1110" s="8">
        <v>90.27</v>
      </c>
      <c r="S1110" s="8">
        <v>179.9</v>
      </c>
      <c r="T1110" s="8">
        <v>14</v>
      </c>
      <c r="U1110" s="8"/>
      <c r="V1110" s="8">
        <v>0</v>
      </c>
      <c r="W1110" s="12">
        <v>0</v>
      </c>
      <c r="Y1110">
        <v>0</v>
      </c>
    </row>
    <row r="1111" spans="1:25" ht="40" customHeight="1">
      <c r="A1111" s="6" t="s">
        <v>5550</v>
      </c>
      <c r="B1111" s="6" t="s">
        <v>5551</v>
      </c>
      <c r="C1111" s="6" t="s">
        <v>5547</v>
      </c>
      <c r="D1111" s="6" t="s">
        <v>5533</v>
      </c>
      <c r="E1111" s="6" t="s">
        <v>5552</v>
      </c>
      <c r="F1111" s="6"/>
      <c r="G1111" s="17" t="s">
        <v>5527</v>
      </c>
      <c r="H1111" s="6" t="s">
        <v>5528</v>
      </c>
      <c r="I1111" s="6" t="s">
        <v>5141</v>
      </c>
      <c r="J1111" s="6" t="s">
        <v>5529</v>
      </c>
      <c r="K1111" s="6" t="s">
        <v>5535</v>
      </c>
      <c r="L1111" s="6" t="s">
        <v>54</v>
      </c>
      <c r="M1111" s="6" t="s">
        <v>54</v>
      </c>
      <c r="N1111" s="6" t="s">
        <v>5146</v>
      </c>
      <c r="O1111" s="6" t="s">
        <v>5549</v>
      </c>
      <c r="P1111" s="6"/>
      <c r="Q1111" s="8">
        <v>90</v>
      </c>
      <c r="R1111" s="8">
        <v>90.27</v>
      </c>
      <c r="S1111" s="8">
        <v>179.9</v>
      </c>
      <c r="T1111" s="8">
        <v>14</v>
      </c>
      <c r="U1111" s="8"/>
      <c r="V1111" s="8">
        <v>0</v>
      </c>
      <c r="W1111" s="12">
        <v>0</v>
      </c>
      <c r="Y1111">
        <v>0</v>
      </c>
    </row>
    <row r="1112" spans="1:25" ht="40" customHeight="1">
      <c r="A1112" s="6" t="s">
        <v>5553</v>
      </c>
      <c r="B1112" s="6" t="s">
        <v>5554</v>
      </c>
      <c r="C1112" s="6" t="s">
        <v>5547</v>
      </c>
      <c r="D1112" s="6" t="s">
        <v>5542</v>
      </c>
      <c r="E1112" s="6" t="s">
        <v>5555</v>
      </c>
      <c r="F1112" s="6"/>
      <c r="G1112" s="17" t="s">
        <v>5527</v>
      </c>
      <c r="H1112" s="6" t="s">
        <v>5528</v>
      </c>
      <c r="I1112" s="6" t="s">
        <v>5141</v>
      </c>
      <c r="J1112" s="6" t="s">
        <v>5529</v>
      </c>
      <c r="K1112" s="6" t="s">
        <v>5556</v>
      </c>
      <c r="L1112" s="6" t="s">
        <v>54</v>
      </c>
      <c r="M1112" s="6" t="s">
        <v>54</v>
      </c>
      <c r="N1112" s="6" t="s">
        <v>5146</v>
      </c>
      <c r="O1112" s="6" t="s">
        <v>5549</v>
      </c>
      <c r="P1112" s="6"/>
      <c r="Q1112" s="8">
        <v>90</v>
      </c>
      <c r="R1112" s="8">
        <v>90.27</v>
      </c>
      <c r="S1112" s="8">
        <v>179.9</v>
      </c>
      <c r="T1112" s="8">
        <v>14</v>
      </c>
      <c r="U1112" s="8"/>
      <c r="V1112" s="8">
        <v>0</v>
      </c>
      <c r="W1112" s="12">
        <v>0</v>
      </c>
      <c r="Y1112">
        <v>0</v>
      </c>
    </row>
    <row r="1113" spans="1:25" ht="40" customHeight="1">
      <c r="A1113" s="6" t="s">
        <v>5557</v>
      </c>
      <c r="B1113" s="6" t="s">
        <v>5558</v>
      </c>
      <c r="C1113" s="6" t="s">
        <v>5559</v>
      </c>
      <c r="D1113" s="6" t="s">
        <v>147</v>
      </c>
      <c r="E1113" s="6" t="s">
        <v>5560</v>
      </c>
      <c r="F1113" s="6"/>
      <c r="G1113" s="17" t="s">
        <v>5561</v>
      </c>
      <c r="H1113" s="6" t="s">
        <v>215</v>
      </c>
      <c r="I1113" s="6" t="s">
        <v>5184</v>
      </c>
      <c r="J1113" s="6" t="s">
        <v>5562</v>
      </c>
      <c r="K1113" s="6" t="s">
        <v>5563</v>
      </c>
      <c r="L1113" s="6" t="s">
        <v>5564</v>
      </c>
      <c r="M1113" s="6" t="s">
        <v>5565</v>
      </c>
      <c r="N1113" s="6" t="s">
        <v>5146</v>
      </c>
      <c r="O1113" s="6" t="s">
        <v>5566</v>
      </c>
      <c r="P1113" s="6"/>
      <c r="Q1113" s="8">
        <v>100</v>
      </c>
      <c r="R1113" s="8">
        <v>100.3</v>
      </c>
      <c r="S1113" s="8">
        <v>199.9</v>
      </c>
      <c r="T1113" s="8">
        <v>16</v>
      </c>
      <c r="U1113" s="8"/>
      <c r="V1113" s="8">
        <v>0</v>
      </c>
      <c r="W1113" s="12">
        <v>0</v>
      </c>
      <c r="Y1113">
        <v>0</v>
      </c>
    </row>
    <row r="1114" spans="1:25" ht="40" customHeight="1">
      <c r="A1114" s="6" t="s">
        <v>5567</v>
      </c>
      <c r="B1114" s="6" t="s">
        <v>5568</v>
      </c>
      <c r="C1114" s="6" t="s">
        <v>5559</v>
      </c>
      <c r="D1114" s="6" t="s">
        <v>1092</v>
      </c>
      <c r="E1114" s="6" t="s">
        <v>5569</v>
      </c>
      <c r="F1114" s="6"/>
      <c r="G1114" s="17" t="s">
        <v>5561</v>
      </c>
      <c r="H1114" s="6" t="s">
        <v>215</v>
      </c>
      <c r="I1114" s="6" t="s">
        <v>5184</v>
      </c>
      <c r="J1114" s="6" t="s">
        <v>5562</v>
      </c>
      <c r="K1114" s="6" t="s">
        <v>5570</v>
      </c>
      <c r="L1114" s="6" t="s">
        <v>5564</v>
      </c>
      <c r="M1114" s="6" t="s">
        <v>5565</v>
      </c>
      <c r="N1114" s="6" t="s">
        <v>5146</v>
      </c>
      <c r="O1114" s="6" t="s">
        <v>5566</v>
      </c>
      <c r="P1114" s="6"/>
      <c r="Q1114" s="8">
        <v>100</v>
      </c>
      <c r="R1114" s="8">
        <v>100.3</v>
      </c>
      <c r="S1114" s="8">
        <v>199.9</v>
      </c>
      <c r="T1114" s="8">
        <v>16</v>
      </c>
      <c r="U1114" s="8"/>
      <c r="V1114" s="8">
        <v>0</v>
      </c>
      <c r="W1114" s="12">
        <v>0</v>
      </c>
      <c r="Y1114">
        <v>0</v>
      </c>
    </row>
    <row r="1115" spans="1:25" ht="40" customHeight="1">
      <c r="A1115" s="6" t="s">
        <v>5571</v>
      </c>
      <c r="B1115" s="6" t="s">
        <v>5572</v>
      </c>
      <c r="C1115" s="6" t="s">
        <v>5559</v>
      </c>
      <c r="D1115" s="6" t="s">
        <v>1809</v>
      </c>
      <c r="E1115" s="6" t="s">
        <v>5573</v>
      </c>
      <c r="F1115" s="6"/>
      <c r="G1115" s="17" t="s">
        <v>5561</v>
      </c>
      <c r="H1115" s="6" t="s">
        <v>215</v>
      </c>
      <c r="I1115" s="6" t="s">
        <v>5184</v>
      </c>
      <c r="J1115" s="6" t="s">
        <v>5562</v>
      </c>
      <c r="K1115" s="6" t="s">
        <v>5574</v>
      </c>
      <c r="L1115" s="6" t="s">
        <v>5564</v>
      </c>
      <c r="M1115" s="6" t="s">
        <v>5565</v>
      </c>
      <c r="N1115" s="6" t="s">
        <v>5146</v>
      </c>
      <c r="O1115" s="6" t="s">
        <v>5566</v>
      </c>
      <c r="P1115" s="6"/>
      <c r="Q1115" s="8">
        <v>100</v>
      </c>
      <c r="R1115" s="8">
        <v>100.3</v>
      </c>
      <c r="S1115" s="8">
        <v>199.9</v>
      </c>
      <c r="T1115" s="8">
        <v>16</v>
      </c>
      <c r="U1115" s="8"/>
      <c r="V1115" s="8">
        <v>0</v>
      </c>
      <c r="W1115" s="12">
        <v>0</v>
      </c>
      <c r="Y1115">
        <v>0</v>
      </c>
    </row>
    <row r="1116" spans="1:25" ht="40" customHeight="1">
      <c r="A1116" s="6" t="s">
        <v>5575</v>
      </c>
      <c r="B1116" s="6" t="s">
        <v>5576</v>
      </c>
      <c r="C1116" s="6" t="s">
        <v>5577</v>
      </c>
      <c r="D1116" s="6" t="s">
        <v>1564</v>
      </c>
      <c r="E1116" s="6" t="s">
        <v>5578</v>
      </c>
      <c r="F1116" s="6"/>
      <c r="G1116" s="17" t="s">
        <v>5579</v>
      </c>
      <c r="H1116" s="6" t="s">
        <v>215</v>
      </c>
      <c r="I1116" s="6" t="s">
        <v>5184</v>
      </c>
      <c r="J1116" s="6" t="s">
        <v>5580</v>
      </c>
      <c r="K1116" s="6" t="s">
        <v>5581</v>
      </c>
      <c r="L1116" s="6" t="s">
        <v>54</v>
      </c>
      <c r="M1116" s="6" t="s">
        <v>54</v>
      </c>
      <c r="N1116" s="6" t="s">
        <v>5146</v>
      </c>
      <c r="O1116" s="6" t="s">
        <v>5147</v>
      </c>
      <c r="P1116" s="6"/>
      <c r="Q1116" s="8">
        <v>100</v>
      </c>
      <c r="R1116" s="8">
        <v>100.3</v>
      </c>
      <c r="S1116" s="8">
        <v>199.9</v>
      </c>
      <c r="T1116" s="8">
        <v>16</v>
      </c>
      <c r="U1116" s="8"/>
      <c r="V1116" s="8">
        <v>0</v>
      </c>
      <c r="W1116" s="12">
        <v>0</v>
      </c>
      <c r="Y1116">
        <v>0</v>
      </c>
    </row>
    <row r="1117" spans="1:25" ht="40" customHeight="1">
      <c r="A1117" s="6" t="s">
        <v>5582</v>
      </c>
      <c r="B1117" s="6" t="s">
        <v>5583</v>
      </c>
      <c r="C1117" s="6" t="s">
        <v>5577</v>
      </c>
      <c r="D1117" s="6" t="s">
        <v>2340</v>
      </c>
      <c r="E1117" s="6" t="s">
        <v>5584</v>
      </c>
      <c r="F1117" s="6"/>
      <c r="G1117" s="17" t="s">
        <v>5579</v>
      </c>
      <c r="H1117" s="6" t="s">
        <v>215</v>
      </c>
      <c r="I1117" s="6" t="s">
        <v>5184</v>
      </c>
      <c r="J1117" s="6" t="s">
        <v>5580</v>
      </c>
      <c r="K1117" s="6" t="s">
        <v>5585</v>
      </c>
      <c r="L1117" s="6" t="s">
        <v>54</v>
      </c>
      <c r="M1117" s="6" t="s">
        <v>54</v>
      </c>
      <c r="N1117" s="6" t="s">
        <v>5146</v>
      </c>
      <c r="O1117" s="6" t="s">
        <v>5147</v>
      </c>
      <c r="P1117" s="6"/>
      <c r="Q1117" s="8">
        <v>100</v>
      </c>
      <c r="R1117" s="8">
        <v>100.3</v>
      </c>
      <c r="S1117" s="8">
        <v>199.9</v>
      </c>
      <c r="T1117" s="8">
        <v>16</v>
      </c>
      <c r="U1117" s="8"/>
      <c r="V1117" s="8">
        <v>0</v>
      </c>
      <c r="W1117" s="12">
        <v>0</v>
      </c>
      <c r="Y1117">
        <v>0</v>
      </c>
    </row>
    <row r="1118" spans="1:25" ht="40" customHeight="1">
      <c r="A1118" s="6" t="s">
        <v>5586</v>
      </c>
      <c r="B1118" s="6" t="s">
        <v>5587</v>
      </c>
      <c r="C1118" s="6" t="s">
        <v>5588</v>
      </c>
      <c r="D1118" s="6" t="s">
        <v>1495</v>
      </c>
      <c r="E1118" s="6" t="s">
        <v>5589</v>
      </c>
      <c r="F1118" s="6"/>
      <c r="G1118" s="6" t="s">
        <v>5236</v>
      </c>
      <c r="H1118" s="6" t="s">
        <v>5590</v>
      </c>
      <c r="I1118" s="6" t="s">
        <v>5184</v>
      </c>
      <c r="J1118" s="6" t="s">
        <v>5591</v>
      </c>
      <c r="K1118" s="6" t="s">
        <v>5592</v>
      </c>
      <c r="L1118" s="6" t="s">
        <v>5144</v>
      </c>
      <c r="M1118" s="6" t="s">
        <v>5593</v>
      </c>
      <c r="N1118" s="6" t="s">
        <v>5146</v>
      </c>
      <c r="O1118" s="6" t="s">
        <v>5203</v>
      </c>
      <c r="P1118" s="6" t="s">
        <v>5204</v>
      </c>
      <c r="Q1118" s="8">
        <v>75</v>
      </c>
      <c r="R1118" s="8">
        <v>75.224999999999994</v>
      </c>
      <c r="S1118" s="8">
        <v>149.9</v>
      </c>
      <c r="T1118" s="8">
        <v>16</v>
      </c>
      <c r="U1118" s="8"/>
      <c r="V1118" s="8">
        <v>0</v>
      </c>
      <c r="W1118" s="12">
        <v>0</v>
      </c>
      <c r="Y1118">
        <v>0</v>
      </c>
    </row>
    <row r="1119" spans="1:25" ht="40" customHeight="1">
      <c r="A1119" s="6" t="s">
        <v>5594</v>
      </c>
      <c r="B1119" s="6" t="s">
        <v>5595</v>
      </c>
      <c r="C1119" s="6" t="s">
        <v>5588</v>
      </c>
      <c r="D1119" s="6" t="s">
        <v>5596</v>
      </c>
      <c r="E1119" s="6" t="s">
        <v>5597</v>
      </c>
      <c r="F1119" s="6"/>
      <c r="G1119" s="6" t="s">
        <v>5236</v>
      </c>
      <c r="H1119" s="6" t="s">
        <v>5590</v>
      </c>
      <c r="I1119" s="6" t="s">
        <v>5184</v>
      </c>
      <c r="J1119" s="6" t="s">
        <v>5591</v>
      </c>
      <c r="K1119" s="6" t="s">
        <v>5598</v>
      </c>
      <c r="L1119" s="6" t="s">
        <v>5144</v>
      </c>
      <c r="M1119" s="6" t="s">
        <v>5593</v>
      </c>
      <c r="N1119" s="6" t="s">
        <v>5146</v>
      </c>
      <c r="O1119" s="6" t="s">
        <v>5203</v>
      </c>
      <c r="P1119" s="6" t="s">
        <v>5204</v>
      </c>
      <c r="Q1119" s="8">
        <v>75</v>
      </c>
      <c r="R1119" s="8">
        <v>75.224999999999994</v>
      </c>
      <c r="S1119" s="8">
        <v>149.9</v>
      </c>
      <c r="T1119" s="8">
        <v>16</v>
      </c>
      <c r="U1119" s="8"/>
      <c r="V1119" s="8">
        <v>0</v>
      </c>
      <c r="W1119" s="12">
        <v>0</v>
      </c>
      <c r="Y1119">
        <v>0</v>
      </c>
    </row>
    <row r="1120" spans="1:25" ht="40" customHeight="1">
      <c r="A1120" s="6" t="s">
        <v>5599</v>
      </c>
      <c r="B1120" s="6" t="s">
        <v>5600</v>
      </c>
      <c r="C1120" s="6" t="s">
        <v>5588</v>
      </c>
      <c r="D1120" s="6" t="s">
        <v>5334</v>
      </c>
      <c r="E1120" s="6" t="s">
        <v>5601</v>
      </c>
      <c r="F1120" s="6"/>
      <c r="G1120" s="6" t="s">
        <v>5236</v>
      </c>
      <c r="H1120" s="6" t="s">
        <v>5590</v>
      </c>
      <c r="I1120" s="6" t="s">
        <v>5184</v>
      </c>
      <c r="J1120" s="6" t="s">
        <v>5591</v>
      </c>
      <c r="K1120" s="6" t="s">
        <v>5602</v>
      </c>
      <c r="L1120" s="6" t="s">
        <v>5144</v>
      </c>
      <c r="M1120" s="6" t="s">
        <v>5593</v>
      </c>
      <c r="N1120" s="6" t="s">
        <v>5146</v>
      </c>
      <c r="O1120" s="6" t="s">
        <v>5203</v>
      </c>
      <c r="P1120" s="6" t="s">
        <v>5204</v>
      </c>
      <c r="Q1120" s="8">
        <v>75</v>
      </c>
      <c r="R1120" s="8">
        <v>75.224999999999994</v>
      </c>
      <c r="S1120" s="8">
        <v>149.9</v>
      </c>
      <c r="T1120" s="8">
        <v>16</v>
      </c>
      <c r="U1120" s="8"/>
      <c r="V1120" s="8">
        <v>0</v>
      </c>
      <c r="W1120" s="12">
        <v>0</v>
      </c>
      <c r="Y1120">
        <v>0</v>
      </c>
    </row>
    <row r="1121" spans="1:25" ht="40" customHeight="1">
      <c r="A1121" s="6" t="s">
        <v>5603</v>
      </c>
      <c r="B1121" s="6" t="s">
        <v>5604</v>
      </c>
      <c r="C1121" s="6" t="s">
        <v>5588</v>
      </c>
      <c r="D1121" s="6" t="s">
        <v>5605</v>
      </c>
      <c r="E1121" s="6" t="s">
        <v>5606</v>
      </c>
      <c r="F1121" s="6"/>
      <c r="G1121" s="6" t="s">
        <v>5236</v>
      </c>
      <c r="H1121" s="6" t="s">
        <v>5590</v>
      </c>
      <c r="I1121" s="6" t="s">
        <v>5184</v>
      </c>
      <c r="J1121" s="6" t="s">
        <v>5591</v>
      </c>
      <c r="K1121" s="6" t="s">
        <v>5607</v>
      </c>
      <c r="L1121" s="6" t="s">
        <v>5144</v>
      </c>
      <c r="M1121" s="6" t="s">
        <v>5593</v>
      </c>
      <c r="N1121" s="6" t="s">
        <v>5146</v>
      </c>
      <c r="O1121" s="6" t="s">
        <v>5203</v>
      </c>
      <c r="P1121" s="6" t="s">
        <v>5204</v>
      </c>
      <c r="Q1121" s="8">
        <v>75</v>
      </c>
      <c r="R1121" s="8">
        <v>75.224999999999994</v>
      </c>
      <c r="S1121" s="8">
        <v>149.9</v>
      </c>
      <c r="T1121" s="8">
        <v>16</v>
      </c>
      <c r="U1121" s="8"/>
      <c r="V1121" s="8">
        <v>0</v>
      </c>
      <c r="W1121" s="12">
        <v>0</v>
      </c>
      <c r="Y1121">
        <v>0</v>
      </c>
    </row>
    <row r="1122" spans="1:25" ht="40" customHeight="1">
      <c r="A1122" s="6" t="s">
        <v>5608</v>
      </c>
      <c r="B1122" s="6" t="s">
        <v>5609</v>
      </c>
      <c r="C1122" s="6" t="s">
        <v>5610</v>
      </c>
      <c r="D1122" s="6" t="s">
        <v>5334</v>
      </c>
      <c r="E1122" s="6" t="s">
        <v>5611</v>
      </c>
      <c r="F1122" s="6"/>
      <c r="G1122" s="6" t="s">
        <v>5612</v>
      </c>
      <c r="H1122" s="6" t="s">
        <v>5613</v>
      </c>
      <c r="I1122" s="6" t="s">
        <v>5141</v>
      </c>
      <c r="J1122" s="6" t="s">
        <v>5591</v>
      </c>
      <c r="K1122" s="6" t="s">
        <v>5602</v>
      </c>
      <c r="L1122" s="6" t="s">
        <v>54</v>
      </c>
      <c r="M1122" s="6" t="s">
        <v>54</v>
      </c>
      <c r="N1122" s="6" t="s">
        <v>5146</v>
      </c>
      <c r="O1122" s="6" t="s">
        <v>5203</v>
      </c>
      <c r="P1122" s="6"/>
      <c r="Q1122" s="8">
        <v>70</v>
      </c>
      <c r="R1122" s="8">
        <v>70.209999999999994</v>
      </c>
      <c r="S1122" s="8">
        <v>139.9</v>
      </c>
      <c r="T1122" s="8">
        <v>14</v>
      </c>
      <c r="U1122" s="8"/>
      <c r="V1122" s="8">
        <v>0</v>
      </c>
      <c r="W1122" s="12">
        <v>0</v>
      </c>
      <c r="Y1122">
        <v>0</v>
      </c>
    </row>
    <row r="1123" spans="1:25" ht="40" customHeight="1">
      <c r="A1123" s="6" t="s">
        <v>5614</v>
      </c>
      <c r="B1123" s="6" t="s">
        <v>5615</v>
      </c>
      <c r="C1123" s="6" t="s">
        <v>5610</v>
      </c>
      <c r="D1123" s="6" t="s">
        <v>5605</v>
      </c>
      <c r="E1123" s="6" t="s">
        <v>5616</v>
      </c>
      <c r="F1123" s="6"/>
      <c r="G1123" s="6" t="s">
        <v>5612</v>
      </c>
      <c r="H1123" s="6" t="s">
        <v>5613</v>
      </c>
      <c r="I1123" s="6" t="s">
        <v>5141</v>
      </c>
      <c r="J1123" s="6" t="s">
        <v>5591</v>
      </c>
      <c r="K1123" s="6" t="s">
        <v>5607</v>
      </c>
      <c r="L1123" s="6" t="s">
        <v>54</v>
      </c>
      <c r="M1123" s="6" t="s">
        <v>54</v>
      </c>
      <c r="N1123" s="6" t="s">
        <v>5146</v>
      </c>
      <c r="O1123" s="6" t="s">
        <v>5203</v>
      </c>
      <c r="P1123" s="6"/>
      <c r="Q1123" s="8">
        <v>70</v>
      </c>
      <c r="R1123" s="8">
        <v>70.209999999999994</v>
      </c>
      <c r="S1123" s="8">
        <v>139.9</v>
      </c>
      <c r="T1123" s="8">
        <v>14</v>
      </c>
      <c r="U1123" s="8"/>
      <c r="V1123" s="8">
        <v>0</v>
      </c>
      <c r="W1123" s="12">
        <v>0</v>
      </c>
      <c r="Y1123">
        <v>0</v>
      </c>
    </row>
    <row r="1124" spans="1:25" ht="40" customHeight="1">
      <c r="A1124" s="6" t="s">
        <v>5617</v>
      </c>
      <c r="B1124" s="6" t="s">
        <v>5618</v>
      </c>
      <c r="C1124" s="6" t="s">
        <v>5619</v>
      </c>
      <c r="D1124" s="6" t="s">
        <v>147</v>
      </c>
      <c r="E1124" s="6" t="s">
        <v>5620</v>
      </c>
      <c r="F1124" s="6"/>
      <c r="G1124" s="6" t="s">
        <v>5236</v>
      </c>
      <c r="H1124" s="6" t="s">
        <v>5621</v>
      </c>
      <c r="I1124" s="6" t="s">
        <v>5184</v>
      </c>
      <c r="J1124" s="6" t="s">
        <v>5622</v>
      </c>
      <c r="K1124" s="6" t="s">
        <v>744</v>
      </c>
      <c r="L1124" s="6" t="s">
        <v>54</v>
      </c>
      <c r="M1124" s="6" t="s">
        <v>54</v>
      </c>
      <c r="N1124" s="6" t="s">
        <v>5146</v>
      </c>
      <c r="O1124" s="6" t="s">
        <v>5623</v>
      </c>
      <c r="P1124" s="6" t="s">
        <v>5204</v>
      </c>
      <c r="Q1124" s="8">
        <v>75</v>
      </c>
      <c r="R1124" s="8">
        <v>75.224999999999994</v>
      </c>
      <c r="S1124" s="8">
        <v>149.9</v>
      </c>
      <c r="T1124" s="8">
        <v>16</v>
      </c>
      <c r="U1124" s="8"/>
      <c r="V1124" s="8">
        <v>0</v>
      </c>
      <c r="W1124" s="12">
        <v>0</v>
      </c>
      <c r="Y1124">
        <v>0</v>
      </c>
    </row>
    <row r="1125" spans="1:25" ht="40" customHeight="1">
      <c r="A1125" s="6" t="s">
        <v>5624</v>
      </c>
      <c r="B1125" s="6" t="s">
        <v>5625</v>
      </c>
      <c r="C1125" s="6" t="s">
        <v>5619</v>
      </c>
      <c r="D1125" s="6" t="s">
        <v>279</v>
      </c>
      <c r="E1125" s="6" t="s">
        <v>5626</v>
      </c>
      <c r="F1125" s="6"/>
      <c r="G1125" s="6" t="s">
        <v>5236</v>
      </c>
      <c r="H1125" s="6" t="s">
        <v>5621</v>
      </c>
      <c r="I1125" s="6" t="s">
        <v>5184</v>
      </c>
      <c r="J1125" s="6" t="s">
        <v>5622</v>
      </c>
      <c r="K1125" s="6" t="s">
        <v>1335</v>
      </c>
      <c r="L1125" s="6" t="s">
        <v>54</v>
      </c>
      <c r="M1125" s="6" t="s">
        <v>54</v>
      </c>
      <c r="N1125" s="6" t="s">
        <v>5146</v>
      </c>
      <c r="O1125" s="6" t="s">
        <v>5623</v>
      </c>
      <c r="P1125" s="6" t="s">
        <v>5204</v>
      </c>
      <c r="Q1125" s="8">
        <v>75</v>
      </c>
      <c r="R1125" s="8">
        <v>75.224999999999994</v>
      </c>
      <c r="S1125" s="8">
        <v>149.9</v>
      </c>
      <c r="T1125" s="8">
        <v>16</v>
      </c>
      <c r="U1125" s="8"/>
      <c r="V1125" s="8">
        <v>0</v>
      </c>
      <c r="W1125" s="12">
        <v>0</v>
      </c>
      <c r="Y1125">
        <v>0</v>
      </c>
    </row>
    <row r="1126" spans="1:25" ht="40" customHeight="1">
      <c r="A1126" s="6" t="s">
        <v>5627</v>
      </c>
      <c r="B1126" s="6" t="s">
        <v>5628</v>
      </c>
      <c r="C1126" s="6" t="s">
        <v>5619</v>
      </c>
      <c r="D1126" s="6" t="s">
        <v>561</v>
      </c>
      <c r="E1126" s="6" t="s">
        <v>5629</v>
      </c>
      <c r="F1126" s="6"/>
      <c r="G1126" s="6" t="s">
        <v>5236</v>
      </c>
      <c r="H1126" s="6" t="s">
        <v>5621</v>
      </c>
      <c r="I1126" s="6" t="s">
        <v>5184</v>
      </c>
      <c r="J1126" s="6" t="s">
        <v>5622</v>
      </c>
      <c r="K1126" s="6" t="s">
        <v>5300</v>
      </c>
      <c r="L1126" s="6" t="s">
        <v>54</v>
      </c>
      <c r="M1126" s="6" t="s">
        <v>54</v>
      </c>
      <c r="N1126" s="6" t="s">
        <v>5146</v>
      </c>
      <c r="O1126" s="6" t="s">
        <v>5623</v>
      </c>
      <c r="P1126" s="6" t="s">
        <v>5204</v>
      </c>
      <c r="Q1126" s="8">
        <v>75</v>
      </c>
      <c r="R1126" s="8">
        <v>75.224999999999994</v>
      </c>
      <c r="S1126" s="8">
        <v>149.9</v>
      </c>
      <c r="T1126" s="8">
        <v>16</v>
      </c>
      <c r="U1126" s="8"/>
      <c r="V1126" s="8">
        <v>0</v>
      </c>
      <c r="W1126" s="12">
        <v>0</v>
      </c>
      <c r="Y1126">
        <v>0</v>
      </c>
    </row>
    <row r="1127" spans="1:25" ht="40" customHeight="1">
      <c r="A1127" s="6" t="s">
        <v>5630</v>
      </c>
      <c r="B1127" s="6" t="s">
        <v>5631</v>
      </c>
      <c r="C1127" s="6" t="s">
        <v>5619</v>
      </c>
      <c r="D1127" s="6" t="s">
        <v>1092</v>
      </c>
      <c r="E1127" s="6" t="s">
        <v>5632</v>
      </c>
      <c r="F1127" s="6"/>
      <c r="G1127" s="6" t="s">
        <v>5236</v>
      </c>
      <c r="H1127" s="6" t="s">
        <v>5621</v>
      </c>
      <c r="I1127" s="6" t="s">
        <v>5184</v>
      </c>
      <c r="J1127" s="6" t="s">
        <v>5622</v>
      </c>
      <c r="K1127" s="6" t="s">
        <v>1094</v>
      </c>
      <c r="L1127" s="6" t="s">
        <v>54</v>
      </c>
      <c r="M1127" s="6" t="s">
        <v>54</v>
      </c>
      <c r="N1127" s="6" t="s">
        <v>5146</v>
      </c>
      <c r="O1127" s="6" t="s">
        <v>5623</v>
      </c>
      <c r="P1127" s="6" t="s">
        <v>5204</v>
      </c>
      <c r="Q1127" s="8">
        <v>75</v>
      </c>
      <c r="R1127" s="8">
        <v>75.224999999999994</v>
      </c>
      <c r="S1127" s="8">
        <v>149.9</v>
      </c>
      <c r="T1127" s="8">
        <v>16</v>
      </c>
      <c r="U1127" s="8"/>
      <c r="V1127" s="8">
        <v>0</v>
      </c>
      <c r="W1127" s="12">
        <v>0</v>
      </c>
      <c r="Y1127">
        <v>0</v>
      </c>
    </row>
    <row r="1128" spans="1:25" ht="40" customHeight="1">
      <c r="A1128" s="6" t="s">
        <v>5633</v>
      </c>
      <c r="B1128" s="6" t="s">
        <v>5634</v>
      </c>
      <c r="C1128" s="6" t="s">
        <v>5635</v>
      </c>
      <c r="D1128" s="6" t="s">
        <v>147</v>
      </c>
      <c r="E1128" s="6" t="s">
        <v>5636</v>
      </c>
      <c r="F1128" s="6"/>
      <c r="G1128" s="6" t="s">
        <v>5637</v>
      </c>
      <c r="H1128" s="6" t="s">
        <v>215</v>
      </c>
      <c r="I1128" s="6" t="s">
        <v>5184</v>
      </c>
      <c r="J1128" s="6" t="s">
        <v>5638</v>
      </c>
      <c r="K1128" s="6" t="s">
        <v>5639</v>
      </c>
      <c r="L1128" s="6" t="s">
        <v>5640</v>
      </c>
      <c r="M1128" s="6" t="s">
        <v>5641</v>
      </c>
      <c r="N1128" s="6" t="s">
        <v>5146</v>
      </c>
      <c r="O1128" s="6" t="s">
        <v>5255</v>
      </c>
      <c r="P1128" s="6" t="s">
        <v>5256</v>
      </c>
      <c r="Q1128" s="8">
        <v>100</v>
      </c>
      <c r="R1128" s="8">
        <v>100.3</v>
      </c>
      <c r="S1128" s="8">
        <v>199.9</v>
      </c>
      <c r="T1128" s="8">
        <v>16</v>
      </c>
      <c r="U1128" s="8"/>
      <c r="V1128" s="8">
        <v>0</v>
      </c>
      <c r="W1128" s="12">
        <v>0</v>
      </c>
      <c r="Y1128">
        <v>0</v>
      </c>
    </row>
    <row r="1129" spans="1:25" ht="40" customHeight="1">
      <c r="A1129" s="6" t="s">
        <v>5642</v>
      </c>
      <c r="B1129" s="6" t="s">
        <v>5643</v>
      </c>
      <c r="C1129" s="6" t="s">
        <v>5635</v>
      </c>
      <c r="D1129" s="6" t="s">
        <v>40</v>
      </c>
      <c r="E1129" s="6" t="s">
        <v>5644</v>
      </c>
      <c r="F1129" s="6"/>
      <c r="G1129" s="6" t="s">
        <v>5637</v>
      </c>
      <c r="H1129" s="6" t="s">
        <v>215</v>
      </c>
      <c r="I1129" s="6" t="s">
        <v>5184</v>
      </c>
      <c r="J1129" s="6" t="s">
        <v>5638</v>
      </c>
      <c r="K1129" s="6" t="s">
        <v>5645</v>
      </c>
      <c r="L1129" s="6" t="s">
        <v>5640</v>
      </c>
      <c r="M1129" s="6" t="s">
        <v>5641</v>
      </c>
      <c r="N1129" s="6" t="s">
        <v>5146</v>
      </c>
      <c r="O1129" s="6" t="s">
        <v>5255</v>
      </c>
      <c r="P1129" s="6" t="s">
        <v>5256</v>
      </c>
      <c r="Q1129" s="8">
        <v>100</v>
      </c>
      <c r="R1129" s="8">
        <v>100.3</v>
      </c>
      <c r="S1129" s="8">
        <v>199.9</v>
      </c>
      <c r="T1129" s="8">
        <v>16</v>
      </c>
      <c r="U1129" s="8"/>
      <c r="V1129" s="8">
        <v>0</v>
      </c>
      <c r="W1129" s="12">
        <v>0</v>
      </c>
      <c r="Y1129">
        <v>0</v>
      </c>
    </row>
    <row r="1130" spans="1:25" ht="40" customHeight="1">
      <c r="A1130" s="6" t="s">
        <v>5646</v>
      </c>
      <c r="B1130" s="6" t="s">
        <v>5647</v>
      </c>
      <c r="C1130" s="6" t="s">
        <v>5635</v>
      </c>
      <c r="D1130" s="6" t="s">
        <v>279</v>
      </c>
      <c r="E1130" s="6" t="s">
        <v>5648</v>
      </c>
      <c r="F1130" s="6"/>
      <c r="G1130" s="6" t="s">
        <v>5637</v>
      </c>
      <c r="H1130" s="6" t="s">
        <v>215</v>
      </c>
      <c r="I1130" s="6" t="s">
        <v>5184</v>
      </c>
      <c r="J1130" s="6" t="s">
        <v>5638</v>
      </c>
      <c r="K1130" s="6" t="s">
        <v>5649</v>
      </c>
      <c r="L1130" s="6" t="s">
        <v>5640</v>
      </c>
      <c r="M1130" s="6" t="s">
        <v>5641</v>
      </c>
      <c r="N1130" s="6" t="s">
        <v>5146</v>
      </c>
      <c r="O1130" s="6" t="s">
        <v>5255</v>
      </c>
      <c r="P1130" s="6" t="s">
        <v>5256</v>
      </c>
      <c r="Q1130" s="8">
        <v>100</v>
      </c>
      <c r="R1130" s="8">
        <v>100.3</v>
      </c>
      <c r="S1130" s="8">
        <v>199.9</v>
      </c>
      <c r="T1130" s="8">
        <v>16</v>
      </c>
      <c r="U1130" s="8"/>
      <c r="V1130" s="8">
        <v>0</v>
      </c>
      <c r="W1130" s="12">
        <v>0</v>
      </c>
      <c r="Y1130">
        <v>0</v>
      </c>
    </row>
    <row r="1131" spans="1:25" ht="40" customHeight="1">
      <c r="A1131" s="6" t="s">
        <v>5650</v>
      </c>
      <c r="B1131" s="6" t="s">
        <v>5651</v>
      </c>
      <c r="C1131" s="6" t="s">
        <v>5635</v>
      </c>
      <c r="D1131" s="6" t="s">
        <v>5652</v>
      </c>
      <c r="E1131" s="6" t="s">
        <v>5653</v>
      </c>
      <c r="F1131" s="6"/>
      <c r="G1131" s="6" t="s">
        <v>5637</v>
      </c>
      <c r="H1131" s="6" t="s">
        <v>215</v>
      </c>
      <c r="I1131" s="6" t="s">
        <v>5184</v>
      </c>
      <c r="J1131" s="6" t="s">
        <v>5638</v>
      </c>
      <c r="K1131" s="6" t="s">
        <v>5654</v>
      </c>
      <c r="L1131" s="6" t="s">
        <v>5640</v>
      </c>
      <c r="M1131" s="6" t="s">
        <v>5641</v>
      </c>
      <c r="N1131" s="6" t="s">
        <v>5146</v>
      </c>
      <c r="O1131" s="6" t="s">
        <v>5255</v>
      </c>
      <c r="P1131" s="6" t="s">
        <v>5256</v>
      </c>
      <c r="Q1131" s="8">
        <v>100</v>
      </c>
      <c r="R1131" s="8">
        <v>100.3</v>
      </c>
      <c r="S1131" s="8">
        <v>199.9</v>
      </c>
      <c r="T1131" s="8">
        <v>16</v>
      </c>
      <c r="U1131" s="8"/>
      <c r="V1131" s="8">
        <v>0</v>
      </c>
      <c r="W1131" s="12">
        <v>0</v>
      </c>
      <c r="Y1131">
        <v>0</v>
      </c>
    </row>
    <row r="1132" spans="1:25" ht="40" customHeight="1">
      <c r="A1132" s="6" t="s">
        <v>5655</v>
      </c>
      <c r="B1132" s="6" t="s">
        <v>5656</v>
      </c>
      <c r="C1132" s="6" t="s">
        <v>5657</v>
      </c>
      <c r="D1132" s="6" t="s">
        <v>5138</v>
      </c>
      <c r="E1132" s="6" t="s">
        <v>5658</v>
      </c>
      <c r="F1132" s="6"/>
      <c r="G1132" s="6" t="s">
        <v>5324</v>
      </c>
      <c r="H1132" s="6" t="s">
        <v>5659</v>
      </c>
      <c r="I1132" s="6" t="s">
        <v>5184</v>
      </c>
      <c r="J1132" s="6" t="s">
        <v>5660</v>
      </c>
      <c r="K1132" s="6" t="s">
        <v>5661</v>
      </c>
      <c r="L1132" s="6" t="s">
        <v>54</v>
      </c>
      <c r="M1132" s="6" t="s">
        <v>54</v>
      </c>
      <c r="N1132" s="6" t="s">
        <v>5146</v>
      </c>
      <c r="O1132" s="6" t="s">
        <v>5203</v>
      </c>
      <c r="P1132" s="6" t="s">
        <v>5662</v>
      </c>
      <c r="Q1132" s="8">
        <v>85</v>
      </c>
      <c r="R1132" s="8">
        <v>85.254999999999995</v>
      </c>
      <c r="S1132" s="8">
        <v>169.9</v>
      </c>
      <c r="T1132" s="8">
        <v>16</v>
      </c>
      <c r="U1132" s="8"/>
      <c r="V1132" s="8">
        <v>0</v>
      </c>
      <c r="W1132" s="12">
        <v>0</v>
      </c>
      <c r="Y1132">
        <v>0</v>
      </c>
    </row>
    <row r="1133" spans="1:25" ht="40" customHeight="1">
      <c r="A1133" s="6" t="s">
        <v>5663</v>
      </c>
      <c r="B1133" s="6" t="s">
        <v>5664</v>
      </c>
      <c r="C1133" s="6" t="s">
        <v>5657</v>
      </c>
      <c r="D1133" s="6" t="s">
        <v>5464</v>
      </c>
      <c r="E1133" s="6" t="s">
        <v>5665</v>
      </c>
      <c r="F1133" s="6"/>
      <c r="G1133" s="6" t="s">
        <v>5324</v>
      </c>
      <c r="H1133" s="6" t="s">
        <v>5659</v>
      </c>
      <c r="I1133" s="6" t="s">
        <v>5184</v>
      </c>
      <c r="J1133" s="6" t="s">
        <v>5660</v>
      </c>
      <c r="K1133" s="6" t="s">
        <v>5466</v>
      </c>
      <c r="L1133" s="6" t="s">
        <v>54</v>
      </c>
      <c r="M1133" s="6" t="s">
        <v>54</v>
      </c>
      <c r="N1133" s="6" t="s">
        <v>5146</v>
      </c>
      <c r="O1133" s="6" t="s">
        <v>5203</v>
      </c>
      <c r="P1133" s="6" t="s">
        <v>5662</v>
      </c>
      <c r="Q1133" s="8">
        <v>85</v>
      </c>
      <c r="R1133" s="8">
        <v>85.254999999999995</v>
      </c>
      <c r="S1133" s="8">
        <v>169.9</v>
      </c>
      <c r="T1133" s="8">
        <v>16</v>
      </c>
      <c r="U1133" s="8"/>
      <c r="V1133" s="8">
        <v>0</v>
      </c>
      <c r="W1133" s="12">
        <v>0</v>
      </c>
      <c r="Y1133">
        <v>0</v>
      </c>
    </row>
    <row r="1134" spans="1:25" ht="40" customHeight="1">
      <c r="A1134" s="6" t="s">
        <v>5666</v>
      </c>
      <c r="B1134" s="6" t="s">
        <v>5667</v>
      </c>
      <c r="C1134" s="6" t="s">
        <v>5668</v>
      </c>
      <c r="D1134" s="6" t="s">
        <v>1667</v>
      </c>
      <c r="E1134" s="6" t="s">
        <v>5669</v>
      </c>
      <c r="F1134" s="6"/>
      <c r="G1134" s="6" t="s">
        <v>1655</v>
      </c>
      <c r="H1134" s="6" t="s">
        <v>215</v>
      </c>
      <c r="I1134" s="6" t="s">
        <v>5184</v>
      </c>
      <c r="J1134" s="6" t="s">
        <v>1656</v>
      </c>
      <c r="K1134" s="6" t="s">
        <v>5670</v>
      </c>
      <c r="L1134" s="6" t="s">
        <v>5671</v>
      </c>
      <c r="M1134" s="6" t="s">
        <v>5672</v>
      </c>
      <c r="N1134" s="6" t="s">
        <v>5146</v>
      </c>
      <c r="O1134" s="6" t="s">
        <v>5673</v>
      </c>
      <c r="P1134" s="6" t="s">
        <v>2872</v>
      </c>
      <c r="Q1134" s="8">
        <v>110</v>
      </c>
      <c r="R1134" s="8">
        <v>110.33</v>
      </c>
      <c r="S1134" s="8">
        <v>219.9</v>
      </c>
      <c r="T1134" s="8">
        <v>16</v>
      </c>
      <c r="U1134" s="8"/>
      <c r="V1134" s="8">
        <v>0</v>
      </c>
      <c r="W1134" s="12">
        <v>0</v>
      </c>
      <c r="Y1134">
        <v>0</v>
      </c>
    </row>
    <row r="1135" spans="1:25" ht="40" customHeight="1">
      <c r="A1135" s="6" t="s">
        <v>5674</v>
      </c>
      <c r="B1135" s="6" t="s">
        <v>5675</v>
      </c>
      <c r="C1135" s="6" t="s">
        <v>5668</v>
      </c>
      <c r="D1135" s="6" t="s">
        <v>410</v>
      </c>
      <c r="E1135" s="6" t="s">
        <v>5676</v>
      </c>
      <c r="F1135" s="6"/>
      <c r="G1135" s="6" t="s">
        <v>1655</v>
      </c>
      <c r="H1135" s="6" t="s">
        <v>215</v>
      </c>
      <c r="I1135" s="6" t="s">
        <v>5184</v>
      </c>
      <c r="J1135" s="6" t="s">
        <v>1656</v>
      </c>
      <c r="K1135" s="6" t="s">
        <v>5677</v>
      </c>
      <c r="L1135" s="6" t="s">
        <v>5671</v>
      </c>
      <c r="M1135" s="6" t="s">
        <v>5672</v>
      </c>
      <c r="N1135" s="6" t="s">
        <v>5146</v>
      </c>
      <c r="O1135" s="6" t="s">
        <v>5673</v>
      </c>
      <c r="P1135" s="6" t="s">
        <v>2872</v>
      </c>
      <c r="Q1135" s="8">
        <v>110</v>
      </c>
      <c r="R1135" s="8">
        <v>110.33</v>
      </c>
      <c r="S1135" s="8">
        <v>219.9</v>
      </c>
      <c r="T1135" s="8">
        <v>16</v>
      </c>
      <c r="U1135" s="8"/>
      <c r="V1135" s="8">
        <v>0</v>
      </c>
      <c r="W1135" s="12">
        <v>0</v>
      </c>
      <c r="Y1135">
        <v>0</v>
      </c>
    </row>
    <row r="1136" spans="1:25" ht="40" customHeight="1">
      <c r="A1136" s="6" t="s">
        <v>5678</v>
      </c>
      <c r="B1136" s="6" t="s">
        <v>5679</v>
      </c>
      <c r="C1136" s="6" t="s">
        <v>5668</v>
      </c>
      <c r="D1136" s="6" t="s">
        <v>1699</v>
      </c>
      <c r="E1136" s="6" t="s">
        <v>5680</v>
      </c>
      <c r="F1136" s="6"/>
      <c r="G1136" s="6" t="s">
        <v>1655</v>
      </c>
      <c r="H1136" s="6" t="s">
        <v>215</v>
      </c>
      <c r="I1136" s="6" t="s">
        <v>5184</v>
      </c>
      <c r="J1136" s="6" t="s">
        <v>1656</v>
      </c>
      <c r="K1136" s="6" t="s">
        <v>5681</v>
      </c>
      <c r="L1136" s="6" t="s">
        <v>5671</v>
      </c>
      <c r="M1136" s="6" t="s">
        <v>5672</v>
      </c>
      <c r="N1136" s="6" t="s">
        <v>5146</v>
      </c>
      <c r="O1136" s="6" t="s">
        <v>5673</v>
      </c>
      <c r="P1136" s="6" t="s">
        <v>2872</v>
      </c>
      <c r="Q1136" s="8">
        <v>110</v>
      </c>
      <c r="R1136" s="8">
        <v>110.33</v>
      </c>
      <c r="S1136" s="8">
        <v>219.9</v>
      </c>
      <c r="T1136" s="8">
        <v>16</v>
      </c>
      <c r="U1136" s="8"/>
      <c r="V1136" s="8">
        <v>0</v>
      </c>
      <c r="W1136" s="12">
        <v>0</v>
      </c>
      <c r="Y1136">
        <v>0</v>
      </c>
    </row>
    <row r="1137" spans="1:25" ht="40" customHeight="1">
      <c r="A1137" s="6" t="s">
        <v>5682</v>
      </c>
      <c r="B1137" s="6" t="s">
        <v>5683</v>
      </c>
      <c r="C1137" s="6" t="s">
        <v>5668</v>
      </c>
      <c r="D1137" s="6" t="s">
        <v>5684</v>
      </c>
      <c r="E1137" s="6" t="s">
        <v>5685</v>
      </c>
      <c r="F1137" s="6"/>
      <c r="G1137" s="6" t="s">
        <v>1655</v>
      </c>
      <c r="H1137" s="6" t="s">
        <v>215</v>
      </c>
      <c r="I1137" s="6" t="s">
        <v>5184</v>
      </c>
      <c r="J1137" s="6" t="s">
        <v>1656</v>
      </c>
      <c r="K1137" s="6" t="s">
        <v>5686</v>
      </c>
      <c r="L1137" s="6" t="s">
        <v>5671</v>
      </c>
      <c r="M1137" s="6" t="s">
        <v>5672</v>
      </c>
      <c r="N1137" s="6" t="s">
        <v>5146</v>
      </c>
      <c r="O1137" s="6" t="s">
        <v>5673</v>
      </c>
      <c r="P1137" s="6" t="s">
        <v>2872</v>
      </c>
      <c r="Q1137" s="8">
        <v>110</v>
      </c>
      <c r="R1137" s="8">
        <v>110.33</v>
      </c>
      <c r="S1137" s="8">
        <v>219.9</v>
      </c>
      <c r="T1137" s="8">
        <v>16</v>
      </c>
      <c r="U1137" s="8"/>
      <c r="V1137" s="8">
        <v>0</v>
      </c>
      <c r="W1137" s="12">
        <v>0</v>
      </c>
      <c r="Y1137">
        <v>0</v>
      </c>
    </row>
    <row r="1138" spans="1:25" ht="40" customHeight="1">
      <c r="A1138" s="6" t="s">
        <v>5687</v>
      </c>
      <c r="B1138" s="6" t="s">
        <v>5688</v>
      </c>
      <c r="C1138" s="6" t="s">
        <v>5689</v>
      </c>
      <c r="D1138" s="6" t="s">
        <v>279</v>
      </c>
      <c r="E1138" s="6" t="s">
        <v>5690</v>
      </c>
      <c r="F1138" s="6"/>
      <c r="G1138" s="6" t="s">
        <v>897</v>
      </c>
      <c r="H1138" s="6" t="s">
        <v>5691</v>
      </c>
      <c r="I1138" s="6" t="s">
        <v>5184</v>
      </c>
      <c r="J1138" s="6" t="s">
        <v>5692</v>
      </c>
      <c r="K1138" s="6" t="s">
        <v>5488</v>
      </c>
      <c r="L1138" s="6" t="s">
        <v>54</v>
      </c>
      <c r="M1138" s="6" t="s">
        <v>54</v>
      </c>
      <c r="N1138" s="6" t="s">
        <v>5146</v>
      </c>
      <c r="O1138" s="6" t="s">
        <v>5693</v>
      </c>
      <c r="P1138" s="6" t="s">
        <v>5405</v>
      </c>
      <c r="Q1138" s="8">
        <v>90</v>
      </c>
      <c r="R1138" s="8">
        <v>90.27</v>
      </c>
      <c r="S1138" s="8">
        <v>179.9</v>
      </c>
      <c r="T1138" s="8">
        <v>16</v>
      </c>
      <c r="U1138" s="8"/>
      <c r="V1138" s="8">
        <v>0</v>
      </c>
      <c r="W1138" s="12">
        <v>0</v>
      </c>
      <c r="Y1138">
        <v>0</v>
      </c>
    </row>
    <row r="1139" spans="1:25" ht="40" customHeight="1">
      <c r="A1139" s="6" t="s">
        <v>5694</v>
      </c>
      <c r="B1139" s="6" t="s">
        <v>5695</v>
      </c>
      <c r="C1139" s="6" t="s">
        <v>5689</v>
      </c>
      <c r="D1139" s="6" t="s">
        <v>109</v>
      </c>
      <c r="E1139" s="6" t="s">
        <v>5696</v>
      </c>
      <c r="F1139" s="6"/>
      <c r="G1139" s="6" t="s">
        <v>897</v>
      </c>
      <c r="H1139" s="6" t="s">
        <v>5691</v>
      </c>
      <c r="I1139" s="6" t="s">
        <v>5184</v>
      </c>
      <c r="J1139" s="6" t="s">
        <v>5692</v>
      </c>
      <c r="K1139" s="6" t="s">
        <v>3137</v>
      </c>
      <c r="L1139" s="6" t="s">
        <v>54</v>
      </c>
      <c r="M1139" s="6" t="s">
        <v>54</v>
      </c>
      <c r="N1139" s="6" t="s">
        <v>5146</v>
      </c>
      <c r="O1139" s="6" t="s">
        <v>5693</v>
      </c>
      <c r="P1139" s="6" t="s">
        <v>5405</v>
      </c>
      <c r="Q1139" s="8">
        <v>90</v>
      </c>
      <c r="R1139" s="8">
        <v>90.27</v>
      </c>
      <c r="S1139" s="8">
        <v>179.9</v>
      </c>
      <c r="T1139" s="8">
        <v>16</v>
      </c>
      <c r="U1139" s="8"/>
      <c r="V1139" s="8">
        <v>0</v>
      </c>
      <c r="W1139" s="12">
        <v>0</v>
      </c>
      <c r="Y1139">
        <v>0</v>
      </c>
    </row>
    <row r="1140" spans="1:25" ht="40" customHeight="1">
      <c r="A1140" s="6" t="s">
        <v>5697</v>
      </c>
      <c r="B1140" s="6" t="s">
        <v>5698</v>
      </c>
      <c r="C1140" s="6" t="s">
        <v>5699</v>
      </c>
      <c r="D1140" s="6" t="s">
        <v>1614</v>
      </c>
      <c r="E1140" s="6" t="s">
        <v>5700</v>
      </c>
      <c r="F1140" s="6"/>
      <c r="G1140" s="6" t="s">
        <v>897</v>
      </c>
      <c r="H1140" s="6" t="s">
        <v>5701</v>
      </c>
      <c r="I1140" s="6" t="s">
        <v>5184</v>
      </c>
      <c r="J1140" s="6" t="s">
        <v>5702</v>
      </c>
      <c r="K1140" s="6" t="s">
        <v>5703</v>
      </c>
      <c r="L1140" s="6" t="s">
        <v>54</v>
      </c>
      <c r="M1140" s="6" t="s">
        <v>54</v>
      </c>
      <c r="N1140" s="6" t="s">
        <v>5146</v>
      </c>
      <c r="O1140" s="6" t="s">
        <v>5704</v>
      </c>
      <c r="P1140" s="6"/>
      <c r="Q1140" s="8">
        <v>100</v>
      </c>
      <c r="R1140" s="8">
        <v>100.3</v>
      </c>
      <c r="S1140" s="8">
        <v>199.9</v>
      </c>
      <c r="T1140" s="8">
        <v>16</v>
      </c>
      <c r="U1140" s="8"/>
      <c r="V1140" s="8">
        <v>0</v>
      </c>
      <c r="W1140" s="12">
        <v>0</v>
      </c>
      <c r="Y1140">
        <v>0</v>
      </c>
    </row>
    <row r="1141" spans="1:25" ht="40" customHeight="1">
      <c r="A1141" s="6" t="s">
        <v>5705</v>
      </c>
      <c r="B1141" s="6" t="s">
        <v>5706</v>
      </c>
      <c r="C1141" s="6" t="s">
        <v>5699</v>
      </c>
      <c r="D1141" s="6" t="s">
        <v>74</v>
      </c>
      <c r="E1141" s="6" t="s">
        <v>5707</v>
      </c>
      <c r="F1141" s="6"/>
      <c r="G1141" s="6" t="s">
        <v>897</v>
      </c>
      <c r="H1141" s="6" t="s">
        <v>5701</v>
      </c>
      <c r="I1141" s="6" t="s">
        <v>5184</v>
      </c>
      <c r="J1141" s="6" t="s">
        <v>5702</v>
      </c>
      <c r="K1141" s="6" t="s">
        <v>5708</v>
      </c>
      <c r="L1141" s="6" t="s">
        <v>54</v>
      </c>
      <c r="M1141" s="6" t="s">
        <v>54</v>
      </c>
      <c r="N1141" s="6" t="s">
        <v>5146</v>
      </c>
      <c r="O1141" s="6" t="s">
        <v>5704</v>
      </c>
      <c r="P1141" s="6"/>
      <c r="Q1141" s="8">
        <v>100</v>
      </c>
      <c r="R1141" s="8">
        <v>100.3</v>
      </c>
      <c r="S1141" s="8">
        <v>199.9</v>
      </c>
      <c r="T1141" s="8">
        <v>16</v>
      </c>
      <c r="U1141" s="8"/>
      <c r="V1141" s="8">
        <v>0</v>
      </c>
      <c r="W1141" s="12">
        <v>0</v>
      </c>
      <c r="Y1141">
        <v>0</v>
      </c>
    </row>
    <row r="1142" spans="1:25" ht="40" customHeight="1">
      <c r="A1142" s="6" t="s">
        <v>5709</v>
      </c>
      <c r="B1142" s="6" t="s">
        <v>5710</v>
      </c>
      <c r="C1142" s="6" t="s">
        <v>5699</v>
      </c>
      <c r="D1142" s="6" t="s">
        <v>659</v>
      </c>
      <c r="E1142" s="6" t="s">
        <v>5711</v>
      </c>
      <c r="F1142" s="6"/>
      <c r="G1142" s="6" t="s">
        <v>897</v>
      </c>
      <c r="H1142" s="6" t="s">
        <v>5701</v>
      </c>
      <c r="I1142" s="6" t="s">
        <v>5184</v>
      </c>
      <c r="J1142" s="6" t="s">
        <v>5702</v>
      </c>
      <c r="K1142" s="6" t="s">
        <v>5712</v>
      </c>
      <c r="L1142" s="6" t="s">
        <v>54</v>
      </c>
      <c r="M1142" s="6" t="s">
        <v>54</v>
      </c>
      <c r="N1142" s="6" t="s">
        <v>5146</v>
      </c>
      <c r="O1142" s="6" t="s">
        <v>5704</v>
      </c>
      <c r="P1142" s="6"/>
      <c r="Q1142" s="8">
        <v>100</v>
      </c>
      <c r="R1142" s="8">
        <v>100.3</v>
      </c>
      <c r="S1142" s="8">
        <v>199.9</v>
      </c>
      <c r="T1142" s="8">
        <v>16</v>
      </c>
      <c r="U1142" s="8"/>
      <c r="V1142" s="8">
        <v>0</v>
      </c>
      <c r="W1142" s="12">
        <v>0</v>
      </c>
      <c r="Y1142">
        <v>0</v>
      </c>
    </row>
    <row r="1143" spans="1:25" ht="40" customHeight="1">
      <c r="A1143" s="6" t="s">
        <v>5713</v>
      </c>
      <c r="B1143" s="6" t="s">
        <v>5714</v>
      </c>
      <c r="C1143" s="6" t="s">
        <v>5715</v>
      </c>
      <c r="D1143" s="6" t="s">
        <v>623</v>
      </c>
      <c r="E1143" s="6" t="s">
        <v>5716</v>
      </c>
      <c r="F1143" s="6"/>
      <c r="G1143" s="6" t="s">
        <v>4043</v>
      </c>
      <c r="H1143" s="6" t="s">
        <v>5717</v>
      </c>
      <c r="I1143" s="6" t="s">
        <v>5184</v>
      </c>
      <c r="J1143" s="6" t="s">
        <v>5718</v>
      </c>
      <c r="K1143" s="6" t="s">
        <v>625</v>
      </c>
      <c r="L1143" s="6" t="s">
        <v>5144</v>
      </c>
      <c r="M1143" s="6" t="s">
        <v>5719</v>
      </c>
      <c r="N1143" s="6" t="s">
        <v>5146</v>
      </c>
      <c r="O1143" s="6" t="s">
        <v>5203</v>
      </c>
      <c r="P1143" s="6"/>
      <c r="Q1143" s="8">
        <v>75</v>
      </c>
      <c r="R1143" s="8">
        <v>75.224999999999994</v>
      </c>
      <c r="S1143" s="8">
        <v>149.9</v>
      </c>
      <c r="T1143" s="8">
        <v>16</v>
      </c>
      <c r="U1143" s="8"/>
      <c r="V1143" s="8">
        <v>0</v>
      </c>
      <c r="W1143" s="12">
        <v>0</v>
      </c>
      <c r="Y1143">
        <v>0</v>
      </c>
    </row>
    <row r="1144" spans="1:25" ht="40" customHeight="1">
      <c r="A1144" s="6" t="s">
        <v>5720</v>
      </c>
      <c r="B1144" s="6" t="s">
        <v>5721</v>
      </c>
      <c r="C1144" s="6" t="s">
        <v>5715</v>
      </c>
      <c r="D1144" s="6" t="s">
        <v>5722</v>
      </c>
      <c r="E1144" s="6" t="s">
        <v>5723</v>
      </c>
      <c r="F1144" s="6"/>
      <c r="G1144" s="6" t="s">
        <v>4043</v>
      </c>
      <c r="H1144" s="6" t="s">
        <v>5717</v>
      </c>
      <c r="I1144" s="6" t="s">
        <v>5184</v>
      </c>
      <c r="J1144" s="6" t="s">
        <v>5718</v>
      </c>
      <c r="K1144" s="6" t="s">
        <v>5724</v>
      </c>
      <c r="L1144" s="6" t="s">
        <v>5144</v>
      </c>
      <c r="M1144" s="6" t="s">
        <v>5719</v>
      </c>
      <c r="N1144" s="6" t="s">
        <v>5146</v>
      </c>
      <c r="O1144" s="6" t="s">
        <v>5203</v>
      </c>
      <c r="P1144" s="6"/>
      <c r="Q1144" s="8">
        <v>75</v>
      </c>
      <c r="R1144" s="8">
        <v>75.224999999999994</v>
      </c>
      <c r="S1144" s="8">
        <v>149.9</v>
      </c>
      <c r="T1144" s="8">
        <v>16</v>
      </c>
      <c r="U1144" s="8"/>
      <c r="V1144" s="8">
        <v>0</v>
      </c>
      <c r="W1144" s="12">
        <v>0</v>
      </c>
      <c r="Y1144">
        <v>0</v>
      </c>
    </row>
    <row r="1145" spans="1:25" ht="40" customHeight="1">
      <c r="A1145" s="6" t="s">
        <v>5725</v>
      </c>
      <c r="B1145" s="6" t="s">
        <v>5726</v>
      </c>
      <c r="C1145" s="6" t="s">
        <v>5715</v>
      </c>
      <c r="D1145" s="6" t="s">
        <v>5727</v>
      </c>
      <c r="E1145" s="6" t="s">
        <v>5728</v>
      </c>
      <c r="F1145" s="6"/>
      <c r="G1145" s="6" t="s">
        <v>4043</v>
      </c>
      <c r="H1145" s="6" t="s">
        <v>5717</v>
      </c>
      <c r="I1145" s="6" t="s">
        <v>5184</v>
      </c>
      <c r="J1145" s="6" t="s">
        <v>5718</v>
      </c>
      <c r="K1145" s="6" t="s">
        <v>5729</v>
      </c>
      <c r="L1145" s="6" t="s">
        <v>5144</v>
      </c>
      <c r="M1145" s="6" t="s">
        <v>5719</v>
      </c>
      <c r="N1145" s="6" t="s">
        <v>5146</v>
      </c>
      <c r="O1145" s="6" t="s">
        <v>5203</v>
      </c>
      <c r="P1145" s="6"/>
      <c r="Q1145" s="8">
        <v>75</v>
      </c>
      <c r="R1145" s="8">
        <v>75.224999999999994</v>
      </c>
      <c r="S1145" s="8">
        <v>149.9</v>
      </c>
      <c r="T1145" s="8">
        <v>16</v>
      </c>
      <c r="U1145" s="8"/>
      <c r="V1145" s="8">
        <v>0</v>
      </c>
      <c r="W1145" s="12">
        <v>0</v>
      </c>
      <c r="Y1145">
        <v>0</v>
      </c>
    </row>
    <row r="1146" spans="1:25" ht="40" customHeight="1">
      <c r="A1146" s="6" t="s">
        <v>5730</v>
      </c>
      <c r="B1146" s="6" t="s">
        <v>5731</v>
      </c>
      <c r="C1146" s="6" t="s">
        <v>5715</v>
      </c>
      <c r="D1146" s="6" t="s">
        <v>999</v>
      </c>
      <c r="E1146" s="6" t="s">
        <v>5732</v>
      </c>
      <c r="F1146" s="6"/>
      <c r="G1146" s="6" t="s">
        <v>4043</v>
      </c>
      <c r="H1146" s="6" t="s">
        <v>5717</v>
      </c>
      <c r="I1146" s="6" t="s">
        <v>5184</v>
      </c>
      <c r="J1146" s="6" t="s">
        <v>5718</v>
      </c>
      <c r="K1146" s="6" t="s">
        <v>1089</v>
      </c>
      <c r="L1146" s="6" t="s">
        <v>5144</v>
      </c>
      <c r="M1146" s="6" t="s">
        <v>5719</v>
      </c>
      <c r="N1146" s="6" t="s">
        <v>5146</v>
      </c>
      <c r="O1146" s="6" t="s">
        <v>5203</v>
      </c>
      <c r="P1146" s="6"/>
      <c r="Q1146" s="8">
        <v>75</v>
      </c>
      <c r="R1146" s="8">
        <v>75.224999999999994</v>
      </c>
      <c r="S1146" s="8">
        <v>149.9</v>
      </c>
      <c r="T1146" s="8">
        <v>16</v>
      </c>
      <c r="U1146" s="8"/>
      <c r="V1146" s="8">
        <v>0</v>
      </c>
      <c r="W1146" s="12">
        <v>0</v>
      </c>
      <c r="Y1146">
        <v>0</v>
      </c>
    </row>
    <row r="1147" spans="1:25" ht="40" customHeight="1">
      <c r="A1147" s="6" t="s">
        <v>5733</v>
      </c>
      <c r="B1147" s="6" t="s">
        <v>5734</v>
      </c>
      <c r="C1147" s="6" t="s">
        <v>5715</v>
      </c>
      <c r="D1147" s="6" t="s">
        <v>5735</v>
      </c>
      <c r="E1147" s="6" t="s">
        <v>5736</v>
      </c>
      <c r="F1147" s="6"/>
      <c r="G1147" s="6" t="s">
        <v>4043</v>
      </c>
      <c r="H1147" s="6" t="s">
        <v>5717</v>
      </c>
      <c r="I1147" s="6" t="s">
        <v>5184</v>
      </c>
      <c r="J1147" s="6" t="s">
        <v>5718</v>
      </c>
      <c r="K1147" s="6" t="s">
        <v>5737</v>
      </c>
      <c r="L1147" s="6" t="s">
        <v>5144</v>
      </c>
      <c r="M1147" s="6" t="s">
        <v>5719</v>
      </c>
      <c r="N1147" s="6" t="s">
        <v>5146</v>
      </c>
      <c r="O1147" s="6" t="s">
        <v>5203</v>
      </c>
      <c r="P1147" s="6"/>
      <c r="Q1147" s="8">
        <v>75</v>
      </c>
      <c r="R1147" s="8">
        <v>75.224999999999994</v>
      </c>
      <c r="S1147" s="8">
        <v>149.9</v>
      </c>
      <c r="T1147" s="8">
        <v>16</v>
      </c>
      <c r="U1147" s="8"/>
      <c r="V1147" s="8">
        <v>0</v>
      </c>
      <c r="W1147" s="12">
        <v>0</v>
      </c>
      <c r="Y1147">
        <v>0</v>
      </c>
    </row>
    <row r="1148" spans="1:25" ht="40" customHeight="1">
      <c r="A1148" s="6" t="s">
        <v>5738</v>
      </c>
      <c r="B1148" s="6" t="s">
        <v>5739</v>
      </c>
      <c r="C1148" s="6" t="s">
        <v>5740</v>
      </c>
      <c r="D1148" s="6" t="s">
        <v>147</v>
      </c>
      <c r="E1148" s="6" t="s">
        <v>5741</v>
      </c>
      <c r="F1148" s="6"/>
      <c r="G1148" s="6" t="s">
        <v>5742</v>
      </c>
      <c r="H1148" s="6" t="s">
        <v>5743</v>
      </c>
      <c r="I1148" s="6" t="s">
        <v>5184</v>
      </c>
      <c r="J1148" s="6" t="s">
        <v>5744</v>
      </c>
      <c r="K1148" s="6" t="s">
        <v>3143</v>
      </c>
      <c r="L1148" s="6" t="s">
        <v>54</v>
      </c>
      <c r="M1148" s="6" t="s">
        <v>54</v>
      </c>
      <c r="N1148" s="6" t="s">
        <v>5146</v>
      </c>
      <c r="O1148" s="6" t="s">
        <v>5203</v>
      </c>
      <c r="P1148" s="6" t="s">
        <v>5204</v>
      </c>
      <c r="Q1148" s="8">
        <v>75</v>
      </c>
      <c r="R1148" s="8">
        <v>75.224999999999994</v>
      </c>
      <c r="S1148" s="8">
        <v>149.9</v>
      </c>
      <c r="T1148" s="8">
        <v>16</v>
      </c>
      <c r="U1148" s="8"/>
      <c r="V1148" s="8">
        <v>0</v>
      </c>
      <c r="W1148" s="12">
        <v>0</v>
      </c>
      <c r="Y1148">
        <v>0</v>
      </c>
    </row>
    <row r="1149" spans="1:25" ht="40" customHeight="1">
      <c r="A1149" s="6" t="s">
        <v>5745</v>
      </c>
      <c r="B1149" s="6" t="s">
        <v>5746</v>
      </c>
      <c r="C1149" s="6" t="s">
        <v>5740</v>
      </c>
      <c r="D1149" s="6" t="s">
        <v>279</v>
      </c>
      <c r="E1149" s="6" t="s">
        <v>5747</v>
      </c>
      <c r="F1149" s="6"/>
      <c r="G1149" s="6" t="s">
        <v>5742</v>
      </c>
      <c r="H1149" s="6" t="s">
        <v>5743</v>
      </c>
      <c r="I1149" s="6" t="s">
        <v>5184</v>
      </c>
      <c r="J1149" s="6" t="s">
        <v>5744</v>
      </c>
      <c r="K1149" s="6" t="s">
        <v>5488</v>
      </c>
      <c r="L1149" s="6" t="s">
        <v>54</v>
      </c>
      <c r="M1149" s="6" t="s">
        <v>54</v>
      </c>
      <c r="N1149" s="6" t="s">
        <v>5146</v>
      </c>
      <c r="O1149" s="6" t="s">
        <v>5203</v>
      </c>
      <c r="P1149" s="6" t="s">
        <v>5204</v>
      </c>
      <c r="Q1149" s="8">
        <v>75</v>
      </c>
      <c r="R1149" s="8">
        <v>75.224999999999994</v>
      </c>
      <c r="S1149" s="8">
        <v>149.9</v>
      </c>
      <c r="T1149" s="8">
        <v>16</v>
      </c>
      <c r="U1149" s="8"/>
      <c r="V1149" s="8">
        <v>0</v>
      </c>
      <c r="W1149" s="12">
        <v>0</v>
      </c>
      <c r="Y1149">
        <v>0</v>
      </c>
    </row>
    <row r="1150" spans="1:25" ht="40" customHeight="1">
      <c r="A1150" s="6" t="s">
        <v>5748</v>
      </c>
      <c r="B1150" s="6" t="s">
        <v>5749</v>
      </c>
      <c r="C1150" s="6" t="s">
        <v>5740</v>
      </c>
      <c r="D1150" s="6" t="s">
        <v>1092</v>
      </c>
      <c r="E1150" s="6" t="s">
        <v>5750</v>
      </c>
      <c r="F1150" s="6"/>
      <c r="G1150" s="6" t="s">
        <v>5742</v>
      </c>
      <c r="H1150" s="6" t="s">
        <v>5743</v>
      </c>
      <c r="I1150" s="6" t="s">
        <v>5184</v>
      </c>
      <c r="J1150" s="6" t="s">
        <v>5744</v>
      </c>
      <c r="K1150" s="6" t="s">
        <v>5492</v>
      </c>
      <c r="L1150" s="6" t="s">
        <v>54</v>
      </c>
      <c r="M1150" s="6" t="s">
        <v>54</v>
      </c>
      <c r="N1150" s="6" t="s">
        <v>5146</v>
      </c>
      <c r="O1150" s="6" t="s">
        <v>5203</v>
      </c>
      <c r="P1150" s="6" t="s">
        <v>5204</v>
      </c>
      <c r="Q1150" s="8">
        <v>75</v>
      </c>
      <c r="R1150" s="8">
        <v>75.224999999999994</v>
      </c>
      <c r="S1150" s="8">
        <v>149.9</v>
      </c>
      <c r="T1150" s="8">
        <v>16</v>
      </c>
      <c r="U1150" s="8"/>
      <c r="V1150" s="8">
        <v>0</v>
      </c>
      <c r="W1150" s="12">
        <v>0</v>
      </c>
      <c r="Y1150">
        <v>0</v>
      </c>
    </row>
    <row r="1151" spans="1:25" ht="40" customHeight="1">
      <c r="A1151" s="6" t="s">
        <v>5751</v>
      </c>
      <c r="B1151" s="6" t="s">
        <v>5752</v>
      </c>
      <c r="C1151" s="6" t="s">
        <v>5740</v>
      </c>
      <c r="D1151" s="6" t="s">
        <v>711</v>
      </c>
      <c r="E1151" s="6" t="s">
        <v>5753</v>
      </c>
      <c r="F1151" s="6"/>
      <c r="G1151" s="6" t="s">
        <v>5742</v>
      </c>
      <c r="H1151" s="6" t="s">
        <v>5743</v>
      </c>
      <c r="I1151" s="6" t="s">
        <v>5184</v>
      </c>
      <c r="J1151" s="6" t="s">
        <v>5744</v>
      </c>
      <c r="K1151" s="6" t="s">
        <v>5496</v>
      </c>
      <c r="L1151" s="6" t="s">
        <v>54</v>
      </c>
      <c r="M1151" s="6" t="s">
        <v>54</v>
      </c>
      <c r="N1151" s="6" t="s">
        <v>5146</v>
      </c>
      <c r="O1151" s="6" t="s">
        <v>5203</v>
      </c>
      <c r="P1151" s="6" t="s">
        <v>5204</v>
      </c>
      <c r="Q1151" s="8">
        <v>75</v>
      </c>
      <c r="R1151" s="8">
        <v>75.224999999999994</v>
      </c>
      <c r="S1151" s="8">
        <v>149.9</v>
      </c>
      <c r="T1151" s="8">
        <v>16</v>
      </c>
      <c r="U1151" s="8"/>
      <c r="V1151" s="8">
        <v>0</v>
      </c>
      <c r="W1151" s="12">
        <v>0</v>
      </c>
      <c r="Y1151">
        <v>0</v>
      </c>
    </row>
    <row r="1152" spans="1:25" ht="40" customHeight="1">
      <c r="A1152" s="6" t="s">
        <v>5754</v>
      </c>
      <c r="B1152" s="6" t="s">
        <v>5755</v>
      </c>
      <c r="C1152" s="6" t="s">
        <v>5756</v>
      </c>
      <c r="D1152" s="6" t="s">
        <v>5138</v>
      </c>
      <c r="E1152" s="6" t="s">
        <v>5757</v>
      </c>
      <c r="F1152" s="6"/>
      <c r="G1152" s="6" t="s">
        <v>5199</v>
      </c>
      <c r="H1152" s="6" t="s">
        <v>215</v>
      </c>
      <c r="I1152" s="6" t="s">
        <v>5184</v>
      </c>
      <c r="J1152" s="6" t="s">
        <v>5758</v>
      </c>
      <c r="K1152" s="6" t="s">
        <v>5661</v>
      </c>
      <c r="L1152" s="6" t="s">
        <v>54</v>
      </c>
      <c r="M1152" s="6" t="s">
        <v>54</v>
      </c>
      <c r="N1152" s="6" t="s">
        <v>5146</v>
      </c>
      <c r="O1152" s="6" t="s">
        <v>5759</v>
      </c>
      <c r="P1152" s="6"/>
      <c r="Q1152" s="8">
        <v>100</v>
      </c>
      <c r="R1152" s="8">
        <v>100.3</v>
      </c>
      <c r="S1152" s="8">
        <v>199.9</v>
      </c>
      <c r="T1152" s="8">
        <v>16</v>
      </c>
      <c r="U1152" s="8"/>
      <c r="V1152" s="8">
        <v>0</v>
      </c>
      <c r="W1152" s="12">
        <v>0</v>
      </c>
      <c r="Y1152">
        <v>0</v>
      </c>
    </row>
    <row r="1153" spans="1:25" ht="40" customHeight="1">
      <c r="A1153" s="6" t="s">
        <v>5760</v>
      </c>
      <c r="B1153" s="6" t="s">
        <v>5761</v>
      </c>
      <c r="C1153" s="6" t="s">
        <v>5756</v>
      </c>
      <c r="D1153" s="6" t="s">
        <v>1809</v>
      </c>
      <c r="E1153" s="6" t="s">
        <v>5762</v>
      </c>
      <c r="F1153" s="6"/>
      <c r="G1153" s="6" t="s">
        <v>5199</v>
      </c>
      <c r="H1153" s="6" t="s">
        <v>215</v>
      </c>
      <c r="I1153" s="6" t="s">
        <v>5184</v>
      </c>
      <c r="J1153" s="6" t="s">
        <v>5758</v>
      </c>
      <c r="K1153" s="6" t="s">
        <v>5574</v>
      </c>
      <c r="L1153" s="6" t="s">
        <v>54</v>
      </c>
      <c r="M1153" s="6" t="s">
        <v>54</v>
      </c>
      <c r="N1153" s="6" t="s">
        <v>5146</v>
      </c>
      <c r="O1153" s="6" t="s">
        <v>5759</v>
      </c>
      <c r="P1153" s="6"/>
      <c r="Q1153" s="8">
        <v>100</v>
      </c>
      <c r="R1153" s="8">
        <v>100.3</v>
      </c>
      <c r="S1153" s="8">
        <v>199.9</v>
      </c>
      <c r="T1153" s="8">
        <v>16</v>
      </c>
      <c r="U1153" s="8"/>
      <c r="V1153" s="8">
        <v>0</v>
      </c>
      <c r="W1153" s="12">
        <v>0</v>
      </c>
      <c r="Y1153">
        <v>0</v>
      </c>
    </row>
    <row r="1154" spans="1:25" ht="40" customHeight="1">
      <c r="A1154" s="6" t="s">
        <v>5763</v>
      </c>
      <c r="B1154" s="6" t="s">
        <v>5764</v>
      </c>
      <c r="C1154" s="6" t="s">
        <v>5765</v>
      </c>
      <c r="D1154" s="6" t="s">
        <v>64</v>
      </c>
      <c r="E1154" s="6" t="s">
        <v>5766</v>
      </c>
      <c r="F1154" s="6"/>
      <c r="G1154" s="6" t="s">
        <v>1954</v>
      </c>
      <c r="H1154" s="6" t="s">
        <v>215</v>
      </c>
      <c r="I1154" s="6" t="s">
        <v>5184</v>
      </c>
      <c r="J1154" s="6" t="s">
        <v>5767</v>
      </c>
      <c r="K1154" s="6" t="s">
        <v>1173</v>
      </c>
      <c r="L1154" s="6" t="s">
        <v>54</v>
      </c>
      <c r="M1154" s="6" t="s">
        <v>54</v>
      </c>
      <c r="N1154" s="6" t="s">
        <v>5146</v>
      </c>
      <c r="O1154" s="6" t="s">
        <v>5768</v>
      </c>
      <c r="P1154" s="6"/>
      <c r="Q1154" s="8">
        <v>115</v>
      </c>
      <c r="R1154" s="8">
        <v>115.345</v>
      </c>
      <c r="S1154" s="8">
        <v>229.9</v>
      </c>
      <c r="T1154" s="8">
        <v>16</v>
      </c>
      <c r="U1154" s="8"/>
      <c r="V1154" s="8">
        <v>0</v>
      </c>
      <c r="W1154" s="12">
        <v>0</v>
      </c>
      <c r="Y1154">
        <v>0</v>
      </c>
    </row>
    <row r="1155" spans="1:25" ht="40" customHeight="1">
      <c r="A1155" s="6" t="s">
        <v>5769</v>
      </c>
      <c r="B1155" s="6" t="s">
        <v>5770</v>
      </c>
      <c r="C1155" s="6" t="s">
        <v>5765</v>
      </c>
      <c r="D1155" s="6" t="s">
        <v>659</v>
      </c>
      <c r="E1155" s="6" t="s">
        <v>5771</v>
      </c>
      <c r="F1155" s="6"/>
      <c r="G1155" s="6" t="s">
        <v>1954</v>
      </c>
      <c r="H1155" s="6" t="s">
        <v>215</v>
      </c>
      <c r="I1155" s="6" t="s">
        <v>5184</v>
      </c>
      <c r="J1155" s="6" t="s">
        <v>5767</v>
      </c>
      <c r="K1155" s="6" t="s">
        <v>5772</v>
      </c>
      <c r="L1155" s="6" t="s">
        <v>54</v>
      </c>
      <c r="M1155" s="6" t="s">
        <v>54</v>
      </c>
      <c r="N1155" s="6" t="s">
        <v>5146</v>
      </c>
      <c r="O1155" s="6" t="s">
        <v>5768</v>
      </c>
      <c r="P1155" s="6"/>
      <c r="Q1155" s="8">
        <v>115</v>
      </c>
      <c r="R1155" s="8">
        <v>115.345</v>
      </c>
      <c r="S1155" s="8">
        <v>229.9</v>
      </c>
      <c r="T1155" s="8">
        <v>16</v>
      </c>
      <c r="U1155" s="8"/>
      <c r="V1155" s="8">
        <v>0</v>
      </c>
      <c r="W1155" s="12">
        <v>0</v>
      </c>
      <c r="Y1155">
        <v>0</v>
      </c>
    </row>
    <row r="1156" spans="1:25" ht="40" customHeight="1">
      <c r="A1156" s="6" t="s">
        <v>5773</v>
      </c>
      <c r="B1156" s="6" t="s">
        <v>5774</v>
      </c>
      <c r="C1156" s="6" t="s">
        <v>5775</v>
      </c>
      <c r="D1156" s="6" t="s">
        <v>623</v>
      </c>
      <c r="E1156" s="6" t="s">
        <v>5776</v>
      </c>
      <c r="F1156" s="6"/>
      <c r="G1156" s="6" t="s">
        <v>5777</v>
      </c>
      <c r="H1156" s="6" t="s">
        <v>215</v>
      </c>
      <c r="I1156" s="6" t="s">
        <v>5184</v>
      </c>
      <c r="J1156" s="6" t="s">
        <v>5778</v>
      </c>
      <c r="K1156" s="6" t="s">
        <v>1130</v>
      </c>
      <c r="L1156" s="6" t="s">
        <v>54</v>
      </c>
      <c r="M1156" s="6" t="s">
        <v>54</v>
      </c>
      <c r="N1156" s="6" t="s">
        <v>5146</v>
      </c>
      <c r="O1156" s="6" t="s">
        <v>5203</v>
      </c>
      <c r="P1156" s="6"/>
      <c r="Q1156" s="8">
        <v>75</v>
      </c>
      <c r="R1156" s="8">
        <v>75.224999999999994</v>
      </c>
      <c r="S1156" s="8">
        <v>149.9</v>
      </c>
      <c r="T1156" s="8">
        <v>16</v>
      </c>
      <c r="U1156" s="8"/>
      <c r="V1156" s="8">
        <v>0</v>
      </c>
      <c r="W1156" s="12">
        <v>0</v>
      </c>
      <c r="Y1156">
        <v>0</v>
      </c>
    </row>
    <row r="1157" spans="1:25" ht="40" customHeight="1">
      <c r="A1157" s="6" t="s">
        <v>5779</v>
      </c>
      <c r="B1157" s="6" t="s">
        <v>5780</v>
      </c>
      <c r="C1157" s="6" t="s">
        <v>5775</v>
      </c>
      <c r="D1157" s="6" t="s">
        <v>5781</v>
      </c>
      <c r="E1157" s="6" t="s">
        <v>5782</v>
      </c>
      <c r="F1157" s="6"/>
      <c r="G1157" s="6" t="s">
        <v>5777</v>
      </c>
      <c r="H1157" s="6" t="s">
        <v>215</v>
      </c>
      <c r="I1157" s="6" t="s">
        <v>5184</v>
      </c>
      <c r="J1157" s="6" t="s">
        <v>5778</v>
      </c>
      <c r="K1157" s="8"/>
      <c r="L1157" s="8"/>
      <c r="M1157" s="8"/>
      <c r="N1157" s="8"/>
      <c r="O1157" s="8"/>
      <c r="P1157" s="8"/>
      <c r="Q1157" s="8">
        <v>75</v>
      </c>
      <c r="R1157" s="8">
        <v>75.224999999999994</v>
      </c>
      <c r="S1157" s="8">
        <v>149.9</v>
      </c>
      <c r="T1157" s="8">
        <v>16</v>
      </c>
      <c r="U1157" s="8"/>
      <c r="V1157" s="8">
        <v>0</v>
      </c>
      <c r="W1157" s="12">
        <v>0</v>
      </c>
      <c r="Y1157">
        <v>0</v>
      </c>
    </row>
    <row r="1158" spans="1:25" ht="40" customHeight="1">
      <c r="A1158" s="6" t="s">
        <v>5783</v>
      </c>
      <c r="B1158" s="6" t="s">
        <v>5784</v>
      </c>
      <c r="C1158" s="6" t="s">
        <v>5785</v>
      </c>
      <c r="D1158" s="6" t="s">
        <v>5786</v>
      </c>
      <c r="E1158" s="6" t="s">
        <v>5787</v>
      </c>
      <c r="F1158" s="6"/>
      <c r="G1158" s="6" t="s">
        <v>5788</v>
      </c>
      <c r="H1158" s="6" t="s">
        <v>215</v>
      </c>
      <c r="I1158" s="6" t="s">
        <v>5184</v>
      </c>
      <c r="J1158" s="6" t="s">
        <v>5789</v>
      </c>
      <c r="K1158" s="6" t="s">
        <v>5790</v>
      </c>
      <c r="L1158" s="6" t="s">
        <v>54</v>
      </c>
      <c r="M1158" s="6" t="s">
        <v>54</v>
      </c>
      <c r="N1158" s="6" t="s">
        <v>5146</v>
      </c>
      <c r="O1158" s="6" t="s">
        <v>5203</v>
      </c>
      <c r="P1158" s="6"/>
      <c r="Q1158" s="8">
        <v>90</v>
      </c>
      <c r="R1158" s="8">
        <v>90.27</v>
      </c>
      <c r="S1158" s="8">
        <v>179.9</v>
      </c>
      <c r="T1158" s="8">
        <v>16</v>
      </c>
      <c r="U1158" s="8"/>
      <c r="V1158" s="8">
        <v>0</v>
      </c>
      <c r="W1158" s="12">
        <v>0</v>
      </c>
      <c r="Y1158">
        <v>0</v>
      </c>
    </row>
    <row r="1159" spans="1:25" ht="40" customHeight="1">
      <c r="A1159" s="6" t="s">
        <v>5791</v>
      </c>
      <c r="B1159" s="6" t="s">
        <v>5792</v>
      </c>
      <c r="C1159" s="6" t="s">
        <v>5785</v>
      </c>
      <c r="D1159" s="6" t="s">
        <v>1092</v>
      </c>
      <c r="E1159" s="6" t="s">
        <v>5793</v>
      </c>
      <c r="F1159" s="6"/>
      <c r="G1159" s="6" t="s">
        <v>5788</v>
      </c>
      <c r="H1159" s="6" t="s">
        <v>215</v>
      </c>
      <c r="I1159" s="6" t="s">
        <v>5184</v>
      </c>
      <c r="J1159" s="6" t="s">
        <v>5789</v>
      </c>
      <c r="K1159" s="6" t="s">
        <v>5506</v>
      </c>
      <c r="L1159" s="6" t="s">
        <v>54</v>
      </c>
      <c r="M1159" s="6" t="s">
        <v>54</v>
      </c>
      <c r="N1159" s="6" t="s">
        <v>5146</v>
      </c>
      <c r="O1159" s="6" t="s">
        <v>5203</v>
      </c>
      <c r="P1159" s="6"/>
      <c r="Q1159" s="8">
        <v>90</v>
      </c>
      <c r="R1159" s="8">
        <v>90.27</v>
      </c>
      <c r="S1159" s="8">
        <v>179.9</v>
      </c>
      <c r="T1159" s="8">
        <v>16</v>
      </c>
      <c r="U1159" s="8"/>
      <c r="V1159" s="8">
        <v>0</v>
      </c>
      <c r="W1159" s="12">
        <v>0</v>
      </c>
      <c r="Y1159">
        <v>0</v>
      </c>
    </row>
    <row r="1160" spans="1:25" ht="40" customHeight="1">
      <c r="A1160" s="6" t="s">
        <v>5794</v>
      </c>
      <c r="B1160" s="6" t="s">
        <v>5795</v>
      </c>
      <c r="C1160" s="6" t="s">
        <v>5785</v>
      </c>
      <c r="D1160" s="6" t="s">
        <v>5796</v>
      </c>
      <c r="E1160" s="6" t="s">
        <v>5797</v>
      </c>
      <c r="F1160" s="6"/>
      <c r="G1160" s="6" t="s">
        <v>5788</v>
      </c>
      <c r="H1160" s="6" t="s">
        <v>215</v>
      </c>
      <c r="I1160" s="6" t="s">
        <v>5184</v>
      </c>
      <c r="J1160" s="6" t="s">
        <v>5789</v>
      </c>
      <c r="K1160" s="6" t="s">
        <v>5798</v>
      </c>
      <c r="L1160" s="6" t="s">
        <v>54</v>
      </c>
      <c r="M1160" s="6" t="s">
        <v>54</v>
      </c>
      <c r="N1160" s="6" t="s">
        <v>5146</v>
      </c>
      <c r="O1160" s="6" t="s">
        <v>5203</v>
      </c>
      <c r="P1160" s="6"/>
      <c r="Q1160" s="8">
        <v>90</v>
      </c>
      <c r="R1160" s="8">
        <v>90.27</v>
      </c>
      <c r="S1160" s="8">
        <v>179.9</v>
      </c>
      <c r="T1160" s="8">
        <v>16</v>
      </c>
      <c r="U1160" s="8"/>
      <c r="V1160" s="8">
        <v>0</v>
      </c>
      <c r="W1160" s="12">
        <v>0</v>
      </c>
      <c r="Y1160">
        <v>0</v>
      </c>
    </row>
    <row r="1161" spans="1:25" ht="40" customHeight="1">
      <c r="A1161" s="6" t="s">
        <v>5799</v>
      </c>
      <c r="B1161" s="6" t="s">
        <v>5800</v>
      </c>
      <c r="C1161" s="6" t="s">
        <v>5801</v>
      </c>
      <c r="D1161" s="6" t="s">
        <v>2576</v>
      </c>
      <c r="E1161" s="6" t="s">
        <v>5802</v>
      </c>
      <c r="F1161" s="6"/>
      <c r="G1161" s="6" t="s">
        <v>5803</v>
      </c>
      <c r="H1161" s="6" t="s">
        <v>5804</v>
      </c>
      <c r="I1161" s="6" t="s">
        <v>5184</v>
      </c>
      <c r="J1161" s="6" t="s">
        <v>5805</v>
      </c>
      <c r="K1161" s="6" t="s">
        <v>5806</v>
      </c>
      <c r="L1161" s="6" t="s">
        <v>54</v>
      </c>
      <c r="M1161" s="6" t="s">
        <v>54</v>
      </c>
      <c r="N1161" s="6" t="s">
        <v>5807</v>
      </c>
      <c r="O1161" s="6" t="s">
        <v>5313</v>
      </c>
      <c r="P1161" s="6" t="s">
        <v>5808</v>
      </c>
      <c r="Q1161" s="8">
        <v>85</v>
      </c>
      <c r="R1161" s="8">
        <v>85.254999999999995</v>
      </c>
      <c r="S1161" s="8">
        <v>169.9</v>
      </c>
      <c r="T1161" s="8">
        <v>16</v>
      </c>
      <c r="U1161" s="8"/>
      <c r="V1161" s="8">
        <v>0</v>
      </c>
      <c r="W1161" s="12">
        <v>0</v>
      </c>
      <c r="Y1161">
        <v>0</v>
      </c>
    </row>
    <row r="1162" spans="1:25" ht="40" customHeight="1">
      <c r="A1162" s="6" t="s">
        <v>5809</v>
      </c>
      <c r="B1162" s="6" t="s">
        <v>5810</v>
      </c>
      <c r="C1162" s="6" t="s">
        <v>5801</v>
      </c>
      <c r="D1162" s="6" t="s">
        <v>1952</v>
      </c>
      <c r="E1162" s="6" t="s">
        <v>5811</v>
      </c>
      <c r="F1162" s="6"/>
      <c r="G1162" s="6" t="s">
        <v>5803</v>
      </c>
      <c r="H1162" s="6" t="s">
        <v>5804</v>
      </c>
      <c r="I1162" s="6" t="s">
        <v>5184</v>
      </c>
      <c r="J1162" s="6" t="s">
        <v>5805</v>
      </c>
      <c r="K1162" s="6" t="s">
        <v>5812</v>
      </c>
      <c r="L1162" s="6" t="s">
        <v>54</v>
      </c>
      <c r="M1162" s="6" t="s">
        <v>54</v>
      </c>
      <c r="N1162" s="6" t="s">
        <v>5807</v>
      </c>
      <c r="O1162" s="6" t="s">
        <v>5313</v>
      </c>
      <c r="P1162" s="6" t="s">
        <v>5808</v>
      </c>
      <c r="Q1162" s="8">
        <v>85</v>
      </c>
      <c r="R1162" s="8">
        <v>85.254999999999995</v>
      </c>
      <c r="S1162" s="8">
        <v>169.9</v>
      </c>
      <c r="T1162" s="8">
        <v>16</v>
      </c>
      <c r="U1162" s="8"/>
      <c r="V1162" s="8">
        <v>0</v>
      </c>
      <c r="W1162" s="12">
        <v>0</v>
      </c>
      <c r="Y1162">
        <v>0</v>
      </c>
    </row>
    <row r="1163" spans="1:25" ht="40" customHeight="1">
      <c r="A1163" s="6" t="s">
        <v>5813</v>
      </c>
      <c r="B1163" s="6" t="s">
        <v>5814</v>
      </c>
      <c r="C1163" s="6" t="s">
        <v>5815</v>
      </c>
      <c r="D1163" s="6" t="s">
        <v>5816</v>
      </c>
      <c r="E1163" s="6" t="s">
        <v>5817</v>
      </c>
      <c r="F1163" s="6"/>
      <c r="G1163" s="6" t="s">
        <v>5803</v>
      </c>
      <c r="H1163" s="6" t="s">
        <v>5818</v>
      </c>
      <c r="I1163" s="6" t="s">
        <v>5184</v>
      </c>
      <c r="J1163" s="6" t="s">
        <v>5819</v>
      </c>
      <c r="K1163" s="6" t="s">
        <v>5820</v>
      </c>
      <c r="L1163" s="6" t="s">
        <v>5144</v>
      </c>
      <c r="M1163" s="6" t="s">
        <v>5821</v>
      </c>
      <c r="N1163" s="6" t="s">
        <v>5807</v>
      </c>
      <c r="O1163" s="6" t="s">
        <v>5203</v>
      </c>
      <c r="P1163" s="6" t="s">
        <v>5808</v>
      </c>
      <c r="Q1163" s="8">
        <v>85</v>
      </c>
      <c r="R1163" s="8">
        <v>85.254999999999995</v>
      </c>
      <c r="S1163" s="8">
        <v>169.9</v>
      </c>
      <c r="T1163" s="8">
        <v>16</v>
      </c>
      <c r="U1163" s="8"/>
      <c r="V1163" s="8">
        <v>0</v>
      </c>
      <c r="W1163" s="12">
        <v>0</v>
      </c>
      <c r="Y1163">
        <v>0</v>
      </c>
    </row>
    <row r="1164" spans="1:25" ht="40" customHeight="1">
      <c r="A1164" s="6" t="s">
        <v>5822</v>
      </c>
      <c r="B1164" s="6" t="s">
        <v>5823</v>
      </c>
      <c r="C1164" s="6" t="s">
        <v>5815</v>
      </c>
      <c r="D1164" s="6" t="s">
        <v>5824</v>
      </c>
      <c r="E1164" s="6" t="s">
        <v>5825</v>
      </c>
      <c r="F1164" s="6"/>
      <c r="G1164" s="6" t="s">
        <v>5803</v>
      </c>
      <c r="H1164" s="6" t="s">
        <v>5818</v>
      </c>
      <c r="I1164" s="6" t="s">
        <v>5184</v>
      </c>
      <c r="J1164" s="6" t="s">
        <v>5819</v>
      </c>
      <c r="K1164" s="6" t="s">
        <v>5826</v>
      </c>
      <c r="L1164" s="6" t="s">
        <v>5144</v>
      </c>
      <c r="M1164" s="6" t="s">
        <v>5821</v>
      </c>
      <c r="N1164" s="6" t="s">
        <v>5807</v>
      </c>
      <c r="O1164" s="6" t="s">
        <v>5203</v>
      </c>
      <c r="P1164" s="6" t="s">
        <v>5808</v>
      </c>
      <c r="Q1164" s="8">
        <v>85</v>
      </c>
      <c r="R1164" s="8">
        <v>85.254999999999995</v>
      </c>
      <c r="S1164" s="8">
        <v>169.9</v>
      </c>
      <c r="T1164" s="8">
        <v>16</v>
      </c>
      <c r="U1164" s="8"/>
      <c r="V1164" s="8">
        <v>0</v>
      </c>
      <c r="W1164" s="12">
        <v>0</v>
      </c>
      <c r="Y1164">
        <v>0</v>
      </c>
    </row>
    <row r="1165" spans="1:25" ht="40" customHeight="1">
      <c r="A1165" s="6" t="s">
        <v>5827</v>
      </c>
      <c r="B1165" s="6" t="s">
        <v>5828</v>
      </c>
      <c r="C1165" s="6" t="s">
        <v>5815</v>
      </c>
      <c r="D1165" s="6" t="s">
        <v>694</v>
      </c>
      <c r="E1165" s="6" t="s">
        <v>5829</v>
      </c>
      <c r="F1165" s="6"/>
      <c r="G1165" s="6" t="s">
        <v>5803</v>
      </c>
      <c r="H1165" s="6" t="s">
        <v>5818</v>
      </c>
      <c r="I1165" s="6" t="s">
        <v>5184</v>
      </c>
      <c r="J1165" s="6" t="s">
        <v>5819</v>
      </c>
      <c r="K1165" s="6" t="s">
        <v>5830</v>
      </c>
      <c r="L1165" s="6" t="s">
        <v>5144</v>
      </c>
      <c r="M1165" s="6" t="s">
        <v>5821</v>
      </c>
      <c r="N1165" s="6" t="s">
        <v>5807</v>
      </c>
      <c r="O1165" s="6" t="s">
        <v>5203</v>
      </c>
      <c r="P1165" s="6" t="s">
        <v>5808</v>
      </c>
      <c r="Q1165" s="8">
        <v>85</v>
      </c>
      <c r="R1165" s="8">
        <v>85.254999999999995</v>
      </c>
      <c r="S1165" s="8">
        <v>169.9</v>
      </c>
      <c r="T1165" s="8">
        <v>16</v>
      </c>
      <c r="U1165" s="8"/>
      <c r="V1165" s="8">
        <v>0</v>
      </c>
      <c r="W1165" s="12">
        <v>0</v>
      </c>
      <c r="Y1165">
        <v>0</v>
      </c>
    </row>
    <row r="1166" spans="1:25" ht="40" customHeight="1">
      <c r="A1166" s="6" t="s">
        <v>5831</v>
      </c>
      <c r="B1166" s="6" t="s">
        <v>5832</v>
      </c>
      <c r="C1166" s="6" t="s">
        <v>5815</v>
      </c>
      <c r="D1166" s="6" t="s">
        <v>5833</v>
      </c>
      <c r="E1166" s="6" t="s">
        <v>5834</v>
      </c>
      <c r="F1166" s="6"/>
      <c r="G1166" s="6" t="s">
        <v>5803</v>
      </c>
      <c r="H1166" s="6" t="s">
        <v>5818</v>
      </c>
      <c r="I1166" s="6" t="s">
        <v>5184</v>
      </c>
      <c r="J1166" s="6" t="s">
        <v>5819</v>
      </c>
      <c r="K1166" s="6" t="s">
        <v>5835</v>
      </c>
      <c r="L1166" s="6" t="s">
        <v>5144</v>
      </c>
      <c r="M1166" s="6" t="s">
        <v>5821</v>
      </c>
      <c r="N1166" s="6" t="s">
        <v>5807</v>
      </c>
      <c r="O1166" s="6" t="s">
        <v>5203</v>
      </c>
      <c r="P1166" s="6" t="s">
        <v>5808</v>
      </c>
      <c r="Q1166" s="8">
        <v>85</v>
      </c>
      <c r="R1166" s="8">
        <v>85.254999999999995</v>
      </c>
      <c r="S1166" s="8">
        <v>169.9</v>
      </c>
      <c r="T1166" s="8">
        <v>16</v>
      </c>
      <c r="U1166" s="8"/>
      <c r="V1166" s="8">
        <v>0</v>
      </c>
      <c r="W1166" s="12">
        <v>0</v>
      </c>
      <c r="Y1166">
        <v>0</v>
      </c>
    </row>
    <row r="1167" spans="1:25" ht="40" customHeight="1">
      <c r="A1167" s="6" t="s">
        <v>5836</v>
      </c>
      <c r="B1167" s="6" t="s">
        <v>5837</v>
      </c>
      <c r="C1167" s="6" t="s">
        <v>5815</v>
      </c>
      <c r="D1167" s="6" t="s">
        <v>410</v>
      </c>
      <c r="E1167" s="6" t="s">
        <v>5838</v>
      </c>
      <c r="F1167" s="6"/>
      <c r="G1167" s="6" t="s">
        <v>5803</v>
      </c>
      <c r="H1167" s="6" t="s">
        <v>5818</v>
      </c>
      <c r="I1167" s="6" t="s">
        <v>5184</v>
      </c>
      <c r="J1167" s="6" t="s">
        <v>5819</v>
      </c>
      <c r="K1167" s="6" t="s">
        <v>5839</v>
      </c>
      <c r="L1167" s="6" t="s">
        <v>5144</v>
      </c>
      <c r="M1167" s="6" t="s">
        <v>5821</v>
      </c>
      <c r="N1167" s="6" t="s">
        <v>5807</v>
      </c>
      <c r="O1167" s="6" t="s">
        <v>5203</v>
      </c>
      <c r="P1167" s="6" t="s">
        <v>5808</v>
      </c>
      <c r="Q1167" s="8">
        <v>85</v>
      </c>
      <c r="R1167" s="8">
        <v>85.254999999999995</v>
      </c>
      <c r="S1167" s="8">
        <v>169.9</v>
      </c>
      <c r="T1167" s="8">
        <v>16</v>
      </c>
      <c r="U1167" s="8"/>
      <c r="V1167" s="8">
        <v>0</v>
      </c>
      <c r="W1167" s="12">
        <v>0</v>
      </c>
      <c r="Y1167">
        <v>0</v>
      </c>
    </row>
    <row r="1168" spans="1:25" ht="40" customHeight="1">
      <c r="A1168" s="6" t="s">
        <v>5840</v>
      </c>
      <c r="B1168" s="6" t="s">
        <v>5841</v>
      </c>
      <c r="C1168" s="6" t="s">
        <v>5842</v>
      </c>
      <c r="D1168" s="6" t="s">
        <v>147</v>
      </c>
      <c r="E1168" s="6" t="s">
        <v>5843</v>
      </c>
      <c r="F1168" s="6"/>
      <c r="G1168" s="6" t="s">
        <v>5844</v>
      </c>
      <c r="H1168" s="6" t="s">
        <v>5845</v>
      </c>
      <c r="I1168" s="6" t="s">
        <v>5184</v>
      </c>
      <c r="J1168" s="6" t="s">
        <v>5846</v>
      </c>
      <c r="K1168" s="6" t="s">
        <v>5847</v>
      </c>
      <c r="L1168" s="6" t="s">
        <v>54</v>
      </c>
      <c r="M1168" s="6" t="s">
        <v>54</v>
      </c>
      <c r="N1168" s="6" t="s">
        <v>5807</v>
      </c>
      <c r="O1168" s="6" t="s">
        <v>5848</v>
      </c>
      <c r="P1168" s="6" t="s">
        <v>5808</v>
      </c>
      <c r="Q1168" s="8">
        <v>125</v>
      </c>
      <c r="R1168" s="8">
        <v>125.375</v>
      </c>
      <c r="S1168" s="8">
        <v>249.9</v>
      </c>
      <c r="T1168" s="8">
        <v>16</v>
      </c>
      <c r="U1168" s="8"/>
      <c r="V1168" s="8">
        <v>0</v>
      </c>
      <c r="W1168" s="12">
        <v>0</v>
      </c>
      <c r="Y1168">
        <v>0</v>
      </c>
    </row>
    <row r="1169" spans="1:25" ht="40" customHeight="1">
      <c r="A1169" s="6" t="s">
        <v>5849</v>
      </c>
      <c r="B1169" s="6" t="s">
        <v>5850</v>
      </c>
      <c r="C1169" s="6" t="s">
        <v>5842</v>
      </c>
      <c r="D1169" s="6" t="s">
        <v>126</v>
      </c>
      <c r="E1169" s="6" t="s">
        <v>5851</v>
      </c>
      <c r="F1169" s="6"/>
      <c r="G1169" s="6" t="s">
        <v>5844</v>
      </c>
      <c r="H1169" s="6" t="s">
        <v>5845</v>
      </c>
      <c r="I1169" s="6" t="s">
        <v>5184</v>
      </c>
      <c r="J1169" s="6" t="s">
        <v>5846</v>
      </c>
      <c r="K1169" s="6" t="s">
        <v>5852</v>
      </c>
      <c r="L1169" s="6" t="s">
        <v>54</v>
      </c>
      <c r="M1169" s="6" t="s">
        <v>54</v>
      </c>
      <c r="N1169" s="6" t="s">
        <v>5807</v>
      </c>
      <c r="O1169" s="6" t="s">
        <v>5848</v>
      </c>
      <c r="P1169" s="6" t="s">
        <v>5808</v>
      </c>
      <c r="Q1169" s="8">
        <v>125</v>
      </c>
      <c r="R1169" s="8">
        <v>125.375</v>
      </c>
      <c r="S1169" s="8">
        <v>249.9</v>
      </c>
      <c r="T1169" s="8">
        <v>16</v>
      </c>
      <c r="U1169" s="8"/>
      <c r="V1169" s="8">
        <v>0</v>
      </c>
      <c r="W1169" s="12">
        <v>0</v>
      </c>
      <c r="Y1169">
        <v>0</v>
      </c>
    </row>
    <row r="1170" spans="1:25" ht="40" customHeight="1">
      <c r="A1170" s="6" t="s">
        <v>5853</v>
      </c>
      <c r="B1170" s="6" t="s">
        <v>5854</v>
      </c>
      <c r="C1170" s="6" t="s">
        <v>5855</v>
      </c>
      <c r="D1170" s="6" t="s">
        <v>1564</v>
      </c>
      <c r="E1170" s="6" t="s">
        <v>5856</v>
      </c>
      <c r="F1170" s="6"/>
      <c r="G1170" s="6" t="s">
        <v>2246</v>
      </c>
      <c r="H1170" s="6" t="s">
        <v>5857</v>
      </c>
      <c r="I1170" s="6" t="s">
        <v>5184</v>
      </c>
      <c r="J1170" s="6" t="s">
        <v>5858</v>
      </c>
      <c r="K1170" s="6" t="s">
        <v>5859</v>
      </c>
      <c r="L1170" s="6" t="s">
        <v>5860</v>
      </c>
      <c r="M1170" s="6" t="s">
        <v>5861</v>
      </c>
      <c r="N1170" s="6" t="s">
        <v>5807</v>
      </c>
      <c r="O1170" s="6" t="s">
        <v>5759</v>
      </c>
      <c r="P1170" s="6" t="s">
        <v>5808</v>
      </c>
      <c r="Q1170" s="8">
        <v>100</v>
      </c>
      <c r="R1170" s="8">
        <v>100.3</v>
      </c>
      <c r="S1170" s="8">
        <v>199.9</v>
      </c>
      <c r="T1170" s="8">
        <v>16</v>
      </c>
      <c r="U1170" s="8"/>
      <c r="V1170" s="8">
        <v>0</v>
      </c>
      <c r="W1170" s="12">
        <v>0</v>
      </c>
      <c r="Y1170">
        <v>0</v>
      </c>
    </row>
    <row r="1171" spans="1:25" ht="40" customHeight="1">
      <c r="A1171" s="6" t="s">
        <v>5862</v>
      </c>
      <c r="B1171" s="6" t="s">
        <v>5863</v>
      </c>
      <c r="C1171" s="6" t="s">
        <v>5855</v>
      </c>
      <c r="D1171" s="6" t="s">
        <v>1286</v>
      </c>
      <c r="E1171" s="6" t="s">
        <v>5864</v>
      </c>
      <c r="F1171" s="6"/>
      <c r="G1171" s="6" t="s">
        <v>2246</v>
      </c>
      <c r="H1171" s="6" t="s">
        <v>5857</v>
      </c>
      <c r="I1171" s="6" t="s">
        <v>5184</v>
      </c>
      <c r="J1171" s="6" t="s">
        <v>5858</v>
      </c>
      <c r="K1171" s="6" t="s">
        <v>5865</v>
      </c>
      <c r="L1171" s="6" t="s">
        <v>5860</v>
      </c>
      <c r="M1171" s="6" t="s">
        <v>5861</v>
      </c>
      <c r="N1171" s="6" t="s">
        <v>5807</v>
      </c>
      <c r="O1171" s="6" t="s">
        <v>5759</v>
      </c>
      <c r="P1171" s="6" t="s">
        <v>5808</v>
      </c>
      <c r="Q1171" s="8">
        <v>100</v>
      </c>
      <c r="R1171" s="8">
        <v>100.3</v>
      </c>
      <c r="S1171" s="8">
        <v>199.9</v>
      </c>
      <c r="T1171" s="8">
        <v>16</v>
      </c>
      <c r="U1171" s="8"/>
      <c r="V1171" s="8">
        <v>0</v>
      </c>
      <c r="W1171" s="12">
        <v>0</v>
      </c>
      <c r="Y1171">
        <v>0</v>
      </c>
    </row>
    <row r="1172" spans="1:25" ht="40" customHeight="1">
      <c r="A1172" s="6" t="s">
        <v>5866</v>
      </c>
      <c r="B1172" s="6" t="s">
        <v>5867</v>
      </c>
      <c r="C1172" s="6" t="s">
        <v>5868</v>
      </c>
      <c r="D1172" s="6" t="s">
        <v>2059</v>
      </c>
      <c r="E1172" s="6" t="s">
        <v>5869</v>
      </c>
      <c r="F1172" s="6"/>
      <c r="G1172" s="6" t="s">
        <v>2246</v>
      </c>
      <c r="H1172" s="6" t="s">
        <v>5870</v>
      </c>
      <c r="I1172" s="6" t="s">
        <v>5184</v>
      </c>
      <c r="J1172" s="6" t="s">
        <v>5871</v>
      </c>
      <c r="K1172" s="6" t="s">
        <v>5872</v>
      </c>
      <c r="L1172" s="6" t="s">
        <v>54</v>
      </c>
      <c r="M1172" s="6" t="s">
        <v>54</v>
      </c>
      <c r="N1172" s="6" t="s">
        <v>5807</v>
      </c>
      <c r="O1172" s="6" t="s">
        <v>5873</v>
      </c>
      <c r="P1172" s="6" t="s">
        <v>5808</v>
      </c>
      <c r="Q1172" s="8">
        <v>100</v>
      </c>
      <c r="R1172" s="8">
        <v>100.3</v>
      </c>
      <c r="S1172" s="8">
        <v>199.9</v>
      </c>
      <c r="T1172" s="8">
        <v>16</v>
      </c>
      <c r="U1172" s="8"/>
      <c r="V1172" s="8">
        <v>0</v>
      </c>
      <c r="W1172" s="12">
        <v>0</v>
      </c>
      <c r="Y1172">
        <v>0</v>
      </c>
    </row>
    <row r="1173" spans="1:25" ht="40" customHeight="1">
      <c r="A1173" s="6" t="s">
        <v>5874</v>
      </c>
      <c r="B1173" s="6" t="s">
        <v>5875</v>
      </c>
      <c r="C1173" s="6" t="s">
        <v>5868</v>
      </c>
      <c r="D1173" s="6" t="s">
        <v>5876</v>
      </c>
      <c r="E1173" s="6" t="s">
        <v>5877</v>
      </c>
      <c r="F1173" s="6"/>
      <c r="G1173" s="6" t="s">
        <v>2246</v>
      </c>
      <c r="H1173" s="6" t="s">
        <v>5870</v>
      </c>
      <c r="I1173" s="6" t="s">
        <v>5184</v>
      </c>
      <c r="J1173" s="6" t="s">
        <v>5871</v>
      </c>
      <c r="K1173" s="6" t="s">
        <v>5878</v>
      </c>
      <c r="L1173" s="6" t="s">
        <v>54</v>
      </c>
      <c r="M1173" s="6" t="s">
        <v>54</v>
      </c>
      <c r="N1173" s="6" t="s">
        <v>5807</v>
      </c>
      <c r="O1173" s="6" t="s">
        <v>5873</v>
      </c>
      <c r="P1173" s="6" t="s">
        <v>5808</v>
      </c>
      <c r="Q1173" s="8">
        <v>100</v>
      </c>
      <c r="R1173" s="8">
        <v>100.3</v>
      </c>
      <c r="S1173" s="8">
        <v>199.9</v>
      </c>
      <c r="T1173" s="8">
        <v>16</v>
      </c>
      <c r="U1173" s="8"/>
      <c r="V1173" s="8">
        <v>0</v>
      </c>
      <c r="W1173" s="12">
        <v>0</v>
      </c>
      <c r="Y1173">
        <v>0</v>
      </c>
    </row>
    <row r="1174" spans="1:25" ht="40" customHeight="1">
      <c r="A1174" s="6" t="s">
        <v>5879</v>
      </c>
      <c r="B1174" s="6" t="s">
        <v>5880</v>
      </c>
      <c r="C1174" s="6" t="s">
        <v>5881</v>
      </c>
      <c r="D1174" s="6" t="s">
        <v>944</v>
      </c>
      <c r="E1174" s="6" t="s">
        <v>5882</v>
      </c>
      <c r="F1174" s="6"/>
      <c r="G1174" s="6" t="s">
        <v>2246</v>
      </c>
      <c r="H1174" s="6" t="s">
        <v>5883</v>
      </c>
      <c r="I1174" s="6" t="s">
        <v>5141</v>
      </c>
      <c r="J1174" s="6" t="s">
        <v>5884</v>
      </c>
      <c r="K1174" s="6" t="s">
        <v>5885</v>
      </c>
      <c r="L1174" s="6" t="s">
        <v>5144</v>
      </c>
      <c r="M1174" s="6" t="s">
        <v>5886</v>
      </c>
      <c r="N1174" s="6" t="s">
        <v>5807</v>
      </c>
      <c r="O1174" s="6" t="s">
        <v>5313</v>
      </c>
      <c r="P1174" s="6" t="s">
        <v>5808</v>
      </c>
      <c r="Q1174" s="8">
        <v>100</v>
      </c>
      <c r="R1174" s="8">
        <v>100.3</v>
      </c>
      <c r="S1174" s="8">
        <v>199.9</v>
      </c>
      <c r="T1174" s="8">
        <v>14</v>
      </c>
      <c r="U1174" s="8"/>
      <c r="V1174" s="8">
        <v>0</v>
      </c>
      <c r="W1174" s="12">
        <v>0</v>
      </c>
      <c r="Y1174">
        <v>0</v>
      </c>
    </row>
    <row r="1175" spans="1:25" ht="40" customHeight="1">
      <c r="A1175" s="6" t="s">
        <v>5887</v>
      </c>
      <c r="B1175" s="6" t="s">
        <v>5888</v>
      </c>
      <c r="C1175" s="6" t="s">
        <v>5881</v>
      </c>
      <c r="D1175" s="6" t="s">
        <v>126</v>
      </c>
      <c r="E1175" s="6" t="s">
        <v>5889</v>
      </c>
      <c r="F1175" s="6"/>
      <c r="G1175" s="6" t="s">
        <v>2246</v>
      </c>
      <c r="H1175" s="6" t="s">
        <v>5883</v>
      </c>
      <c r="I1175" s="6" t="s">
        <v>5141</v>
      </c>
      <c r="J1175" s="6" t="s">
        <v>5884</v>
      </c>
      <c r="K1175" s="6" t="s">
        <v>5852</v>
      </c>
      <c r="L1175" s="6" t="s">
        <v>5144</v>
      </c>
      <c r="M1175" s="6" t="s">
        <v>5886</v>
      </c>
      <c r="N1175" s="6" t="s">
        <v>5807</v>
      </c>
      <c r="O1175" s="6" t="s">
        <v>5313</v>
      </c>
      <c r="P1175" s="6" t="s">
        <v>5808</v>
      </c>
      <c r="Q1175" s="8">
        <v>100</v>
      </c>
      <c r="R1175" s="8">
        <v>100.3</v>
      </c>
      <c r="S1175" s="8">
        <v>199.9</v>
      </c>
      <c r="T1175" s="8">
        <v>14</v>
      </c>
      <c r="U1175" s="8"/>
      <c r="V1175" s="8">
        <v>0</v>
      </c>
      <c r="W1175" s="12">
        <v>0</v>
      </c>
      <c r="Y1175">
        <v>0</v>
      </c>
    </row>
    <row r="1176" spans="1:25" ht="40" customHeight="1">
      <c r="A1176" s="6" t="s">
        <v>5890</v>
      </c>
      <c r="B1176" s="6" t="s">
        <v>5891</v>
      </c>
      <c r="C1176" s="6" t="s">
        <v>5892</v>
      </c>
      <c r="D1176" s="6" t="s">
        <v>147</v>
      </c>
      <c r="E1176" s="6" t="s">
        <v>5893</v>
      </c>
      <c r="F1176" s="6"/>
      <c r="G1176" s="6" t="s">
        <v>2246</v>
      </c>
      <c r="H1176" s="6" t="s">
        <v>215</v>
      </c>
      <c r="I1176" s="6" t="s">
        <v>5184</v>
      </c>
      <c r="J1176" s="6" t="s">
        <v>5894</v>
      </c>
      <c r="K1176" s="6" t="s">
        <v>5895</v>
      </c>
      <c r="L1176" s="6" t="s">
        <v>5896</v>
      </c>
      <c r="M1176" s="6" t="s">
        <v>5897</v>
      </c>
      <c r="N1176" s="6" t="s">
        <v>5807</v>
      </c>
      <c r="O1176" s="6" t="s">
        <v>5759</v>
      </c>
      <c r="P1176" s="6" t="s">
        <v>5808</v>
      </c>
      <c r="Q1176" s="8">
        <v>100</v>
      </c>
      <c r="R1176" s="8">
        <v>100.3</v>
      </c>
      <c r="S1176" s="8">
        <v>199.9</v>
      </c>
      <c r="T1176" s="8">
        <v>16</v>
      </c>
      <c r="U1176" s="8"/>
      <c r="V1176" s="8">
        <v>0</v>
      </c>
      <c r="W1176" s="12">
        <v>0</v>
      </c>
      <c r="Y1176">
        <v>0</v>
      </c>
    </row>
    <row r="1177" spans="1:25" ht="40" customHeight="1">
      <c r="A1177" s="6" t="s">
        <v>5898</v>
      </c>
      <c r="B1177" s="6" t="s">
        <v>5899</v>
      </c>
      <c r="C1177" s="6" t="s">
        <v>5892</v>
      </c>
      <c r="D1177" s="6" t="s">
        <v>279</v>
      </c>
      <c r="E1177" s="6" t="s">
        <v>5900</v>
      </c>
      <c r="F1177" s="6"/>
      <c r="G1177" s="6" t="s">
        <v>2246</v>
      </c>
      <c r="H1177" s="6" t="s">
        <v>215</v>
      </c>
      <c r="I1177" s="6" t="s">
        <v>5184</v>
      </c>
      <c r="J1177" s="6" t="s">
        <v>5894</v>
      </c>
      <c r="K1177" s="6" t="s">
        <v>5901</v>
      </c>
      <c r="L1177" s="6" t="s">
        <v>5896</v>
      </c>
      <c r="M1177" s="6" t="s">
        <v>5897</v>
      </c>
      <c r="N1177" s="6" t="s">
        <v>5807</v>
      </c>
      <c r="O1177" s="6" t="s">
        <v>5759</v>
      </c>
      <c r="P1177" s="6" t="s">
        <v>5808</v>
      </c>
      <c r="Q1177" s="8">
        <v>100</v>
      </c>
      <c r="R1177" s="8">
        <v>100.3</v>
      </c>
      <c r="S1177" s="8">
        <v>199.9</v>
      </c>
      <c r="T1177" s="8">
        <v>16</v>
      </c>
      <c r="U1177" s="8"/>
      <c r="V1177" s="8">
        <v>0</v>
      </c>
      <c r="W1177" s="12">
        <v>0</v>
      </c>
      <c r="Y1177">
        <v>0</v>
      </c>
    </row>
    <row r="1178" spans="1:25" ht="40" customHeight="1">
      <c r="A1178" s="6" t="s">
        <v>5902</v>
      </c>
      <c r="B1178" s="6" t="s">
        <v>5903</v>
      </c>
      <c r="C1178" s="6" t="s">
        <v>5892</v>
      </c>
      <c r="D1178" s="6" t="s">
        <v>5904</v>
      </c>
      <c r="E1178" s="6" t="s">
        <v>5905</v>
      </c>
      <c r="F1178" s="6"/>
      <c r="G1178" s="6" t="s">
        <v>2246</v>
      </c>
      <c r="H1178" s="6" t="s">
        <v>215</v>
      </c>
      <c r="I1178" s="6" t="s">
        <v>5184</v>
      </c>
      <c r="J1178" s="6" t="s">
        <v>5894</v>
      </c>
      <c r="K1178" s="6" t="s">
        <v>5906</v>
      </c>
      <c r="L1178" s="6" t="s">
        <v>5896</v>
      </c>
      <c r="M1178" s="6" t="s">
        <v>5897</v>
      </c>
      <c r="N1178" s="6" t="s">
        <v>5807</v>
      </c>
      <c r="O1178" s="6" t="s">
        <v>5759</v>
      </c>
      <c r="P1178" s="6" t="s">
        <v>5808</v>
      </c>
      <c r="Q1178" s="8">
        <v>100</v>
      </c>
      <c r="R1178" s="8">
        <v>100.3</v>
      </c>
      <c r="S1178" s="8">
        <v>199.9</v>
      </c>
      <c r="T1178" s="8">
        <v>16</v>
      </c>
      <c r="U1178" s="8"/>
      <c r="V1178" s="8">
        <v>0</v>
      </c>
      <c r="W1178" s="12">
        <v>0</v>
      </c>
      <c r="Y1178">
        <v>0</v>
      </c>
    </row>
    <row r="1179" spans="1:25" ht="40" customHeight="1">
      <c r="A1179" s="6" t="s">
        <v>5907</v>
      </c>
      <c r="B1179" s="6" t="s">
        <v>5908</v>
      </c>
      <c r="C1179" s="6" t="s">
        <v>5892</v>
      </c>
      <c r="D1179" s="6" t="s">
        <v>126</v>
      </c>
      <c r="E1179" s="6" t="s">
        <v>5909</v>
      </c>
      <c r="F1179" s="6"/>
      <c r="G1179" s="6" t="s">
        <v>2246</v>
      </c>
      <c r="H1179" s="6" t="s">
        <v>215</v>
      </c>
      <c r="I1179" s="6" t="s">
        <v>5184</v>
      </c>
      <c r="J1179" s="6" t="s">
        <v>5894</v>
      </c>
      <c r="K1179" s="6" t="s">
        <v>5852</v>
      </c>
      <c r="L1179" s="6" t="s">
        <v>5896</v>
      </c>
      <c r="M1179" s="6" t="s">
        <v>5897</v>
      </c>
      <c r="N1179" s="6" t="s">
        <v>5807</v>
      </c>
      <c r="O1179" s="6" t="s">
        <v>5759</v>
      </c>
      <c r="P1179" s="6" t="s">
        <v>5808</v>
      </c>
      <c r="Q1179" s="8">
        <v>100</v>
      </c>
      <c r="R1179" s="8">
        <v>100.3</v>
      </c>
      <c r="S1179" s="8">
        <v>199.9</v>
      </c>
      <c r="T1179" s="8">
        <v>16</v>
      </c>
      <c r="U1179" s="8"/>
      <c r="V1179" s="8">
        <v>0</v>
      </c>
      <c r="W1179" s="12">
        <v>0</v>
      </c>
      <c r="Y1179">
        <v>0</v>
      </c>
    </row>
    <row r="1180" spans="1:25" ht="40" customHeight="1">
      <c r="A1180" s="6" t="s">
        <v>5910</v>
      </c>
      <c r="B1180" s="6" t="s">
        <v>5911</v>
      </c>
      <c r="C1180" s="6" t="s">
        <v>5912</v>
      </c>
      <c r="D1180" s="6" t="s">
        <v>1614</v>
      </c>
      <c r="E1180" s="6" t="s">
        <v>5913</v>
      </c>
      <c r="F1180" s="6"/>
      <c r="G1180" s="6" t="s">
        <v>2246</v>
      </c>
      <c r="H1180" s="6" t="s">
        <v>5914</v>
      </c>
      <c r="I1180" s="6" t="s">
        <v>5184</v>
      </c>
      <c r="J1180" s="6" t="s">
        <v>5915</v>
      </c>
      <c r="K1180" s="6" t="s">
        <v>5847</v>
      </c>
      <c r="L1180" s="6" t="s">
        <v>5916</v>
      </c>
      <c r="M1180" s="6" t="s">
        <v>5861</v>
      </c>
      <c r="N1180" s="6" t="s">
        <v>5807</v>
      </c>
      <c r="O1180" s="6" t="s">
        <v>5917</v>
      </c>
      <c r="P1180" s="6" t="s">
        <v>5808</v>
      </c>
      <c r="Q1180" s="8">
        <v>100</v>
      </c>
      <c r="R1180" s="8">
        <v>100.3</v>
      </c>
      <c r="S1180" s="8">
        <v>199.9</v>
      </c>
      <c r="T1180" s="8">
        <v>16</v>
      </c>
      <c r="U1180" s="8"/>
      <c r="V1180" s="8">
        <v>0</v>
      </c>
      <c r="W1180" s="12">
        <v>0</v>
      </c>
      <c r="Y1180">
        <v>0</v>
      </c>
    </row>
    <row r="1181" spans="1:25" ht="40" customHeight="1">
      <c r="A1181" s="6" t="s">
        <v>5918</v>
      </c>
      <c r="B1181" s="6" t="s">
        <v>5919</v>
      </c>
      <c r="C1181" s="6" t="s">
        <v>5912</v>
      </c>
      <c r="D1181" s="6" t="s">
        <v>1092</v>
      </c>
      <c r="E1181" s="6" t="s">
        <v>5920</v>
      </c>
      <c r="F1181" s="6"/>
      <c r="G1181" s="6" t="s">
        <v>2246</v>
      </c>
      <c r="H1181" s="6" t="s">
        <v>5914</v>
      </c>
      <c r="I1181" s="6" t="s">
        <v>5184</v>
      </c>
      <c r="J1181" s="6" t="s">
        <v>5915</v>
      </c>
      <c r="K1181" s="6" t="s">
        <v>5570</v>
      </c>
      <c r="L1181" s="6" t="s">
        <v>5916</v>
      </c>
      <c r="M1181" s="6" t="s">
        <v>5861</v>
      </c>
      <c r="N1181" s="6" t="s">
        <v>5807</v>
      </c>
      <c r="O1181" s="6" t="s">
        <v>5917</v>
      </c>
      <c r="P1181" s="6" t="s">
        <v>5808</v>
      </c>
      <c r="Q1181" s="8">
        <v>100</v>
      </c>
      <c r="R1181" s="8">
        <v>100.3</v>
      </c>
      <c r="S1181" s="8">
        <v>199.9</v>
      </c>
      <c r="T1181" s="8">
        <v>16</v>
      </c>
      <c r="U1181" s="8"/>
      <c r="V1181" s="8">
        <v>0</v>
      </c>
      <c r="W1181" s="12">
        <v>0</v>
      </c>
      <c r="Y1181">
        <v>0</v>
      </c>
    </row>
    <row r="1182" spans="1:25" ht="40" customHeight="1">
      <c r="A1182" s="6" t="s">
        <v>5921</v>
      </c>
      <c r="B1182" s="6" t="s">
        <v>5922</v>
      </c>
      <c r="C1182" s="6" t="s">
        <v>5912</v>
      </c>
      <c r="D1182" s="6" t="s">
        <v>74</v>
      </c>
      <c r="E1182" s="6" t="s">
        <v>5923</v>
      </c>
      <c r="F1182" s="6"/>
      <c r="G1182" s="6" t="s">
        <v>2246</v>
      </c>
      <c r="H1182" s="6" t="s">
        <v>5914</v>
      </c>
      <c r="I1182" s="6" t="s">
        <v>5184</v>
      </c>
      <c r="J1182" s="6" t="s">
        <v>5915</v>
      </c>
      <c r="K1182" s="6" t="s">
        <v>5924</v>
      </c>
      <c r="L1182" s="6" t="s">
        <v>5916</v>
      </c>
      <c r="M1182" s="6" t="s">
        <v>5861</v>
      </c>
      <c r="N1182" s="6" t="s">
        <v>5807</v>
      </c>
      <c r="O1182" s="6" t="s">
        <v>5917</v>
      </c>
      <c r="P1182" s="6" t="s">
        <v>5808</v>
      </c>
      <c r="Q1182" s="8">
        <v>100</v>
      </c>
      <c r="R1182" s="8">
        <v>100.3</v>
      </c>
      <c r="S1182" s="8">
        <v>199.9</v>
      </c>
      <c r="T1182" s="8">
        <v>16</v>
      </c>
      <c r="U1182" s="8"/>
      <c r="V1182" s="8">
        <v>0</v>
      </c>
      <c r="W1182" s="12">
        <v>0</v>
      </c>
      <c r="Y1182">
        <v>0</v>
      </c>
    </row>
    <row r="1183" spans="1:25" ht="40" customHeight="1">
      <c r="A1183" s="6" t="s">
        <v>5925</v>
      </c>
      <c r="B1183" s="6" t="s">
        <v>5926</v>
      </c>
      <c r="C1183" s="6" t="s">
        <v>5912</v>
      </c>
      <c r="D1183" s="6" t="s">
        <v>1231</v>
      </c>
      <c r="E1183" s="6" t="s">
        <v>5927</v>
      </c>
      <c r="F1183" s="6"/>
      <c r="G1183" s="6" t="s">
        <v>2246</v>
      </c>
      <c r="H1183" s="6" t="s">
        <v>5914</v>
      </c>
      <c r="I1183" s="6" t="s">
        <v>5184</v>
      </c>
      <c r="J1183" s="6" t="s">
        <v>5915</v>
      </c>
      <c r="K1183" s="6" t="s">
        <v>5928</v>
      </c>
      <c r="L1183" s="6" t="s">
        <v>5916</v>
      </c>
      <c r="M1183" s="6" t="s">
        <v>5861</v>
      </c>
      <c r="N1183" s="6" t="s">
        <v>5807</v>
      </c>
      <c r="O1183" s="6" t="s">
        <v>5917</v>
      </c>
      <c r="P1183" s="6" t="s">
        <v>5808</v>
      </c>
      <c r="Q1183" s="8">
        <v>100</v>
      </c>
      <c r="R1183" s="8">
        <v>100.3</v>
      </c>
      <c r="S1183" s="8">
        <v>199.9</v>
      </c>
      <c r="T1183" s="8">
        <v>16</v>
      </c>
      <c r="U1183" s="8"/>
      <c r="V1183" s="8">
        <v>0</v>
      </c>
      <c r="W1183" s="12">
        <v>0</v>
      </c>
      <c r="Y1183">
        <v>0</v>
      </c>
    </row>
    <row r="1184" spans="1:25" ht="40" customHeight="1">
      <c r="A1184" s="6" t="s">
        <v>5929</v>
      </c>
      <c r="B1184" s="6" t="s">
        <v>5930</v>
      </c>
      <c r="C1184" s="6" t="s">
        <v>5912</v>
      </c>
      <c r="D1184" s="6" t="s">
        <v>862</v>
      </c>
      <c r="E1184" s="6" t="s">
        <v>5931</v>
      </c>
      <c r="F1184" s="6"/>
      <c r="G1184" s="6" t="s">
        <v>2246</v>
      </c>
      <c r="H1184" s="6" t="s">
        <v>5914</v>
      </c>
      <c r="I1184" s="6" t="s">
        <v>5184</v>
      </c>
      <c r="J1184" s="6" t="s">
        <v>5915</v>
      </c>
      <c r="K1184" s="6" t="s">
        <v>5932</v>
      </c>
      <c r="L1184" s="6" t="s">
        <v>5916</v>
      </c>
      <c r="M1184" s="6" t="s">
        <v>5861</v>
      </c>
      <c r="N1184" s="6" t="s">
        <v>5807</v>
      </c>
      <c r="O1184" s="6" t="s">
        <v>5917</v>
      </c>
      <c r="P1184" s="6" t="s">
        <v>5808</v>
      </c>
      <c r="Q1184" s="8">
        <v>100</v>
      </c>
      <c r="R1184" s="8">
        <v>100.3</v>
      </c>
      <c r="S1184" s="8">
        <v>199.9</v>
      </c>
      <c r="T1184" s="8">
        <v>16</v>
      </c>
      <c r="U1184" s="8"/>
      <c r="V1184" s="8">
        <v>0</v>
      </c>
      <c r="W1184" s="12">
        <v>0</v>
      </c>
      <c r="Y1184">
        <v>0</v>
      </c>
    </row>
    <row r="1185" spans="1:25" ht="40" customHeight="1">
      <c r="A1185" s="6" t="s">
        <v>5933</v>
      </c>
      <c r="B1185" s="6" t="s">
        <v>5934</v>
      </c>
      <c r="C1185" s="6" t="s">
        <v>5912</v>
      </c>
      <c r="D1185" s="6" t="s">
        <v>1681</v>
      </c>
      <c r="E1185" s="6" t="s">
        <v>5935</v>
      </c>
      <c r="F1185" s="6"/>
      <c r="G1185" s="6" t="s">
        <v>2246</v>
      </c>
      <c r="H1185" s="6" t="s">
        <v>5914</v>
      </c>
      <c r="I1185" s="6" t="s">
        <v>5184</v>
      </c>
      <c r="J1185" s="6" t="s">
        <v>5915</v>
      </c>
      <c r="K1185" s="6" t="s">
        <v>5936</v>
      </c>
      <c r="L1185" s="6" t="s">
        <v>5916</v>
      </c>
      <c r="M1185" s="6" t="s">
        <v>5861</v>
      </c>
      <c r="N1185" s="6" t="s">
        <v>5807</v>
      </c>
      <c r="O1185" s="6" t="s">
        <v>5917</v>
      </c>
      <c r="P1185" s="6" t="s">
        <v>5808</v>
      </c>
      <c r="Q1185" s="8">
        <v>100</v>
      </c>
      <c r="R1185" s="8">
        <v>100.3</v>
      </c>
      <c r="S1185" s="8">
        <v>199.9</v>
      </c>
      <c r="T1185" s="8">
        <v>16</v>
      </c>
      <c r="U1185" s="8"/>
      <c r="V1185" s="8">
        <v>0</v>
      </c>
      <c r="W1185" s="12">
        <v>0</v>
      </c>
      <c r="Y1185">
        <v>0</v>
      </c>
    </row>
    <row r="1186" spans="1:25" ht="40" customHeight="1">
      <c r="A1186" s="6" t="s">
        <v>5937</v>
      </c>
      <c r="B1186" s="6" t="s">
        <v>5938</v>
      </c>
      <c r="C1186" s="6" t="s">
        <v>5939</v>
      </c>
      <c r="D1186" s="6" t="s">
        <v>5940</v>
      </c>
      <c r="E1186" s="6" t="s">
        <v>5941</v>
      </c>
      <c r="F1186" s="6"/>
      <c r="G1186" s="6" t="s">
        <v>2246</v>
      </c>
      <c r="H1186" s="6" t="s">
        <v>5942</v>
      </c>
      <c r="I1186" s="6" t="s">
        <v>5184</v>
      </c>
      <c r="J1186" s="6" t="s">
        <v>5943</v>
      </c>
      <c r="K1186" s="6" t="s">
        <v>5944</v>
      </c>
      <c r="L1186" s="6" t="s">
        <v>5916</v>
      </c>
      <c r="M1186" s="6" t="s">
        <v>5945</v>
      </c>
      <c r="N1186" s="6" t="s">
        <v>5807</v>
      </c>
      <c r="O1186" s="6" t="s">
        <v>5946</v>
      </c>
      <c r="P1186" s="6" t="s">
        <v>5808</v>
      </c>
      <c r="Q1186" s="8">
        <v>125</v>
      </c>
      <c r="R1186" s="8">
        <v>125.375</v>
      </c>
      <c r="S1186" s="8">
        <v>249.9</v>
      </c>
      <c r="T1186" s="8">
        <v>16</v>
      </c>
      <c r="U1186" s="8"/>
      <c r="V1186" s="8">
        <v>0</v>
      </c>
      <c r="W1186" s="12">
        <v>0</v>
      </c>
      <c r="Y1186">
        <v>0</v>
      </c>
    </row>
    <row r="1187" spans="1:25" ht="40" customHeight="1">
      <c r="A1187" s="6" t="s">
        <v>5947</v>
      </c>
      <c r="B1187" s="6" t="s">
        <v>5948</v>
      </c>
      <c r="C1187" s="6" t="s">
        <v>5949</v>
      </c>
      <c r="D1187" s="6" t="s">
        <v>279</v>
      </c>
      <c r="E1187" s="6" t="s">
        <v>5950</v>
      </c>
      <c r="F1187" s="6"/>
      <c r="G1187" s="6" t="s">
        <v>5951</v>
      </c>
      <c r="H1187" s="6" t="s">
        <v>215</v>
      </c>
      <c r="I1187" s="6" t="s">
        <v>5184</v>
      </c>
      <c r="J1187" s="6" t="s">
        <v>5952</v>
      </c>
      <c r="K1187" s="6" t="s">
        <v>5901</v>
      </c>
      <c r="L1187" s="6" t="s">
        <v>54</v>
      </c>
      <c r="M1187" s="6" t="s">
        <v>54</v>
      </c>
      <c r="N1187" s="6" t="s">
        <v>5807</v>
      </c>
      <c r="O1187" s="6" t="s">
        <v>5873</v>
      </c>
      <c r="P1187" s="6" t="s">
        <v>5808</v>
      </c>
      <c r="Q1187" s="8">
        <v>115</v>
      </c>
      <c r="R1187" s="8">
        <v>115.345</v>
      </c>
      <c r="S1187" s="8">
        <v>229.9</v>
      </c>
      <c r="T1187" s="8">
        <v>16</v>
      </c>
      <c r="U1187" s="8"/>
      <c r="V1187" s="8">
        <v>0</v>
      </c>
      <c r="W1187" s="12">
        <v>0</v>
      </c>
      <c r="Y1187">
        <v>0</v>
      </c>
    </row>
    <row r="1188" spans="1:25" ht="40" customHeight="1">
      <c r="A1188" s="6" t="s">
        <v>5953</v>
      </c>
      <c r="B1188" s="6" t="s">
        <v>5954</v>
      </c>
      <c r="C1188" s="6" t="s">
        <v>5949</v>
      </c>
      <c r="D1188" s="6" t="s">
        <v>1092</v>
      </c>
      <c r="E1188" s="6" t="s">
        <v>5955</v>
      </c>
      <c r="F1188" s="6"/>
      <c r="G1188" s="6" t="s">
        <v>5951</v>
      </c>
      <c r="H1188" s="6" t="s">
        <v>215</v>
      </c>
      <c r="I1188" s="6" t="s">
        <v>5184</v>
      </c>
      <c r="J1188" s="6" t="s">
        <v>5952</v>
      </c>
      <c r="K1188" s="6" t="s">
        <v>5570</v>
      </c>
      <c r="L1188" s="6" t="s">
        <v>54</v>
      </c>
      <c r="M1188" s="6" t="s">
        <v>54</v>
      </c>
      <c r="N1188" s="6" t="s">
        <v>5807</v>
      </c>
      <c r="O1188" s="6" t="s">
        <v>5873</v>
      </c>
      <c r="P1188" s="6" t="s">
        <v>5808</v>
      </c>
      <c r="Q1188" s="8">
        <v>115</v>
      </c>
      <c r="R1188" s="8">
        <v>115.345</v>
      </c>
      <c r="S1188" s="8">
        <v>229.9</v>
      </c>
      <c r="T1188" s="8">
        <v>16</v>
      </c>
      <c r="U1188" s="8"/>
      <c r="V1188" s="8">
        <v>0</v>
      </c>
      <c r="W1188" s="12">
        <v>0</v>
      </c>
      <c r="Y1188">
        <v>0</v>
      </c>
    </row>
    <row r="1189" spans="1:25" ht="40" customHeight="1">
      <c r="A1189" s="6" t="s">
        <v>5956</v>
      </c>
      <c r="B1189" s="6" t="s">
        <v>5957</v>
      </c>
      <c r="C1189" s="6" t="s">
        <v>5949</v>
      </c>
      <c r="D1189" s="6" t="s">
        <v>126</v>
      </c>
      <c r="E1189" s="6" t="s">
        <v>5958</v>
      </c>
      <c r="F1189" s="6"/>
      <c r="G1189" s="6" t="s">
        <v>5951</v>
      </c>
      <c r="H1189" s="6" t="s">
        <v>215</v>
      </c>
      <c r="I1189" s="6" t="s">
        <v>5184</v>
      </c>
      <c r="J1189" s="6" t="s">
        <v>5952</v>
      </c>
      <c r="K1189" s="6" t="s">
        <v>5852</v>
      </c>
      <c r="L1189" s="6" t="s">
        <v>54</v>
      </c>
      <c r="M1189" s="6" t="s">
        <v>54</v>
      </c>
      <c r="N1189" s="6" t="s">
        <v>5807</v>
      </c>
      <c r="O1189" s="6" t="s">
        <v>5873</v>
      </c>
      <c r="P1189" s="6" t="s">
        <v>5808</v>
      </c>
      <c r="Q1189" s="8">
        <v>115</v>
      </c>
      <c r="R1189" s="8">
        <v>115.345</v>
      </c>
      <c r="S1189" s="8">
        <v>229.9</v>
      </c>
      <c r="T1189" s="8">
        <v>16</v>
      </c>
      <c r="U1189" s="8"/>
      <c r="V1189" s="8">
        <v>0</v>
      </c>
      <c r="W1189" s="12">
        <v>0</v>
      </c>
      <c r="Y1189">
        <v>0</v>
      </c>
    </row>
    <row r="1190" spans="1:25" ht="40" customHeight="1">
      <c r="A1190" s="6" t="s">
        <v>5959</v>
      </c>
      <c r="B1190" s="6" t="s">
        <v>5960</v>
      </c>
      <c r="C1190" s="6" t="s">
        <v>5961</v>
      </c>
      <c r="D1190" s="6" t="s">
        <v>1614</v>
      </c>
      <c r="E1190" s="6" t="s">
        <v>5962</v>
      </c>
      <c r="F1190" s="6"/>
      <c r="G1190" s="6" t="s">
        <v>2246</v>
      </c>
      <c r="H1190" s="6" t="s">
        <v>5963</v>
      </c>
      <c r="I1190" s="6" t="s">
        <v>5184</v>
      </c>
      <c r="J1190" s="6" t="s">
        <v>5964</v>
      </c>
      <c r="K1190" s="6" t="s">
        <v>5847</v>
      </c>
      <c r="L1190" s="6" t="s">
        <v>54</v>
      </c>
      <c r="M1190" s="6" t="s">
        <v>54</v>
      </c>
      <c r="N1190" s="6" t="s">
        <v>5807</v>
      </c>
      <c r="O1190" s="6" t="s">
        <v>5759</v>
      </c>
      <c r="P1190" s="6" t="s">
        <v>5808</v>
      </c>
      <c r="Q1190" s="8">
        <v>100</v>
      </c>
      <c r="R1190" s="8">
        <v>100.3</v>
      </c>
      <c r="S1190" s="8">
        <v>199.9</v>
      </c>
      <c r="T1190" s="8">
        <v>16</v>
      </c>
      <c r="U1190" s="8"/>
      <c r="V1190" s="8">
        <v>0</v>
      </c>
      <c r="W1190" s="12">
        <v>0</v>
      </c>
      <c r="Y1190">
        <v>0</v>
      </c>
    </row>
    <row r="1191" spans="1:25" ht="40" customHeight="1">
      <c r="A1191" s="6" t="s">
        <v>5965</v>
      </c>
      <c r="B1191" s="6" t="s">
        <v>5966</v>
      </c>
      <c r="C1191" s="6" t="s">
        <v>5961</v>
      </c>
      <c r="D1191" s="6" t="s">
        <v>1092</v>
      </c>
      <c r="E1191" s="6" t="s">
        <v>5967</v>
      </c>
      <c r="F1191" s="6"/>
      <c r="G1191" s="6" t="s">
        <v>2246</v>
      </c>
      <c r="H1191" s="6" t="s">
        <v>5963</v>
      </c>
      <c r="I1191" s="6" t="s">
        <v>5184</v>
      </c>
      <c r="J1191" s="6" t="s">
        <v>5964</v>
      </c>
      <c r="K1191" s="6" t="s">
        <v>5570</v>
      </c>
      <c r="L1191" s="6" t="s">
        <v>54</v>
      </c>
      <c r="M1191" s="6" t="s">
        <v>54</v>
      </c>
      <c r="N1191" s="6" t="s">
        <v>5807</v>
      </c>
      <c r="O1191" s="6" t="s">
        <v>5759</v>
      </c>
      <c r="P1191" s="6" t="s">
        <v>5808</v>
      </c>
      <c r="Q1191" s="8">
        <v>100</v>
      </c>
      <c r="R1191" s="8">
        <v>100.3</v>
      </c>
      <c r="S1191" s="8">
        <v>199.9</v>
      </c>
      <c r="T1191" s="8">
        <v>16</v>
      </c>
      <c r="U1191" s="8"/>
      <c r="V1191" s="8">
        <v>0</v>
      </c>
      <c r="W1191" s="12">
        <v>0</v>
      </c>
      <c r="Y1191">
        <v>0</v>
      </c>
    </row>
    <row r="1192" spans="1:25" ht="40" customHeight="1">
      <c r="A1192" s="6" t="s">
        <v>5968</v>
      </c>
      <c r="B1192" s="6" t="s">
        <v>5969</v>
      </c>
      <c r="C1192" s="6" t="s">
        <v>5961</v>
      </c>
      <c r="D1192" s="6" t="s">
        <v>5970</v>
      </c>
      <c r="E1192" s="6" t="s">
        <v>5971</v>
      </c>
      <c r="F1192" s="6"/>
      <c r="G1192" s="6" t="s">
        <v>2246</v>
      </c>
      <c r="H1192" s="6" t="s">
        <v>5963</v>
      </c>
      <c r="I1192" s="6" t="s">
        <v>5184</v>
      </c>
      <c r="J1192" s="6" t="s">
        <v>5964</v>
      </c>
      <c r="K1192" s="6" t="s">
        <v>5972</v>
      </c>
      <c r="L1192" s="6" t="s">
        <v>54</v>
      </c>
      <c r="M1192" s="6" t="s">
        <v>54</v>
      </c>
      <c r="N1192" s="6" t="s">
        <v>5807</v>
      </c>
      <c r="O1192" s="6" t="s">
        <v>5759</v>
      </c>
      <c r="P1192" s="6" t="s">
        <v>5808</v>
      </c>
      <c r="Q1192" s="8">
        <v>100</v>
      </c>
      <c r="R1192" s="8">
        <v>100.3</v>
      </c>
      <c r="S1192" s="8">
        <v>199.9</v>
      </c>
      <c r="T1192" s="8">
        <v>16</v>
      </c>
      <c r="U1192" s="8"/>
      <c r="V1192" s="8">
        <v>0</v>
      </c>
      <c r="W1192" s="12">
        <v>0</v>
      </c>
      <c r="Y1192">
        <v>0</v>
      </c>
    </row>
    <row r="1193" spans="1:25" ht="40" customHeight="1">
      <c r="A1193" s="6" t="s">
        <v>5973</v>
      </c>
      <c r="B1193" s="6" t="s">
        <v>5974</v>
      </c>
      <c r="C1193" s="6" t="s">
        <v>5975</v>
      </c>
      <c r="D1193" s="6" t="s">
        <v>1564</v>
      </c>
      <c r="E1193" s="6" t="s">
        <v>5976</v>
      </c>
      <c r="F1193" s="6"/>
      <c r="G1193" s="6" t="s">
        <v>5977</v>
      </c>
      <c r="H1193" s="6" t="s">
        <v>5978</v>
      </c>
      <c r="I1193" s="6" t="s">
        <v>5184</v>
      </c>
      <c r="J1193" s="6" t="s">
        <v>5979</v>
      </c>
      <c r="K1193" s="6" t="s">
        <v>5859</v>
      </c>
      <c r="L1193" s="6" t="s">
        <v>5980</v>
      </c>
      <c r="M1193" s="6" t="s">
        <v>5981</v>
      </c>
      <c r="N1193" s="6" t="s">
        <v>5807</v>
      </c>
      <c r="O1193" s="6" t="s">
        <v>5982</v>
      </c>
      <c r="P1193" s="6" t="s">
        <v>5808</v>
      </c>
      <c r="Q1193" s="8">
        <v>115</v>
      </c>
      <c r="R1193" s="8">
        <v>115.345</v>
      </c>
      <c r="S1193" s="8">
        <v>229.9</v>
      </c>
      <c r="T1193" s="8">
        <v>16</v>
      </c>
      <c r="U1193" s="8"/>
      <c r="V1193" s="8">
        <v>0</v>
      </c>
      <c r="W1193" s="12">
        <v>0</v>
      </c>
      <c r="Y1193">
        <v>0</v>
      </c>
    </row>
    <row r="1194" spans="1:25" ht="40" customHeight="1">
      <c r="A1194" s="6" t="s">
        <v>5983</v>
      </c>
      <c r="B1194" s="6" t="s">
        <v>5984</v>
      </c>
      <c r="C1194" s="6" t="s">
        <v>5975</v>
      </c>
      <c r="D1194" s="6" t="s">
        <v>1286</v>
      </c>
      <c r="E1194" s="6" t="s">
        <v>5985</v>
      </c>
      <c r="F1194" s="6"/>
      <c r="G1194" s="6" t="s">
        <v>5977</v>
      </c>
      <c r="H1194" s="6" t="s">
        <v>5978</v>
      </c>
      <c r="I1194" s="6" t="s">
        <v>5184</v>
      </c>
      <c r="J1194" s="6" t="s">
        <v>5979</v>
      </c>
      <c r="K1194" s="6" t="s">
        <v>5865</v>
      </c>
      <c r="L1194" s="6" t="s">
        <v>5980</v>
      </c>
      <c r="M1194" s="6" t="s">
        <v>5981</v>
      </c>
      <c r="N1194" s="6" t="s">
        <v>5807</v>
      </c>
      <c r="O1194" s="6" t="s">
        <v>5982</v>
      </c>
      <c r="P1194" s="6" t="s">
        <v>5808</v>
      </c>
      <c r="Q1194" s="8">
        <v>115</v>
      </c>
      <c r="R1194" s="8">
        <v>115.345</v>
      </c>
      <c r="S1194" s="8">
        <v>229.9</v>
      </c>
      <c r="T1194" s="8">
        <v>16</v>
      </c>
      <c r="U1194" s="8"/>
      <c r="V1194" s="8">
        <v>0</v>
      </c>
      <c r="W1194" s="12">
        <v>0</v>
      </c>
      <c r="Y1194">
        <v>0</v>
      </c>
    </row>
    <row r="1195" spans="1:25" ht="40" customHeight="1">
      <c r="A1195" s="6" t="s">
        <v>5986</v>
      </c>
      <c r="B1195" s="6" t="s">
        <v>5987</v>
      </c>
      <c r="C1195" s="6" t="s">
        <v>5988</v>
      </c>
      <c r="D1195" s="6" t="s">
        <v>1614</v>
      </c>
      <c r="E1195" s="6" t="s">
        <v>5989</v>
      </c>
      <c r="F1195" s="6"/>
      <c r="G1195" s="6" t="s">
        <v>2246</v>
      </c>
      <c r="H1195" s="6" t="s">
        <v>215</v>
      </c>
      <c r="I1195" s="6" t="s">
        <v>5184</v>
      </c>
      <c r="J1195" s="6" t="s">
        <v>5990</v>
      </c>
      <c r="K1195" s="6" t="s">
        <v>5991</v>
      </c>
      <c r="L1195" s="6" t="s">
        <v>1569</v>
      </c>
      <c r="M1195" s="6" t="s">
        <v>5992</v>
      </c>
      <c r="N1195" s="6" t="s">
        <v>5807</v>
      </c>
      <c r="O1195" s="6" t="s">
        <v>5759</v>
      </c>
      <c r="P1195" s="6" t="s">
        <v>5808</v>
      </c>
      <c r="Q1195" s="8">
        <v>90</v>
      </c>
      <c r="R1195" s="8">
        <v>90.27</v>
      </c>
      <c r="S1195" s="8">
        <v>179.9</v>
      </c>
      <c r="T1195" s="8">
        <v>16</v>
      </c>
      <c r="U1195" s="8"/>
      <c r="V1195" s="8">
        <v>0</v>
      </c>
      <c r="W1195" s="12">
        <v>0</v>
      </c>
      <c r="Y1195">
        <v>0</v>
      </c>
    </row>
    <row r="1196" spans="1:25" ht="40" customHeight="1">
      <c r="A1196" s="6" t="s">
        <v>5993</v>
      </c>
      <c r="B1196" s="6" t="s">
        <v>5994</v>
      </c>
      <c r="C1196" s="6" t="s">
        <v>5988</v>
      </c>
      <c r="D1196" s="6" t="s">
        <v>279</v>
      </c>
      <c r="E1196" s="6" t="s">
        <v>5995</v>
      </c>
      <c r="F1196" s="6"/>
      <c r="G1196" s="6" t="s">
        <v>2246</v>
      </c>
      <c r="H1196" s="6" t="s">
        <v>215</v>
      </c>
      <c r="I1196" s="6" t="s">
        <v>5184</v>
      </c>
      <c r="J1196" s="6" t="s">
        <v>5990</v>
      </c>
      <c r="K1196" s="6" t="s">
        <v>5901</v>
      </c>
      <c r="L1196" s="6" t="s">
        <v>1569</v>
      </c>
      <c r="M1196" s="6" t="s">
        <v>5992</v>
      </c>
      <c r="N1196" s="6" t="s">
        <v>5807</v>
      </c>
      <c r="O1196" s="6" t="s">
        <v>5759</v>
      </c>
      <c r="P1196" s="6" t="s">
        <v>5808</v>
      </c>
      <c r="Q1196" s="8">
        <v>90</v>
      </c>
      <c r="R1196" s="8">
        <v>90.27</v>
      </c>
      <c r="S1196" s="8">
        <v>179.9</v>
      </c>
      <c r="T1196" s="8">
        <v>16</v>
      </c>
      <c r="U1196" s="8"/>
      <c r="V1196" s="8">
        <v>0</v>
      </c>
      <c r="W1196" s="12">
        <v>0</v>
      </c>
      <c r="Y1196">
        <v>0</v>
      </c>
    </row>
    <row r="1197" spans="1:25" ht="40" customHeight="1">
      <c r="A1197" s="6" t="s">
        <v>5996</v>
      </c>
      <c r="B1197" s="6" t="s">
        <v>5997</v>
      </c>
      <c r="C1197" s="6" t="s">
        <v>5988</v>
      </c>
      <c r="D1197" s="6" t="s">
        <v>1092</v>
      </c>
      <c r="E1197" s="6" t="s">
        <v>5998</v>
      </c>
      <c r="F1197" s="6"/>
      <c r="G1197" s="6" t="s">
        <v>2246</v>
      </c>
      <c r="H1197" s="6" t="s">
        <v>215</v>
      </c>
      <c r="I1197" s="6" t="s">
        <v>5184</v>
      </c>
      <c r="J1197" s="6" t="s">
        <v>5990</v>
      </c>
      <c r="K1197" s="6" t="s">
        <v>5570</v>
      </c>
      <c r="L1197" s="6" t="s">
        <v>1569</v>
      </c>
      <c r="M1197" s="6" t="s">
        <v>5992</v>
      </c>
      <c r="N1197" s="6" t="s">
        <v>5807</v>
      </c>
      <c r="O1197" s="6" t="s">
        <v>5759</v>
      </c>
      <c r="P1197" s="6" t="s">
        <v>5808</v>
      </c>
      <c r="Q1197" s="8">
        <v>90</v>
      </c>
      <c r="R1197" s="8">
        <v>90.27</v>
      </c>
      <c r="S1197" s="8">
        <v>179.9</v>
      </c>
      <c r="T1197" s="8">
        <v>16</v>
      </c>
      <c r="U1197" s="8"/>
      <c r="V1197" s="8">
        <v>0</v>
      </c>
      <c r="W1197" s="12">
        <v>0</v>
      </c>
      <c r="Y1197">
        <v>0</v>
      </c>
    </row>
    <row r="1198" spans="1:25" ht="40" customHeight="1">
      <c r="A1198" s="6" t="s">
        <v>5999</v>
      </c>
      <c r="B1198" s="6" t="s">
        <v>6000</v>
      </c>
      <c r="C1198" s="6" t="s">
        <v>5988</v>
      </c>
      <c r="D1198" s="6" t="s">
        <v>6001</v>
      </c>
      <c r="E1198" s="6" t="s">
        <v>6002</v>
      </c>
      <c r="F1198" s="6"/>
      <c r="G1198" s="6" t="s">
        <v>2246</v>
      </c>
      <c r="H1198" s="6" t="s">
        <v>215</v>
      </c>
      <c r="I1198" s="6" t="s">
        <v>5184</v>
      </c>
      <c r="J1198" s="6" t="s">
        <v>5990</v>
      </c>
      <c r="K1198" s="6" t="s">
        <v>6003</v>
      </c>
      <c r="L1198" s="6" t="s">
        <v>1569</v>
      </c>
      <c r="M1198" s="6" t="s">
        <v>5992</v>
      </c>
      <c r="N1198" s="6" t="s">
        <v>5807</v>
      </c>
      <c r="O1198" s="6" t="s">
        <v>5759</v>
      </c>
      <c r="P1198" s="6" t="s">
        <v>5808</v>
      </c>
      <c r="Q1198" s="8">
        <v>90</v>
      </c>
      <c r="R1198" s="8">
        <v>90.27</v>
      </c>
      <c r="S1198" s="8">
        <v>179.9</v>
      </c>
      <c r="T1198" s="8">
        <v>16</v>
      </c>
      <c r="U1198" s="8"/>
      <c r="V1198" s="8">
        <v>0</v>
      </c>
      <c r="W1198" s="12">
        <v>0</v>
      </c>
      <c r="Y1198">
        <v>0</v>
      </c>
    </row>
    <row r="1199" spans="1:25" ht="40" customHeight="1">
      <c r="A1199" s="6" t="s">
        <v>6004</v>
      </c>
      <c r="B1199" s="6" t="s">
        <v>6005</v>
      </c>
      <c r="C1199" s="6" t="s">
        <v>5988</v>
      </c>
      <c r="D1199" s="6" t="s">
        <v>862</v>
      </c>
      <c r="E1199" s="6" t="s">
        <v>6006</v>
      </c>
      <c r="F1199" s="6"/>
      <c r="G1199" s="6" t="s">
        <v>2246</v>
      </c>
      <c r="H1199" s="6" t="s">
        <v>215</v>
      </c>
      <c r="I1199" s="6" t="s">
        <v>5184</v>
      </c>
      <c r="J1199" s="6" t="s">
        <v>5990</v>
      </c>
      <c r="K1199" s="6" t="s">
        <v>5932</v>
      </c>
      <c r="L1199" s="6" t="s">
        <v>1569</v>
      </c>
      <c r="M1199" s="6" t="s">
        <v>5992</v>
      </c>
      <c r="N1199" s="6" t="s">
        <v>5807</v>
      </c>
      <c r="O1199" s="6" t="s">
        <v>5759</v>
      </c>
      <c r="P1199" s="6" t="s">
        <v>5808</v>
      </c>
      <c r="Q1199" s="8">
        <v>90</v>
      </c>
      <c r="R1199" s="8">
        <v>90.27</v>
      </c>
      <c r="S1199" s="8">
        <v>179.9</v>
      </c>
      <c r="T1199" s="8">
        <v>16</v>
      </c>
      <c r="U1199" s="8"/>
      <c r="V1199" s="8">
        <v>0</v>
      </c>
      <c r="W1199" s="12">
        <v>0</v>
      </c>
      <c r="Y1199">
        <v>0</v>
      </c>
    </row>
    <row r="1200" spans="1:25" ht="40" customHeight="1">
      <c r="A1200" s="6" t="s">
        <v>6007</v>
      </c>
      <c r="B1200" s="6" t="s">
        <v>6008</v>
      </c>
      <c r="C1200" s="6" t="s">
        <v>5988</v>
      </c>
      <c r="D1200" s="6" t="s">
        <v>1681</v>
      </c>
      <c r="E1200" s="6" t="s">
        <v>6009</v>
      </c>
      <c r="F1200" s="6"/>
      <c r="G1200" s="6" t="s">
        <v>2246</v>
      </c>
      <c r="H1200" s="6" t="s">
        <v>215</v>
      </c>
      <c r="I1200" s="6" t="s">
        <v>5184</v>
      </c>
      <c r="J1200" s="6" t="s">
        <v>5990</v>
      </c>
      <c r="K1200" s="8"/>
      <c r="L1200" s="8"/>
      <c r="M1200" s="8"/>
      <c r="N1200" s="8"/>
      <c r="O1200" s="8"/>
      <c r="P1200" s="8"/>
      <c r="Q1200" s="8">
        <v>90</v>
      </c>
      <c r="R1200" s="8">
        <v>90.27</v>
      </c>
      <c r="S1200" s="8">
        <v>179.9</v>
      </c>
      <c r="T1200" s="8">
        <v>16</v>
      </c>
      <c r="U1200" s="8"/>
      <c r="V1200" s="8">
        <v>0</v>
      </c>
      <c r="W1200" s="12">
        <v>0</v>
      </c>
      <c r="Y1200">
        <v>0</v>
      </c>
    </row>
    <row r="1201" spans="1:25" ht="40" customHeight="1">
      <c r="A1201" s="6" t="s">
        <v>6010</v>
      </c>
      <c r="B1201" s="6" t="s">
        <v>6011</v>
      </c>
      <c r="C1201" s="6" t="s">
        <v>6012</v>
      </c>
      <c r="D1201" s="6" t="s">
        <v>1614</v>
      </c>
      <c r="E1201" s="6" t="s">
        <v>6013</v>
      </c>
      <c r="F1201" s="6"/>
      <c r="G1201" s="6" t="s">
        <v>2246</v>
      </c>
      <c r="H1201" s="6" t="s">
        <v>215</v>
      </c>
      <c r="I1201" s="6" t="s">
        <v>5141</v>
      </c>
      <c r="J1201" s="6" t="s">
        <v>5990</v>
      </c>
      <c r="K1201" s="6" t="s">
        <v>5991</v>
      </c>
      <c r="L1201" s="6" t="s">
        <v>1569</v>
      </c>
      <c r="M1201" s="6" t="s">
        <v>5992</v>
      </c>
      <c r="N1201" s="6" t="s">
        <v>5807</v>
      </c>
      <c r="O1201" s="6" t="s">
        <v>6014</v>
      </c>
      <c r="P1201" s="6" t="s">
        <v>5808</v>
      </c>
      <c r="Q1201" s="8">
        <v>85</v>
      </c>
      <c r="R1201" s="8">
        <v>85.254999999999995</v>
      </c>
      <c r="S1201" s="8">
        <v>169.9</v>
      </c>
      <c r="T1201" s="8">
        <v>14</v>
      </c>
      <c r="U1201" s="8"/>
      <c r="V1201" s="8">
        <v>0</v>
      </c>
      <c r="W1201" s="12">
        <v>0</v>
      </c>
      <c r="Y1201">
        <v>0</v>
      </c>
    </row>
    <row r="1202" spans="1:25" ht="47.25" customHeight="1">
      <c r="A1202" s="6" t="s">
        <v>6015</v>
      </c>
      <c r="B1202" s="6" t="s">
        <v>6016</v>
      </c>
      <c r="C1202" s="6" t="s">
        <v>6012</v>
      </c>
      <c r="D1202" s="6" t="s">
        <v>279</v>
      </c>
      <c r="E1202" s="6" t="s">
        <v>6017</v>
      </c>
      <c r="F1202" s="6"/>
      <c r="G1202" s="6" t="s">
        <v>2246</v>
      </c>
      <c r="H1202" s="6" t="s">
        <v>215</v>
      </c>
      <c r="I1202" s="6" t="s">
        <v>5141</v>
      </c>
      <c r="J1202" s="6" t="s">
        <v>5990</v>
      </c>
      <c r="K1202" s="8"/>
      <c r="L1202" s="8"/>
      <c r="M1202" s="8"/>
      <c r="N1202" s="8"/>
      <c r="O1202" s="8"/>
      <c r="P1202" s="8"/>
      <c r="Q1202" s="8">
        <v>85</v>
      </c>
      <c r="R1202" s="8">
        <v>85.254999999999995</v>
      </c>
      <c r="S1202" s="8">
        <v>169.9</v>
      </c>
      <c r="T1202" s="8">
        <v>14</v>
      </c>
      <c r="U1202" s="8"/>
      <c r="V1202" s="8">
        <v>0</v>
      </c>
      <c r="W1202" s="12">
        <v>0</v>
      </c>
      <c r="Y1202">
        <v>0</v>
      </c>
    </row>
    <row r="1203" spans="1:25" ht="47.25" customHeight="1">
      <c r="A1203" s="6" t="s">
        <v>6018</v>
      </c>
      <c r="B1203" s="6" t="s">
        <v>6019</v>
      </c>
      <c r="C1203" s="6" t="s">
        <v>6012</v>
      </c>
      <c r="D1203" s="6" t="s">
        <v>1681</v>
      </c>
      <c r="E1203" s="6" t="s">
        <v>6020</v>
      </c>
      <c r="F1203" s="7"/>
      <c r="G1203" s="6" t="s">
        <v>2246</v>
      </c>
      <c r="H1203" s="6" t="s">
        <v>215</v>
      </c>
      <c r="I1203" s="6" t="s">
        <v>5141</v>
      </c>
      <c r="J1203" s="6" t="s">
        <v>5990</v>
      </c>
      <c r="K1203" s="8"/>
      <c r="L1203" s="8"/>
      <c r="M1203" s="8"/>
      <c r="N1203" s="8"/>
      <c r="O1203" s="8"/>
      <c r="P1203" s="8"/>
      <c r="Q1203" s="8">
        <v>85</v>
      </c>
      <c r="R1203" s="8">
        <v>85.254999999999995</v>
      </c>
      <c r="S1203" s="8">
        <v>169.9</v>
      </c>
      <c r="T1203" s="8">
        <v>14</v>
      </c>
      <c r="U1203" s="8"/>
      <c r="V1203" s="8">
        <v>0</v>
      </c>
      <c r="W1203" s="12">
        <v>0</v>
      </c>
      <c r="Y1203">
        <v>0</v>
      </c>
    </row>
    <row r="1204" spans="1:25" ht="40" customHeight="1">
      <c r="A1204" s="6" t="s">
        <v>6021</v>
      </c>
      <c r="B1204" s="6" t="s">
        <v>6022</v>
      </c>
      <c r="C1204" s="6" t="s">
        <v>6023</v>
      </c>
      <c r="D1204" s="6" t="s">
        <v>1614</v>
      </c>
      <c r="E1204" s="6" t="s">
        <v>6024</v>
      </c>
      <c r="F1204" s="6"/>
      <c r="G1204" s="6" t="s">
        <v>5844</v>
      </c>
      <c r="H1204" s="6" t="s">
        <v>6025</v>
      </c>
      <c r="I1204" s="6" t="s">
        <v>5184</v>
      </c>
      <c r="J1204" s="6" t="s">
        <v>6026</v>
      </c>
      <c r="K1204" s="6" t="s">
        <v>5847</v>
      </c>
      <c r="L1204" s="6" t="s">
        <v>2229</v>
      </c>
      <c r="M1204" s="6" t="s">
        <v>6027</v>
      </c>
      <c r="N1204" s="6" t="s">
        <v>5807</v>
      </c>
      <c r="O1204" s="6" t="s">
        <v>2231</v>
      </c>
      <c r="P1204" s="6" t="s">
        <v>5808</v>
      </c>
      <c r="Q1204" s="8">
        <v>140</v>
      </c>
      <c r="R1204" s="8">
        <v>140.41999999999999</v>
      </c>
      <c r="S1204" s="8">
        <v>279.89999999999998</v>
      </c>
      <c r="T1204" s="8">
        <v>16</v>
      </c>
      <c r="U1204" s="8"/>
      <c r="V1204" s="8">
        <v>0</v>
      </c>
      <c r="W1204" s="12">
        <v>0</v>
      </c>
      <c r="Y1204">
        <v>0</v>
      </c>
    </row>
    <row r="1205" spans="1:25" ht="40" customHeight="1">
      <c r="A1205" s="6" t="s">
        <v>6028</v>
      </c>
      <c r="B1205" s="6" t="s">
        <v>6029</v>
      </c>
      <c r="C1205" s="6" t="s">
        <v>6023</v>
      </c>
      <c r="D1205" s="6" t="s">
        <v>5904</v>
      </c>
      <c r="E1205" s="6" t="s">
        <v>6030</v>
      </c>
      <c r="F1205" s="6"/>
      <c r="G1205" s="6" t="s">
        <v>5844</v>
      </c>
      <c r="H1205" s="6" t="s">
        <v>6025</v>
      </c>
      <c r="I1205" s="6" t="s">
        <v>5184</v>
      </c>
      <c r="J1205" s="6" t="s">
        <v>6026</v>
      </c>
      <c r="K1205" s="6" t="s">
        <v>5906</v>
      </c>
      <c r="L1205" s="6" t="s">
        <v>2229</v>
      </c>
      <c r="M1205" s="6" t="s">
        <v>6027</v>
      </c>
      <c r="N1205" s="6" t="s">
        <v>5807</v>
      </c>
      <c r="O1205" s="6" t="s">
        <v>2231</v>
      </c>
      <c r="P1205" s="6" t="s">
        <v>5808</v>
      </c>
      <c r="Q1205" s="8">
        <v>140</v>
      </c>
      <c r="R1205" s="8">
        <v>140.41999999999999</v>
      </c>
      <c r="S1205" s="8">
        <v>279.89999999999998</v>
      </c>
      <c r="T1205" s="8">
        <v>16</v>
      </c>
      <c r="U1205" s="8"/>
      <c r="V1205" s="8">
        <v>0</v>
      </c>
      <c r="W1205" s="12">
        <v>0</v>
      </c>
      <c r="Y1205">
        <v>0</v>
      </c>
    </row>
    <row r="1206" spans="1:25" ht="40" customHeight="1">
      <c r="A1206" s="6" t="s">
        <v>6031</v>
      </c>
      <c r="B1206" s="6" t="s">
        <v>6032</v>
      </c>
      <c r="C1206" s="6" t="s">
        <v>6023</v>
      </c>
      <c r="D1206" s="6" t="s">
        <v>6033</v>
      </c>
      <c r="E1206" s="6" t="s">
        <v>6034</v>
      </c>
      <c r="F1206" s="6"/>
      <c r="G1206" s="6" t="s">
        <v>5844</v>
      </c>
      <c r="H1206" s="6" t="s">
        <v>6025</v>
      </c>
      <c r="I1206" s="6" t="s">
        <v>5184</v>
      </c>
      <c r="J1206" s="6" t="s">
        <v>6026</v>
      </c>
      <c r="K1206" s="6" t="s">
        <v>6035</v>
      </c>
      <c r="L1206" s="6" t="s">
        <v>2229</v>
      </c>
      <c r="M1206" s="6" t="s">
        <v>6027</v>
      </c>
      <c r="N1206" s="6" t="s">
        <v>5807</v>
      </c>
      <c r="O1206" s="6" t="s">
        <v>2231</v>
      </c>
      <c r="P1206" s="6" t="s">
        <v>5808</v>
      </c>
      <c r="Q1206" s="8">
        <v>140</v>
      </c>
      <c r="R1206" s="8">
        <v>140.41999999999999</v>
      </c>
      <c r="S1206" s="8">
        <v>279.89999999999998</v>
      </c>
      <c r="T1206" s="8">
        <v>16</v>
      </c>
      <c r="U1206" s="8"/>
      <c r="V1206" s="8">
        <v>0</v>
      </c>
      <c r="W1206" s="12">
        <v>0</v>
      </c>
      <c r="Y1206">
        <v>0</v>
      </c>
    </row>
    <row r="1207" spans="1:25" ht="40" customHeight="1">
      <c r="A1207" s="6" t="s">
        <v>6036</v>
      </c>
      <c r="B1207" s="6" t="s">
        <v>6037</v>
      </c>
      <c r="C1207" s="6" t="s">
        <v>6038</v>
      </c>
      <c r="D1207" s="6" t="s">
        <v>5192</v>
      </c>
      <c r="E1207" s="6" t="s">
        <v>6039</v>
      </c>
      <c r="F1207" s="6"/>
      <c r="G1207" s="6" t="s">
        <v>2564</v>
      </c>
      <c r="H1207" s="6" t="s">
        <v>6040</v>
      </c>
      <c r="I1207" s="6" t="s">
        <v>5184</v>
      </c>
      <c r="J1207" s="6" t="s">
        <v>6041</v>
      </c>
      <c r="K1207" s="6" t="s">
        <v>6042</v>
      </c>
      <c r="L1207" s="6" t="s">
        <v>5980</v>
      </c>
      <c r="M1207" s="6" t="s">
        <v>6043</v>
      </c>
      <c r="N1207" s="6" t="s">
        <v>5807</v>
      </c>
      <c r="O1207" s="6" t="s">
        <v>5873</v>
      </c>
      <c r="P1207" s="6" t="s">
        <v>5808</v>
      </c>
      <c r="Q1207" s="8">
        <v>90</v>
      </c>
      <c r="R1207" s="8">
        <v>90.27</v>
      </c>
      <c r="S1207" s="8">
        <v>179.9</v>
      </c>
      <c r="T1207" s="8">
        <v>16</v>
      </c>
      <c r="U1207" s="8"/>
      <c r="V1207" s="8">
        <v>0</v>
      </c>
      <c r="W1207" s="12">
        <v>0</v>
      </c>
      <c r="Y1207">
        <v>0</v>
      </c>
    </row>
    <row r="1208" spans="1:25" ht="40" customHeight="1">
      <c r="A1208" s="6" t="s">
        <v>6044</v>
      </c>
      <c r="B1208" s="6" t="s">
        <v>6045</v>
      </c>
      <c r="C1208" s="6" t="s">
        <v>6038</v>
      </c>
      <c r="D1208" s="6" t="s">
        <v>2571</v>
      </c>
      <c r="E1208" s="6" t="s">
        <v>6046</v>
      </c>
      <c r="F1208" s="6"/>
      <c r="G1208" s="6" t="s">
        <v>2564</v>
      </c>
      <c r="H1208" s="6" t="s">
        <v>6040</v>
      </c>
      <c r="I1208" s="6" t="s">
        <v>5184</v>
      </c>
      <c r="J1208" s="6" t="s">
        <v>6041</v>
      </c>
      <c r="K1208" s="6" t="s">
        <v>6047</v>
      </c>
      <c r="L1208" s="6" t="s">
        <v>5980</v>
      </c>
      <c r="M1208" s="6" t="s">
        <v>6043</v>
      </c>
      <c r="N1208" s="6" t="s">
        <v>5807</v>
      </c>
      <c r="O1208" s="6" t="s">
        <v>5873</v>
      </c>
      <c r="P1208" s="6" t="s">
        <v>5808</v>
      </c>
      <c r="Q1208" s="8">
        <v>90</v>
      </c>
      <c r="R1208" s="8">
        <v>90.27</v>
      </c>
      <c r="S1208" s="8">
        <v>179.9</v>
      </c>
      <c r="T1208" s="8">
        <v>16</v>
      </c>
      <c r="U1208" s="8"/>
      <c r="V1208" s="8">
        <v>0</v>
      </c>
      <c r="W1208" s="12">
        <v>0</v>
      </c>
      <c r="Y1208">
        <v>0</v>
      </c>
    </row>
    <row r="1209" spans="1:25" ht="40" customHeight="1">
      <c r="A1209" s="6" t="s">
        <v>6048</v>
      </c>
      <c r="B1209" s="6" t="s">
        <v>6049</v>
      </c>
      <c r="C1209" s="6" t="s">
        <v>6038</v>
      </c>
      <c r="D1209" s="6" t="s">
        <v>1153</v>
      </c>
      <c r="E1209" s="6" t="s">
        <v>6050</v>
      </c>
      <c r="F1209" s="6"/>
      <c r="G1209" s="6" t="s">
        <v>2564</v>
      </c>
      <c r="H1209" s="6" t="s">
        <v>6040</v>
      </c>
      <c r="I1209" s="6" t="s">
        <v>5184</v>
      </c>
      <c r="J1209" s="6" t="s">
        <v>6041</v>
      </c>
      <c r="K1209" s="6" t="s">
        <v>5461</v>
      </c>
      <c r="L1209" s="6" t="s">
        <v>5980</v>
      </c>
      <c r="M1209" s="6" t="s">
        <v>6043</v>
      </c>
      <c r="N1209" s="6" t="s">
        <v>5807</v>
      </c>
      <c r="O1209" s="6" t="s">
        <v>5873</v>
      </c>
      <c r="P1209" s="6" t="s">
        <v>5808</v>
      </c>
      <c r="Q1209" s="8">
        <v>90</v>
      </c>
      <c r="R1209" s="8">
        <v>90.27</v>
      </c>
      <c r="S1209" s="8">
        <v>179.9</v>
      </c>
      <c r="T1209" s="8">
        <v>16</v>
      </c>
      <c r="U1209" s="8"/>
      <c r="V1209" s="8">
        <v>0</v>
      </c>
      <c r="W1209" s="12">
        <v>0</v>
      </c>
      <c r="Y1209">
        <v>0</v>
      </c>
    </row>
    <row r="1210" spans="1:25" ht="40" customHeight="1">
      <c r="A1210" s="6" t="s">
        <v>6051</v>
      </c>
      <c r="B1210" s="6" t="s">
        <v>6052</v>
      </c>
      <c r="C1210" s="6" t="s">
        <v>6038</v>
      </c>
      <c r="D1210" s="6" t="s">
        <v>2576</v>
      </c>
      <c r="E1210" s="6" t="s">
        <v>6053</v>
      </c>
      <c r="F1210" s="6"/>
      <c r="G1210" s="6" t="s">
        <v>2564</v>
      </c>
      <c r="H1210" s="6" t="s">
        <v>6040</v>
      </c>
      <c r="I1210" s="6" t="s">
        <v>5184</v>
      </c>
      <c r="J1210" s="6" t="s">
        <v>6041</v>
      </c>
      <c r="K1210" s="6" t="s">
        <v>5806</v>
      </c>
      <c r="L1210" s="6" t="s">
        <v>5980</v>
      </c>
      <c r="M1210" s="6" t="s">
        <v>6043</v>
      </c>
      <c r="N1210" s="6" t="s">
        <v>5807</v>
      </c>
      <c r="O1210" s="6" t="s">
        <v>5873</v>
      </c>
      <c r="P1210" s="6" t="s">
        <v>5808</v>
      </c>
      <c r="Q1210" s="8">
        <v>90</v>
      </c>
      <c r="R1210" s="8">
        <v>90.27</v>
      </c>
      <c r="S1210" s="8">
        <v>179.9</v>
      </c>
      <c r="T1210" s="8">
        <v>16</v>
      </c>
      <c r="U1210" s="8"/>
      <c r="V1210" s="8">
        <v>0</v>
      </c>
      <c r="W1210" s="12">
        <v>0</v>
      </c>
      <c r="Y1210">
        <v>0</v>
      </c>
    </row>
    <row r="1211" spans="1:25" ht="40" customHeight="1">
      <c r="A1211" s="6" t="s">
        <v>6054</v>
      </c>
      <c r="B1211" s="6" t="s">
        <v>6055</v>
      </c>
      <c r="C1211" s="6" t="s">
        <v>6038</v>
      </c>
      <c r="D1211" s="6" t="s">
        <v>1361</v>
      </c>
      <c r="E1211" s="6" t="s">
        <v>6056</v>
      </c>
      <c r="F1211" s="6"/>
      <c r="G1211" s="6" t="s">
        <v>2564</v>
      </c>
      <c r="H1211" s="6" t="s">
        <v>6040</v>
      </c>
      <c r="I1211" s="6" t="s">
        <v>5184</v>
      </c>
      <c r="J1211" s="6" t="s">
        <v>6041</v>
      </c>
      <c r="K1211" s="6" t="s">
        <v>6057</v>
      </c>
      <c r="L1211" s="6" t="s">
        <v>5980</v>
      </c>
      <c r="M1211" s="6" t="s">
        <v>6043</v>
      </c>
      <c r="N1211" s="6" t="s">
        <v>5807</v>
      </c>
      <c r="O1211" s="6" t="s">
        <v>5873</v>
      </c>
      <c r="P1211" s="6" t="s">
        <v>5808</v>
      </c>
      <c r="Q1211" s="8">
        <v>90</v>
      </c>
      <c r="R1211" s="8">
        <v>90.27</v>
      </c>
      <c r="S1211" s="8">
        <v>179.9</v>
      </c>
      <c r="T1211" s="8">
        <v>16</v>
      </c>
      <c r="U1211" s="8"/>
      <c r="V1211" s="8">
        <v>0</v>
      </c>
      <c r="W1211" s="12">
        <v>0</v>
      </c>
      <c r="Y1211">
        <v>0</v>
      </c>
    </row>
    <row r="1212" spans="1:25" ht="40" customHeight="1">
      <c r="A1212" s="6" t="s">
        <v>6058</v>
      </c>
      <c r="B1212" s="6" t="s">
        <v>6059</v>
      </c>
      <c r="C1212" s="6" t="s">
        <v>6060</v>
      </c>
      <c r="D1212" s="6" t="s">
        <v>195</v>
      </c>
      <c r="E1212" s="6" t="s">
        <v>6061</v>
      </c>
      <c r="F1212" s="6"/>
      <c r="G1212" s="6" t="s">
        <v>2246</v>
      </c>
      <c r="H1212" s="6" t="s">
        <v>6062</v>
      </c>
      <c r="I1212" s="6" t="s">
        <v>5184</v>
      </c>
      <c r="J1212" s="6" t="s">
        <v>6063</v>
      </c>
      <c r="K1212" s="6" t="s">
        <v>6064</v>
      </c>
      <c r="L1212" s="6" t="s">
        <v>54</v>
      </c>
      <c r="M1212" s="6" t="s">
        <v>54</v>
      </c>
      <c r="N1212" s="6" t="s">
        <v>5807</v>
      </c>
      <c r="O1212" s="6" t="s">
        <v>5873</v>
      </c>
      <c r="P1212" s="6" t="s">
        <v>5808</v>
      </c>
      <c r="Q1212" s="8">
        <v>100</v>
      </c>
      <c r="R1212" s="8">
        <v>100.3</v>
      </c>
      <c r="S1212" s="8">
        <v>199.9</v>
      </c>
      <c r="T1212" s="8">
        <v>16</v>
      </c>
      <c r="U1212" s="8"/>
      <c r="V1212" s="8">
        <v>0</v>
      </c>
      <c r="W1212" s="12">
        <v>0</v>
      </c>
      <c r="Y1212">
        <v>0</v>
      </c>
    </row>
    <row r="1213" spans="1:25" ht="40" customHeight="1">
      <c r="A1213" s="6" t="s">
        <v>6065</v>
      </c>
      <c r="B1213" s="6" t="s">
        <v>6066</v>
      </c>
      <c r="C1213" s="6" t="s">
        <v>6060</v>
      </c>
      <c r="D1213" s="6" t="s">
        <v>1153</v>
      </c>
      <c r="E1213" s="6" t="s">
        <v>6067</v>
      </c>
      <c r="F1213" s="6"/>
      <c r="G1213" s="6" t="s">
        <v>2246</v>
      </c>
      <c r="H1213" s="6" t="s">
        <v>6062</v>
      </c>
      <c r="I1213" s="6" t="s">
        <v>5184</v>
      </c>
      <c r="J1213" s="6" t="s">
        <v>6063</v>
      </c>
      <c r="K1213" s="6" t="s">
        <v>5461</v>
      </c>
      <c r="L1213" s="6" t="s">
        <v>54</v>
      </c>
      <c r="M1213" s="6" t="s">
        <v>54</v>
      </c>
      <c r="N1213" s="6" t="s">
        <v>5807</v>
      </c>
      <c r="O1213" s="6" t="s">
        <v>5873</v>
      </c>
      <c r="P1213" s="6" t="s">
        <v>5808</v>
      </c>
      <c r="Q1213" s="8">
        <v>100</v>
      </c>
      <c r="R1213" s="8">
        <v>100.3</v>
      </c>
      <c r="S1213" s="8">
        <v>199.9</v>
      </c>
      <c r="T1213" s="8">
        <v>16</v>
      </c>
      <c r="U1213" s="8"/>
      <c r="V1213" s="8">
        <v>0</v>
      </c>
      <c r="W1213" s="12">
        <v>0</v>
      </c>
      <c r="Y1213">
        <v>0</v>
      </c>
    </row>
    <row r="1214" spans="1:25" ht="40" customHeight="1">
      <c r="A1214" s="6" t="s">
        <v>6068</v>
      </c>
      <c r="B1214" s="6" t="s">
        <v>6069</v>
      </c>
      <c r="C1214" s="6" t="s">
        <v>6060</v>
      </c>
      <c r="D1214" s="6" t="s">
        <v>1286</v>
      </c>
      <c r="E1214" s="6" t="s">
        <v>6070</v>
      </c>
      <c r="F1214" s="6"/>
      <c r="G1214" s="6" t="s">
        <v>2246</v>
      </c>
      <c r="H1214" s="6" t="s">
        <v>6062</v>
      </c>
      <c r="I1214" s="6" t="s">
        <v>5184</v>
      </c>
      <c r="J1214" s="6" t="s">
        <v>6063</v>
      </c>
      <c r="K1214" s="6" t="s">
        <v>5865</v>
      </c>
      <c r="L1214" s="6" t="s">
        <v>54</v>
      </c>
      <c r="M1214" s="6" t="s">
        <v>54</v>
      </c>
      <c r="N1214" s="6" t="s">
        <v>5807</v>
      </c>
      <c r="O1214" s="6" t="s">
        <v>5873</v>
      </c>
      <c r="P1214" s="6" t="s">
        <v>5808</v>
      </c>
      <c r="Q1214" s="8">
        <v>100</v>
      </c>
      <c r="R1214" s="8">
        <v>100.3</v>
      </c>
      <c r="S1214" s="8">
        <v>199.9</v>
      </c>
      <c r="T1214" s="8">
        <v>16</v>
      </c>
      <c r="U1214" s="8"/>
      <c r="V1214" s="8">
        <v>0</v>
      </c>
      <c r="W1214" s="12">
        <v>0</v>
      </c>
      <c r="Y1214">
        <v>0</v>
      </c>
    </row>
    <row r="1215" spans="1:25" ht="40" customHeight="1">
      <c r="A1215" s="6" t="s">
        <v>6071</v>
      </c>
      <c r="B1215" s="6" t="s">
        <v>6072</v>
      </c>
      <c r="C1215" s="6" t="s">
        <v>6073</v>
      </c>
      <c r="D1215" s="6" t="s">
        <v>6033</v>
      </c>
      <c r="E1215" s="6" t="s">
        <v>6074</v>
      </c>
      <c r="F1215" s="6"/>
      <c r="G1215" s="6" t="s">
        <v>2246</v>
      </c>
      <c r="H1215" s="6" t="s">
        <v>6075</v>
      </c>
      <c r="I1215" s="6" t="s">
        <v>5184</v>
      </c>
      <c r="J1215" s="6" t="s">
        <v>6076</v>
      </c>
      <c r="K1215" s="6" t="s">
        <v>6035</v>
      </c>
      <c r="L1215" s="6" t="s">
        <v>54</v>
      </c>
      <c r="M1215" s="6" t="s">
        <v>54</v>
      </c>
      <c r="N1215" s="6" t="s">
        <v>5807</v>
      </c>
      <c r="O1215" s="6" t="s">
        <v>6077</v>
      </c>
      <c r="P1215" s="6" t="s">
        <v>5808</v>
      </c>
      <c r="Q1215" s="8">
        <v>125</v>
      </c>
      <c r="R1215" s="8">
        <v>125.375</v>
      </c>
      <c r="S1215" s="8">
        <v>249.9</v>
      </c>
      <c r="T1215" s="8">
        <v>16</v>
      </c>
      <c r="U1215" s="8"/>
      <c r="V1215" s="8">
        <v>0</v>
      </c>
      <c r="W1215" s="12">
        <v>0</v>
      </c>
      <c r="Y1215">
        <v>0</v>
      </c>
    </row>
    <row r="1216" spans="1:25" ht="40" customHeight="1">
      <c r="A1216" s="6" t="s">
        <v>6078</v>
      </c>
      <c r="B1216" s="6" t="s">
        <v>6079</v>
      </c>
      <c r="C1216" s="6" t="s">
        <v>6080</v>
      </c>
      <c r="D1216" s="6" t="s">
        <v>1286</v>
      </c>
      <c r="E1216" s="6" t="s">
        <v>6081</v>
      </c>
      <c r="F1216" s="6"/>
      <c r="G1216" s="6" t="s">
        <v>2246</v>
      </c>
      <c r="H1216" s="6" t="s">
        <v>6082</v>
      </c>
      <c r="I1216" s="6" t="s">
        <v>5184</v>
      </c>
      <c r="J1216" s="6" t="s">
        <v>6083</v>
      </c>
      <c r="K1216" s="6" t="s">
        <v>5865</v>
      </c>
      <c r="L1216" s="6" t="s">
        <v>54</v>
      </c>
      <c r="M1216" s="6" t="s">
        <v>54</v>
      </c>
      <c r="N1216" s="6" t="s">
        <v>5807</v>
      </c>
      <c r="O1216" s="6" t="s">
        <v>5946</v>
      </c>
      <c r="P1216" s="6" t="s">
        <v>5808</v>
      </c>
      <c r="Q1216" s="8">
        <v>125</v>
      </c>
      <c r="R1216" s="8">
        <v>125.375</v>
      </c>
      <c r="S1216" s="8">
        <v>249.9</v>
      </c>
      <c r="T1216" s="8">
        <v>16</v>
      </c>
      <c r="U1216" s="8"/>
      <c r="V1216" s="8">
        <v>0</v>
      </c>
      <c r="W1216" s="12">
        <v>0</v>
      </c>
      <c r="Y1216">
        <v>0</v>
      </c>
    </row>
    <row r="1217" spans="1:25" ht="40" customHeight="1">
      <c r="A1217" s="6" t="s">
        <v>6084</v>
      </c>
      <c r="B1217" s="6" t="s">
        <v>6085</v>
      </c>
      <c r="C1217" s="6" t="s">
        <v>6086</v>
      </c>
      <c r="D1217" s="6" t="s">
        <v>5940</v>
      </c>
      <c r="E1217" s="6" t="s">
        <v>6087</v>
      </c>
      <c r="F1217" s="6"/>
      <c r="G1217" s="6" t="s">
        <v>2246</v>
      </c>
      <c r="H1217" s="6" t="s">
        <v>6088</v>
      </c>
      <c r="I1217" s="6" t="s">
        <v>5141</v>
      </c>
      <c r="J1217" s="6" t="s">
        <v>6089</v>
      </c>
      <c r="K1217" s="6" t="s">
        <v>6090</v>
      </c>
      <c r="L1217" s="6" t="s">
        <v>6091</v>
      </c>
      <c r="M1217" s="6" t="s">
        <v>6092</v>
      </c>
      <c r="N1217" s="6" t="s">
        <v>5807</v>
      </c>
      <c r="O1217" s="6" t="s">
        <v>6093</v>
      </c>
      <c r="P1217" s="6" t="s">
        <v>5808</v>
      </c>
      <c r="Q1217" s="8">
        <v>100</v>
      </c>
      <c r="R1217" s="8">
        <v>100.3</v>
      </c>
      <c r="S1217" s="8">
        <v>199.9</v>
      </c>
      <c r="T1217" s="8">
        <v>14</v>
      </c>
      <c r="U1217" s="8"/>
      <c r="V1217" s="8">
        <v>0</v>
      </c>
      <c r="W1217" s="12">
        <v>0</v>
      </c>
      <c r="Y1217">
        <v>0</v>
      </c>
    </row>
    <row r="1218" spans="1:25" ht="40" customHeight="1">
      <c r="A1218" s="6" t="s">
        <v>6094</v>
      </c>
      <c r="B1218" s="6" t="s">
        <v>6095</v>
      </c>
      <c r="C1218" s="6" t="s">
        <v>6096</v>
      </c>
      <c r="D1218" s="6" t="s">
        <v>1564</v>
      </c>
      <c r="E1218" s="6" t="s">
        <v>6097</v>
      </c>
      <c r="F1218" s="6"/>
      <c r="G1218" s="6" t="s">
        <v>2246</v>
      </c>
      <c r="H1218" s="6" t="s">
        <v>6098</v>
      </c>
      <c r="I1218" s="6" t="s">
        <v>5184</v>
      </c>
      <c r="J1218" s="6" t="s">
        <v>6099</v>
      </c>
      <c r="K1218" s="6" t="s">
        <v>5859</v>
      </c>
      <c r="L1218" s="6" t="s">
        <v>6091</v>
      </c>
      <c r="M1218" s="6" t="s">
        <v>6100</v>
      </c>
      <c r="N1218" s="6" t="s">
        <v>5807</v>
      </c>
      <c r="O1218" s="6" t="s">
        <v>6101</v>
      </c>
      <c r="P1218" s="6" t="s">
        <v>5808</v>
      </c>
      <c r="Q1218" s="8">
        <v>125</v>
      </c>
      <c r="R1218" s="8">
        <v>125.375</v>
      </c>
      <c r="S1218" s="8">
        <v>249.9</v>
      </c>
      <c r="T1218" s="8">
        <v>16</v>
      </c>
      <c r="U1218" s="8"/>
      <c r="V1218" s="8">
        <v>0</v>
      </c>
      <c r="W1218" s="12">
        <v>0</v>
      </c>
      <c r="Y1218">
        <v>0</v>
      </c>
    </row>
    <row r="1219" spans="1:25" ht="40" customHeight="1">
      <c r="A1219" s="6" t="s">
        <v>6102</v>
      </c>
      <c r="B1219" s="6" t="s">
        <v>6103</v>
      </c>
      <c r="C1219" s="6" t="s">
        <v>6096</v>
      </c>
      <c r="D1219" s="6" t="s">
        <v>5192</v>
      </c>
      <c r="E1219" s="6" t="s">
        <v>6104</v>
      </c>
      <c r="F1219" s="6"/>
      <c r="G1219" s="6" t="s">
        <v>2246</v>
      </c>
      <c r="H1219" s="6" t="s">
        <v>6098</v>
      </c>
      <c r="I1219" s="6" t="s">
        <v>5184</v>
      </c>
      <c r="J1219" s="6" t="s">
        <v>6099</v>
      </c>
      <c r="K1219" s="6" t="s">
        <v>6042</v>
      </c>
      <c r="L1219" s="6" t="s">
        <v>6091</v>
      </c>
      <c r="M1219" s="6" t="s">
        <v>6100</v>
      </c>
      <c r="N1219" s="6" t="s">
        <v>5807</v>
      </c>
      <c r="O1219" s="6" t="s">
        <v>6101</v>
      </c>
      <c r="P1219" s="6" t="s">
        <v>5808</v>
      </c>
      <c r="Q1219" s="8">
        <v>125</v>
      </c>
      <c r="R1219" s="8">
        <v>125.375</v>
      </c>
      <c r="S1219" s="8">
        <v>249.9</v>
      </c>
      <c r="T1219" s="8">
        <v>16</v>
      </c>
      <c r="U1219" s="8"/>
      <c r="V1219" s="8">
        <v>0</v>
      </c>
      <c r="W1219" s="12">
        <v>0</v>
      </c>
      <c r="Y1219">
        <v>0</v>
      </c>
    </row>
    <row r="1220" spans="1:25" ht="40" customHeight="1">
      <c r="A1220" s="6" t="s">
        <v>6105</v>
      </c>
      <c r="B1220" s="6" t="s">
        <v>6106</v>
      </c>
      <c r="C1220" s="6" t="s">
        <v>6096</v>
      </c>
      <c r="D1220" s="6" t="s">
        <v>1286</v>
      </c>
      <c r="E1220" s="6" t="s">
        <v>6107</v>
      </c>
      <c r="F1220" s="6"/>
      <c r="G1220" s="6" t="s">
        <v>2246</v>
      </c>
      <c r="H1220" s="6" t="s">
        <v>6098</v>
      </c>
      <c r="I1220" s="6" t="s">
        <v>5184</v>
      </c>
      <c r="J1220" s="6" t="s">
        <v>6099</v>
      </c>
      <c r="K1220" s="6" t="s">
        <v>5865</v>
      </c>
      <c r="L1220" s="6" t="s">
        <v>6091</v>
      </c>
      <c r="M1220" s="6" t="s">
        <v>6100</v>
      </c>
      <c r="N1220" s="6" t="s">
        <v>5807</v>
      </c>
      <c r="O1220" s="6" t="s">
        <v>6101</v>
      </c>
      <c r="P1220" s="6" t="s">
        <v>5808</v>
      </c>
      <c r="Q1220" s="8">
        <v>125</v>
      </c>
      <c r="R1220" s="8">
        <v>125.375</v>
      </c>
      <c r="S1220" s="8">
        <v>249.9</v>
      </c>
      <c r="T1220" s="8">
        <v>16</v>
      </c>
      <c r="U1220" s="8"/>
      <c r="V1220" s="8">
        <v>0</v>
      </c>
      <c r="W1220" s="12">
        <v>0</v>
      </c>
      <c r="Y1220">
        <v>0</v>
      </c>
    </row>
    <row r="1221" spans="1:25" ht="40" customHeight="1">
      <c r="A1221" s="6" t="s">
        <v>6108</v>
      </c>
      <c r="B1221" s="6" t="s">
        <v>6109</v>
      </c>
      <c r="C1221" s="6" t="s">
        <v>6110</v>
      </c>
      <c r="D1221" s="6" t="s">
        <v>5138</v>
      </c>
      <c r="E1221" s="6" t="s">
        <v>6111</v>
      </c>
      <c r="F1221" s="6"/>
      <c r="G1221" s="6" t="s">
        <v>2246</v>
      </c>
      <c r="H1221" s="6" t="s">
        <v>6098</v>
      </c>
      <c r="I1221" s="6" t="s">
        <v>5141</v>
      </c>
      <c r="J1221" s="6" t="s">
        <v>6099</v>
      </c>
      <c r="K1221" s="6" t="s">
        <v>6112</v>
      </c>
      <c r="L1221" s="6" t="s">
        <v>6091</v>
      </c>
      <c r="M1221" s="6" t="s">
        <v>6100</v>
      </c>
      <c r="N1221" s="6" t="s">
        <v>5807</v>
      </c>
      <c r="O1221" s="6" t="s">
        <v>6093</v>
      </c>
      <c r="P1221" s="6" t="s">
        <v>6113</v>
      </c>
      <c r="Q1221" s="8">
        <v>100</v>
      </c>
      <c r="R1221" s="8">
        <v>100.3</v>
      </c>
      <c r="S1221" s="8">
        <v>199.9</v>
      </c>
      <c r="T1221" s="8">
        <v>14</v>
      </c>
      <c r="U1221" s="8"/>
      <c r="V1221" s="8">
        <v>0</v>
      </c>
      <c r="W1221" s="12">
        <v>0</v>
      </c>
      <c r="Y1221">
        <v>0</v>
      </c>
    </row>
    <row r="1222" spans="1:25" ht="40" customHeight="1">
      <c r="A1222" s="6" t="s">
        <v>6114</v>
      </c>
      <c r="B1222" s="6" t="s">
        <v>6115</v>
      </c>
      <c r="C1222" s="6" t="s">
        <v>6110</v>
      </c>
      <c r="D1222" s="6" t="s">
        <v>1286</v>
      </c>
      <c r="E1222" s="6" t="s">
        <v>6116</v>
      </c>
      <c r="F1222" s="6"/>
      <c r="G1222" s="6" t="s">
        <v>2246</v>
      </c>
      <c r="H1222" s="6" t="s">
        <v>6098</v>
      </c>
      <c r="I1222" s="6" t="s">
        <v>5141</v>
      </c>
      <c r="J1222" s="6" t="s">
        <v>6099</v>
      </c>
      <c r="K1222" s="6" t="s">
        <v>5865</v>
      </c>
      <c r="L1222" s="6" t="s">
        <v>6091</v>
      </c>
      <c r="M1222" s="6" t="s">
        <v>6100</v>
      </c>
      <c r="N1222" s="6" t="s">
        <v>5807</v>
      </c>
      <c r="O1222" s="6" t="s">
        <v>6093</v>
      </c>
      <c r="P1222" s="6" t="s">
        <v>6113</v>
      </c>
      <c r="Q1222" s="8">
        <v>100</v>
      </c>
      <c r="R1222" s="8">
        <v>100.3</v>
      </c>
      <c r="S1222" s="8">
        <v>199.9</v>
      </c>
      <c r="T1222" s="8">
        <v>14</v>
      </c>
      <c r="U1222" s="8"/>
      <c r="V1222" s="8">
        <v>0</v>
      </c>
      <c r="W1222" s="12">
        <v>0</v>
      </c>
      <c r="Y1222">
        <v>0</v>
      </c>
    </row>
    <row r="1223" spans="1:25" ht="40" customHeight="1">
      <c r="A1223" s="6" t="s">
        <v>6117</v>
      </c>
      <c r="B1223" s="6" t="s">
        <v>6118</v>
      </c>
      <c r="C1223" s="6" t="s">
        <v>6119</v>
      </c>
      <c r="D1223" s="6" t="s">
        <v>5181</v>
      </c>
      <c r="E1223" s="6" t="s">
        <v>6120</v>
      </c>
      <c r="F1223" s="6"/>
      <c r="G1223" s="6" t="s">
        <v>2246</v>
      </c>
      <c r="H1223" s="6" t="s">
        <v>6121</v>
      </c>
      <c r="I1223" s="6" t="s">
        <v>5184</v>
      </c>
      <c r="J1223" s="6" t="s">
        <v>6122</v>
      </c>
      <c r="K1223" s="6" t="s">
        <v>6123</v>
      </c>
      <c r="L1223" s="6" t="s">
        <v>6124</v>
      </c>
      <c r="M1223" s="6" t="s">
        <v>6125</v>
      </c>
      <c r="N1223" s="6" t="s">
        <v>5807</v>
      </c>
      <c r="O1223" s="6" t="s">
        <v>6126</v>
      </c>
      <c r="P1223" s="6" t="s">
        <v>5808</v>
      </c>
      <c r="Q1223" s="8">
        <v>125</v>
      </c>
      <c r="R1223" s="8">
        <v>125.375</v>
      </c>
      <c r="S1223" s="8">
        <v>249.9</v>
      </c>
      <c r="T1223" s="8">
        <v>16</v>
      </c>
      <c r="U1223" s="8"/>
      <c r="V1223" s="8">
        <v>0</v>
      </c>
      <c r="W1223" s="12">
        <v>0</v>
      </c>
      <c r="Y1223">
        <v>0</v>
      </c>
    </row>
    <row r="1224" spans="1:25" ht="40" customHeight="1">
      <c r="A1224" s="6" t="s">
        <v>6127</v>
      </c>
      <c r="B1224" s="6" t="s">
        <v>6128</v>
      </c>
      <c r="C1224" s="6" t="s">
        <v>6119</v>
      </c>
      <c r="D1224" s="6" t="s">
        <v>1286</v>
      </c>
      <c r="E1224" s="6" t="s">
        <v>6129</v>
      </c>
      <c r="F1224" s="6"/>
      <c r="G1224" s="6" t="s">
        <v>2246</v>
      </c>
      <c r="H1224" s="6" t="s">
        <v>6121</v>
      </c>
      <c r="I1224" s="6" t="s">
        <v>5184</v>
      </c>
      <c r="J1224" s="6" t="s">
        <v>6122</v>
      </c>
      <c r="K1224" s="6" t="s">
        <v>5865</v>
      </c>
      <c r="L1224" s="6" t="s">
        <v>6124</v>
      </c>
      <c r="M1224" s="6" t="s">
        <v>6125</v>
      </c>
      <c r="N1224" s="6" t="s">
        <v>5807</v>
      </c>
      <c r="O1224" s="6" t="s">
        <v>6126</v>
      </c>
      <c r="P1224" s="6" t="s">
        <v>5808</v>
      </c>
      <c r="Q1224" s="8">
        <v>125</v>
      </c>
      <c r="R1224" s="8">
        <v>125.375</v>
      </c>
      <c r="S1224" s="8">
        <v>249.9</v>
      </c>
      <c r="T1224" s="8">
        <v>16</v>
      </c>
      <c r="U1224" s="8"/>
      <c r="V1224" s="8">
        <v>0</v>
      </c>
      <c r="W1224" s="12">
        <v>0</v>
      </c>
      <c r="Y1224">
        <v>0</v>
      </c>
    </row>
    <row r="1225" spans="1:25" ht="40" customHeight="1">
      <c r="A1225" s="6" t="s">
        <v>6130</v>
      </c>
      <c r="B1225" s="6" t="s">
        <v>6131</v>
      </c>
      <c r="C1225" s="6" t="s">
        <v>6132</v>
      </c>
      <c r="D1225" s="6" t="s">
        <v>5138</v>
      </c>
      <c r="E1225" s="6" t="s">
        <v>6133</v>
      </c>
      <c r="F1225" s="6"/>
      <c r="G1225" s="6" t="s">
        <v>2246</v>
      </c>
      <c r="H1225" s="6" t="s">
        <v>6134</v>
      </c>
      <c r="I1225" s="6" t="s">
        <v>5141</v>
      </c>
      <c r="J1225" s="6" t="s">
        <v>6135</v>
      </c>
      <c r="K1225" s="6" t="s">
        <v>6112</v>
      </c>
      <c r="L1225" s="6" t="s">
        <v>6091</v>
      </c>
      <c r="M1225" s="6" t="s">
        <v>6136</v>
      </c>
      <c r="N1225" s="6" t="s">
        <v>5807</v>
      </c>
      <c r="O1225" s="6" t="s">
        <v>6137</v>
      </c>
      <c r="P1225" s="6" t="s">
        <v>5808</v>
      </c>
      <c r="Q1225" s="8">
        <v>100</v>
      </c>
      <c r="R1225" s="8">
        <v>100.3</v>
      </c>
      <c r="S1225" s="8">
        <v>199.9</v>
      </c>
      <c r="T1225" s="8">
        <v>14</v>
      </c>
      <c r="U1225" s="8"/>
      <c r="V1225" s="8">
        <v>0</v>
      </c>
      <c r="W1225" s="12">
        <v>0</v>
      </c>
      <c r="Y1225">
        <v>0</v>
      </c>
    </row>
    <row r="1226" spans="1:25" ht="40" customHeight="1">
      <c r="A1226" s="6" t="s">
        <v>6138</v>
      </c>
      <c r="B1226" s="6" t="s">
        <v>6139</v>
      </c>
      <c r="C1226" s="6" t="s">
        <v>6132</v>
      </c>
      <c r="D1226" s="6" t="s">
        <v>1286</v>
      </c>
      <c r="E1226" s="6" t="s">
        <v>6140</v>
      </c>
      <c r="F1226" s="6"/>
      <c r="G1226" s="6" t="s">
        <v>2246</v>
      </c>
      <c r="H1226" s="6" t="s">
        <v>6134</v>
      </c>
      <c r="I1226" s="6" t="s">
        <v>5141</v>
      </c>
      <c r="J1226" s="6" t="s">
        <v>6135</v>
      </c>
      <c r="K1226" s="6" t="s">
        <v>5865</v>
      </c>
      <c r="L1226" s="6" t="s">
        <v>6091</v>
      </c>
      <c r="M1226" s="6" t="s">
        <v>6136</v>
      </c>
      <c r="N1226" s="6" t="s">
        <v>5807</v>
      </c>
      <c r="O1226" s="6" t="s">
        <v>6137</v>
      </c>
      <c r="P1226" s="6" t="s">
        <v>5808</v>
      </c>
      <c r="Q1226" s="8">
        <v>100</v>
      </c>
      <c r="R1226" s="8">
        <v>100.3</v>
      </c>
      <c r="S1226" s="8">
        <v>199.9</v>
      </c>
      <c r="T1226" s="8">
        <v>14</v>
      </c>
      <c r="U1226" s="8"/>
      <c r="V1226" s="8">
        <v>0</v>
      </c>
      <c r="W1226" s="12">
        <v>0</v>
      </c>
      <c r="Y1226">
        <v>0</v>
      </c>
    </row>
    <row r="1227" spans="1:25" ht="40" customHeight="1">
      <c r="A1227" s="6" t="s">
        <v>6141</v>
      </c>
      <c r="B1227" s="6" t="s">
        <v>6142</v>
      </c>
      <c r="C1227" s="6" t="s">
        <v>6143</v>
      </c>
      <c r="D1227" s="6" t="s">
        <v>5970</v>
      </c>
      <c r="E1227" s="6" t="s">
        <v>6144</v>
      </c>
      <c r="F1227" s="6"/>
      <c r="G1227" s="6" t="s">
        <v>2246</v>
      </c>
      <c r="H1227" s="6" t="s">
        <v>215</v>
      </c>
      <c r="I1227" s="6" t="s">
        <v>5184</v>
      </c>
      <c r="J1227" s="6" t="s">
        <v>6145</v>
      </c>
      <c r="K1227" s="6" t="s">
        <v>6146</v>
      </c>
      <c r="L1227" s="6" t="s">
        <v>6147</v>
      </c>
      <c r="M1227" s="6" t="s">
        <v>6148</v>
      </c>
      <c r="N1227" s="6" t="s">
        <v>5807</v>
      </c>
      <c r="O1227" s="6" t="s">
        <v>6126</v>
      </c>
      <c r="P1227" s="6" t="s">
        <v>5808</v>
      </c>
      <c r="Q1227" s="8">
        <v>125</v>
      </c>
      <c r="R1227" s="8">
        <v>125.375</v>
      </c>
      <c r="S1227" s="8">
        <v>249.9</v>
      </c>
      <c r="T1227" s="8">
        <v>16</v>
      </c>
      <c r="U1227" s="8"/>
      <c r="V1227" s="8">
        <v>0</v>
      </c>
      <c r="W1227" s="12">
        <v>0</v>
      </c>
      <c r="Y1227">
        <v>0</v>
      </c>
    </row>
    <row r="1228" spans="1:25" ht="40" customHeight="1">
      <c r="A1228" s="6" t="s">
        <v>6149</v>
      </c>
      <c r="B1228" s="6" t="s">
        <v>6150</v>
      </c>
      <c r="C1228" s="6" t="s">
        <v>6143</v>
      </c>
      <c r="D1228" s="6" t="s">
        <v>6151</v>
      </c>
      <c r="E1228" s="6" t="s">
        <v>6152</v>
      </c>
      <c r="F1228" s="6"/>
      <c r="G1228" s="6" t="s">
        <v>2246</v>
      </c>
      <c r="H1228" s="6" t="s">
        <v>215</v>
      </c>
      <c r="I1228" s="6" t="s">
        <v>5184</v>
      </c>
      <c r="J1228" s="6" t="s">
        <v>6145</v>
      </c>
      <c r="K1228" s="6" t="s">
        <v>6153</v>
      </c>
      <c r="L1228" s="6" t="s">
        <v>6147</v>
      </c>
      <c r="M1228" s="6" t="s">
        <v>6148</v>
      </c>
      <c r="N1228" s="6" t="s">
        <v>5807</v>
      </c>
      <c r="O1228" s="6" t="s">
        <v>6126</v>
      </c>
      <c r="P1228" s="6" t="s">
        <v>5808</v>
      </c>
      <c r="Q1228" s="8">
        <v>125</v>
      </c>
      <c r="R1228" s="8">
        <v>125.375</v>
      </c>
      <c r="S1228" s="8">
        <v>249.9</v>
      </c>
      <c r="T1228" s="8">
        <v>16</v>
      </c>
      <c r="U1228" s="8"/>
      <c r="V1228" s="8">
        <v>0</v>
      </c>
      <c r="W1228" s="12">
        <v>0</v>
      </c>
      <c r="Y1228">
        <v>0</v>
      </c>
    </row>
    <row r="1229" spans="1:25" ht="40" customHeight="1">
      <c r="A1229" s="6" t="s">
        <v>6154</v>
      </c>
      <c r="B1229" s="6" t="s">
        <v>6155</v>
      </c>
      <c r="C1229" s="6" t="s">
        <v>6143</v>
      </c>
      <c r="D1229" s="6" t="s">
        <v>6156</v>
      </c>
      <c r="E1229" s="6" t="s">
        <v>6157</v>
      </c>
      <c r="F1229" s="6"/>
      <c r="G1229" s="6" t="s">
        <v>2246</v>
      </c>
      <c r="H1229" s="6" t="s">
        <v>215</v>
      </c>
      <c r="I1229" s="6" t="s">
        <v>5184</v>
      </c>
      <c r="J1229" s="6" t="s">
        <v>6145</v>
      </c>
      <c r="K1229" s="6" t="s">
        <v>6158</v>
      </c>
      <c r="L1229" s="6" t="s">
        <v>6147</v>
      </c>
      <c r="M1229" s="6" t="s">
        <v>6148</v>
      </c>
      <c r="N1229" s="6" t="s">
        <v>5807</v>
      </c>
      <c r="O1229" s="6" t="s">
        <v>6126</v>
      </c>
      <c r="P1229" s="6" t="s">
        <v>5808</v>
      </c>
      <c r="Q1229" s="8">
        <v>125</v>
      </c>
      <c r="R1229" s="8">
        <v>125.375</v>
      </c>
      <c r="S1229" s="8">
        <v>249.9</v>
      </c>
      <c r="T1229" s="8">
        <v>16</v>
      </c>
      <c r="U1229" s="8"/>
      <c r="V1229" s="8">
        <v>0</v>
      </c>
      <c r="W1229" s="12">
        <v>0</v>
      </c>
      <c r="Y1229">
        <v>0</v>
      </c>
    </row>
    <row r="1230" spans="1:25" ht="40" customHeight="1">
      <c r="A1230" s="6" t="s">
        <v>6159</v>
      </c>
      <c r="B1230" s="6" t="s">
        <v>6160</v>
      </c>
      <c r="C1230" s="6" t="s">
        <v>6161</v>
      </c>
      <c r="D1230" s="6" t="s">
        <v>279</v>
      </c>
      <c r="E1230" s="6" t="s">
        <v>6162</v>
      </c>
      <c r="F1230" s="6"/>
      <c r="G1230" s="6" t="s">
        <v>897</v>
      </c>
      <c r="H1230" s="6" t="s">
        <v>215</v>
      </c>
      <c r="I1230" s="6" t="s">
        <v>5184</v>
      </c>
      <c r="J1230" s="6" t="s">
        <v>6163</v>
      </c>
      <c r="K1230" s="6" t="s">
        <v>1335</v>
      </c>
      <c r="L1230" s="6" t="s">
        <v>54</v>
      </c>
      <c r="M1230" s="6" t="s">
        <v>54</v>
      </c>
      <c r="N1230" s="6" t="s">
        <v>5146</v>
      </c>
      <c r="O1230" s="6" t="s">
        <v>6164</v>
      </c>
      <c r="P1230" s="6"/>
      <c r="Q1230" s="8">
        <v>100</v>
      </c>
      <c r="R1230" s="8">
        <v>100.3</v>
      </c>
      <c r="S1230" s="8">
        <v>199.9</v>
      </c>
      <c r="T1230" s="8">
        <v>16</v>
      </c>
      <c r="U1230" s="8"/>
      <c r="V1230" s="8">
        <v>0</v>
      </c>
      <c r="W1230" s="12">
        <v>0</v>
      </c>
      <c r="Y1230">
        <v>0</v>
      </c>
    </row>
    <row r="1231" spans="1:25" ht="40" customHeight="1">
      <c r="A1231" s="6" t="s">
        <v>6165</v>
      </c>
      <c r="B1231" s="6" t="s">
        <v>6166</v>
      </c>
      <c r="C1231" s="6" t="s">
        <v>6161</v>
      </c>
      <c r="D1231" s="6" t="s">
        <v>999</v>
      </c>
      <c r="E1231" s="6" t="s">
        <v>6167</v>
      </c>
      <c r="F1231" s="6"/>
      <c r="G1231" s="6" t="s">
        <v>897</v>
      </c>
      <c r="H1231" s="6" t="s">
        <v>215</v>
      </c>
      <c r="I1231" s="6" t="s">
        <v>5184</v>
      </c>
      <c r="J1231" s="6" t="s">
        <v>6163</v>
      </c>
      <c r="K1231" s="6" t="s">
        <v>1089</v>
      </c>
      <c r="L1231" s="6" t="s">
        <v>54</v>
      </c>
      <c r="M1231" s="6" t="s">
        <v>54</v>
      </c>
      <c r="N1231" s="6" t="s">
        <v>5146</v>
      </c>
      <c r="O1231" s="6" t="s">
        <v>6164</v>
      </c>
      <c r="P1231" s="6"/>
      <c r="Q1231" s="8">
        <v>100</v>
      </c>
      <c r="R1231" s="8">
        <v>100.3</v>
      </c>
      <c r="S1231" s="8">
        <v>199.9</v>
      </c>
      <c r="T1231" s="8">
        <v>16</v>
      </c>
      <c r="U1231" s="8"/>
      <c r="V1231" s="8">
        <v>0</v>
      </c>
      <c r="W1231" s="12">
        <v>0</v>
      </c>
      <c r="Y1231">
        <v>0</v>
      </c>
    </row>
    <row r="1232" spans="1:25" ht="40" customHeight="1">
      <c r="A1232" s="6" t="s">
        <v>6168</v>
      </c>
      <c r="B1232" s="6" t="s">
        <v>6169</v>
      </c>
      <c r="C1232" s="6" t="s">
        <v>6161</v>
      </c>
      <c r="D1232" s="6" t="s">
        <v>410</v>
      </c>
      <c r="E1232" s="6" t="s">
        <v>6170</v>
      </c>
      <c r="F1232" s="6"/>
      <c r="G1232" s="6" t="s">
        <v>897</v>
      </c>
      <c r="H1232" s="6" t="s">
        <v>215</v>
      </c>
      <c r="I1232" s="6" t="s">
        <v>5184</v>
      </c>
      <c r="J1232" s="6" t="s">
        <v>6163</v>
      </c>
      <c r="K1232" s="6" t="s">
        <v>585</v>
      </c>
      <c r="L1232" s="6" t="s">
        <v>54</v>
      </c>
      <c r="M1232" s="6" t="s">
        <v>54</v>
      </c>
      <c r="N1232" s="6" t="s">
        <v>5146</v>
      </c>
      <c r="O1232" s="6" t="s">
        <v>6164</v>
      </c>
      <c r="P1232" s="6"/>
      <c r="Q1232" s="8">
        <v>100</v>
      </c>
      <c r="R1232" s="8">
        <v>100.3</v>
      </c>
      <c r="S1232" s="8">
        <v>199.9</v>
      </c>
      <c r="T1232" s="8">
        <v>16</v>
      </c>
      <c r="U1232" s="8"/>
      <c r="V1232" s="8">
        <v>0</v>
      </c>
      <c r="W1232" s="12">
        <v>0</v>
      </c>
      <c r="Y1232">
        <v>0</v>
      </c>
    </row>
    <row r="1233" spans="1:25" ht="40" customHeight="1">
      <c r="A1233" s="6" t="s">
        <v>6171</v>
      </c>
      <c r="B1233" s="6" t="s">
        <v>6172</v>
      </c>
      <c r="C1233" s="6" t="s">
        <v>6173</v>
      </c>
      <c r="D1233" s="6" t="s">
        <v>6174</v>
      </c>
      <c r="E1233" s="6" t="s">
        <v>6175</v>
      </c>
      <c r="F1233" s="6"/>
      <c r="G1233" s="17" t="s">
        <v>6176</v>
      </c>
      <c r="H1233" s="6" t="s">
        <v>6177</v>
      </c>
      <c r="I1233" s="6" t="s">
        <v>6178</v>
      </c>
      <c r="J1233" s="6" t="s">
        <v>6179</v>
      </c>
      <c r="K1233" s="6" t="s">
        <v>6180</v>
      </c>
      <c r="L1233" s="6" t="s">
        <v>6181</v>
      </c>
      <c r="M1233" s="6" t="s">
        <v>6182</v>
      </c>
      <c r="N1233" s="6" t="s">
        <v>6183</v>
      </c>
      <c r="O1233" s="6" t="s">
        <v>6184</v>
      </c>
      <c r="P1233" s="6" t="s">
        <v>6185</v>
      </c>
      <c r="Q1233" s="8">
        <v>100</v>
      </c>
      <c r="R1233" s="8">
        <v>100.3</v>
      </c>
      <c r="S1233" s="8">
        <v>199.9</v>
      </c>
      <c r="T1233" s="8">
        <v>14</v>
      </c>
      <c r="U1233" s="8"/>
      <c r="V1233" s="8">
        <v>0</v>
      </c>
      <c r="W1233" s="12">
        <v>0</v>
      </c>
      <c r="Y1233">
        <v>0</v>
      </c>
    </row>
    <row r="1234" spans="1:25" ht="40" customHeight="1">
      <c r="A1234" s="6" t="s">
        <v>6186</v>
      </c>
      <c r="B1234" s="6" t="s">
        <v>6187</v>
      </c>
      <c r="C1234" s="6" t="s">
        <v>6173</v>
      </c>
      <c r="D1234" s="6" t="s">
        <v>1186</v>
      </c>
      <c r="E1234" s="6" t="s">
        <v>6188</v>
      </c>
      <c r="F1234" s="6"/>
      <c r="G1234" s="17" t="s">
        <v>6176</v>
      </c>
      <c r="H1234" s="6" t="s">
        <v>6177</v>
      </c>
      <c r="I1234" s="6" t="s">
        <v>6178</v>
      </c>
      <c r="J1234" s="6" t="s">
        <v>6179</v>
      </c>
      <c r="K1234" s="6" t="s">
        <v>6189</v>
      </c>
      <c r="L1234" s="6" t="s">
        <v>6181</v>
      </c>
      <c r="M1234" s="6" t="s">
        <v>6182</v>
      </c>
      <c r="N1234" s="6" t="s">
        <v>6183</v>
      </c>
      <c r="O1234" s="6" t="s">
        <v>6184</v>
      </c>
      <c r="P1234" s="6" t="s">
        <v>6185</v>
      </c>
      <c r="Q1234" s="8">
        <v>100</v>
      </c>
      <c r="R1234" s="8">
        <v>100.3</v>
      </c>
      <c r="S1234" s="8">
        <v>199.9</v>
      </c>
      <c r="T1234" s="8">
        <v>14</v>
      </c>
      <c r="U1234" s="8"/>
      <c r="V1234" s="8">
        <v>0</v>
      </c>
      <c r="W1234" s="12">
        <v>0</v>
      </c>
      <c r="Y1234">
        <v>0</v>
      </c>
    </row>
    <row r="1235" spans="1:25" ht="40" customHeight="1">
      <c r="A1235" s="6" t="s">
        <v>6190</v>
      </c>
      <c r="B1235" s="6" t="s">
        <v>6191</v>
      </c>
      <c r="C1235" s="6" t="s">
        <v>6192</v>
      </c>
      <c r="D1235" s="6" t="s">
        <v>6193</v>
      </c>
      <c r="E1235" s="6" t="s">
        <v>6194</v>
      </c>
      <c r="F1235" s="6"/>
      <c r="G1235" s="17" t="s">
        <v>6195</v>
      </c>
      <c r="H1235" s="6" t="s">
        <v>215</v>
      </c>
      <c r="I1235" s="6" t="s">
        <v>6196</v>
      </c>
      <c r="J1235" s="6" t="s">
        <v>6197</v>
      </c>
      <c r="K1235" s="6" t="s">
        <v>6198</v>
      </c>
      <c r="L1235" s="6" t="s">
        <v>54</v>
      </c>
      <c r="M1235" s="6" t="s">
        <v>54</v>
      </c>
      <c r="N1235" s="6" t="s">
        <v>6183</v>
      </c>
      <c r="O1235" s="6" t="s">
        <v>5147</v>
      </c>
      <c r="P1235" s="6"/>
      <c r="Q1235" s="8">
        <v>100</v>
      </c>
      <c r="R1235" s="8">
        <v>100.3</v>
      </c>
      <c r="S1235" s="8">
        <v>199.9</v>
      </c>
      <c r="T1235" s="8">
        <v>16</v>
      </c>
      <c r="U1235" s="8"/>
      <c r="V1235" s="8">
        <v>0</v>
      </c>
      <c r="W1235" s="12">
        <v>0</v>
      </c>
      <c r="Y1235">
        <v>0</v>
      </c>
    </row>
    <row r="1236" spans="1:25" ht="40" customHeight="1">
      <c r="A1236" s="6" t="s">
        <v>6199</v>
      </c>
      <c r="B1236" s="6" t="s">
        <v>6200</v>
      </c>
      <c r="C1236" s="6" t="s">
        <v>6192</v>
      </c>
      <c r="D1236" s="6" t="s">
        <v>3525</v>
      </c>
      <c r="E1236" s="6" t="s">
        <v>6201</v>
      </c>
      <c r="F1236" s="6"/>
      <c r="G1236" s="17" t="s">
        <v>6195</v>
      </c>
      <c r="H1236" s="6" t="s">
        <v>215</v>
      </c>
      <c r="I1236" s="6" t="s">
        <v>6196</v>
      </c>
      <c r="J1236" s="6" t="s">
        <v>6197</v>
      </c>
      <c r="K1236" s="6" t="s">
        <v>6202</v>
      </c>
      <c r="L1236" s="6" t="s">
        <v>54</v>
      </c>
      <c r="M1236" s="6" t="s">
        <v>54</v>
      </c>
      <c r="N1236" s="6" t="s">
        <v>6183</v>
      </c>
      <c r="O1236" s="6" t="s">
        <v>5147</v>
      </c>
      <c r="P1236" s="6"/>
      <c r="Q1236" s="8">
        <v>100</v>
      </c>
      <c r="R1236" s="8">
        <v>100.3</v>
      </c>
      <c r="S1236" s="8">
        <v>199.9</v>
      </c>
      <c r="T1236" s="8">
        <v>16</v>
      </c>
      <c r="U1236" s="8"/>
      <c r="V1236" s="8">
        <v>0</v>
      </c>
      <c r="W1236" s="12">
        <v>0</v>
      </c>
      <c r="Y1236">
        <v>0</v>
      </c>
    </row>
    <row r="1237" spans="1:25" ht="40" customHeight="1">
      <c r="A1237" s="6" t="s">
        <v>6203</v>
      </c>
      <c r="B1237" s="6" t="s">
        <v>6204</v>
      </c>
      <c r="C1237" s="6" t="s">
        <v>6192</v>
      </c>
      <c r="D1237" s="6" t="s">
        <v>1186</v>
      </c>
      <c r="E1237" s="6" t="s">
        <v>6205</v>
      </c>
      <c r="F1237" s="6"/>
      <c r="G1237" s="17" t="s">
        <v>6195</v>
      </c>
      <c r="H1237" s="6" t="s">
        <v>215</v>
      </c>
      <c r="I1237" s="6" t="s">
        <v>6196</v>
      </c>
      <c r="J1237" s="6" t="s">
        <v>6197</v>
      </c>
      <c r="K1237" s="6" t="s">
        <v>6206</v>
      </c>
      <c r="L1237" s="6" t="s">
        <v>54</v>
      </c>
      <c r="M1237" s="6" t="s">
        <v>54</v>
      </c>
      <c r="N1237" s="6" t="s">
        <v>6183</v>
      </c>
      <c r="O1237" s="6" t="s">
        <v>5147</v>
      </c>
      <c r="P1237" s="6"/>
      <c r="Q1237" s="8">
        <v>100</v>
      </c>
      <c r="R1237" s="8">
        <v>100.3</v>
      </c>
      <c r="S1237" s="8">
        <v>199.9</v>
      </c>
      <c r="T1237" s="8">
        <v>16</v>
      </c>
      <c r="U1237" s="8"/>
      <c r="V1237" s="8">
        <v>0</v>
      </c>
      <c r="W1237" s="12">
        <v>0</v>
      </c>
      <c r="Y1237">
        <v>0</v>
      </c>
    </row>
    <row r="1238" spans="1:25" ht="40" customHeight="1">
      <c r="A1238" s="6" t="s">
        <v>6207</v>
      </c>
      <c r="B1238" s="6" t="s">
        <v>6208</v>
      </c>
      <c r="C1238" s="6" t="s">
        <v>6209</v>
      </c>
      <c r="D1238" s="6" t="s">
        <v>147</v>
      </c>
      <c r="E1238" s="6" t="s">
        <v>6210</v>
      </c>
      <c r="F1238" s="6"/>
      <c r="G1238" s="17" t="s">
        <v>5561</v>
      </c>
      <c r="H1238" s="6" t="s">
        <v>215</v>
      </c>
      <c r="I1238" s="6" t="s">
        <v>6196</v>
      </c>
      <c r="J1238" s="6" t="s">
        <v>6197</v>
      </c>
      <c r="K1238" s="6" t="s">
        <v>6211</v>
      </c>
      <c r="L1238" s="6" t="s">
        <v>6212</v>
      </c>
      <c r="M1238" s="6" t="s">
        <v>6213</v>
      </c>
      <c r="N1238" s="6" t="s">
        <v>6183</v>
      </c>
      <c r="O1238" s="6" t="s">
        <v>5566</v>
      </c>
      <c r="P1238" s="6"/>
      <c r="Q1238" s="8">
        <v>100</v>
      </c>
      <c r="R1238" s="8">
        <v>100.3</v>
      </c>
      <c r="S1238" s="8">
        <v>199.9</v>
      </c>
      <c r="T1238" s="8">
        <v>16</v>
      </c>
      <c r="U1238" s="8"/>
      <c r="V1238" s="8">
        <v>0</v>
      </c>
      <c r="W1238" s="12">
        <v>0</v>
      </c>
      <c r="Y1238">
        <v>0</v>
      </c>
    </row>
    <row r="1239" spans="1:25" ht="40" customHeight="1">
      <c r="A1239" s="6" t="s">
        <v>6214</v>
      </c>
      <c r="B1239" s="6" t="s">
        <v>6215</v>
      </c>
      <c r="C1239" s="6" t="s">
        <v>6209</v>
      </c>
      <c r="D1239" s="6" t="s">
        <v>6216</v>
      </c>
      <c r="E1239" s="6" t="s">
        <v>6217</v>
      </c>
      <c r="F1239" s="6"/>
      <c r="G1239" s="17" t="s">
        <v>5561</v>
      </c>
      <c r="H1239" s="6" t="s">
        <v>215</v>
      </c>
      <c r="I1239" s="6" t="s">
        <v>6196</v>
      </c>
      <c r="J1239" s="6" t="s">
        <v>6197</v>
      </c>
      <c r="K1239" s="6" t="s">
        <v>6218</v>
      </c>
      <c r="L1239" s="6" t="s">
        <v>6212</v>
      </c>
      <c r="M1239" s="6" t="s">
        <v>6213</v>
      </c>
      <c r="N1239" s="6" t="s">
        <v>6183</v>
      </c>
      <c r="O1239" s="6" t="s">
        <v>5566</v>
      </c>
      <c r="P1239" s="6"/>
      <c r="Q1239" s="8">
        <v>100</v>
      </c>
      <c r="R1239" s="8">
        <v>100.3</v>
      </c>
      <c r="S1239" s="8">
        <v>199.9</v>
      </c>
      <c r="T1239" s="8">
        <v>16</v>
      </c>
      <c r="U1239" s="8"/>
      <c r="V1239" s="8">
        <v>0</v>
      </c>
      <c r="W1239" s="12">
        <v>0</v>
      </c>
      <c r="Y1239">
        <v>0</v>
      </c>
    </row>
    <row r="1240" spans="1:25" ht="40" customHeight="1">
      <c r="A1240" s="6" t="s">
        <v>6219</v>
      </c>
      <c r="B1240" s="6" t="s">
        <v>6220</v>
      </c>
      <c r="C1240" s="6" t="s">
        <v>6209</v>
      </c>
      <c r="D1240" s="6" t="s">
        <v>89</v>
      </c>
      <c r="E1240" s="6" t="s">
        <v>6221</v>
      </c>
      <c r="F1240" s="6"/>
      <c r="G1240" s="17" t="s">
        <v>5561</v>
      </c>
      <c r="H1240" s="6" t="s">
        <v>215</v>
      </c>
      <c r="I1240" s="6" t="s">
        <v>6196</v>
      </c>
      <c r="J1240" s="6" t="s">
        <v>6197</v>
      </c>
      <c r="K1240" s="6" t="s">
        <v>6222</v>
      </c>
      <c r="L1240" s="6" t="s">
        <v>6212</v>
      </c>
      <c r="M1240" s="6" t="s">
        <v>6213</v>
      </c>
      <c r="N1240" s="6" t="s">
        <v>6183</v>
      </c>
      <c r="O1240" s="6" t="s">
        <v>5566</v>
      </c>
      <c r="P1240" s="6"/>
      <c r="Q1240" s="8">
        <v>100</v>
      </c>
      <c r="R1240" s="8">
        <v>100.3</v>
      </c>
      <c r="S1240" s="8">
        <v>199.9</v>
      </c>
      <c r="T1240" s="8">
        <v>16</v>
      </c>
      <c r="U1240" s="8"/>
      <c r="V1240" s="8">
        <v>0</v>
      </c>
      <c r="W1240" s="12">
        <v>0</v>
      </c>
      <c r="Y1240">
        <v>0</v>
      </c>
    </row>
    <row r="1241" spans="1:25" ht="40" customHeight="1">
      <c r="A1241" s="6" t="s">
        <v>6223</v>
      </c>
      <c r="B1241" s="6" t="s">
        <v>6224</v>
      </c>
      <c r="C1241" s="6" t="s">
        <v>6225</v>
      </c>
      <c r="D1241" s="6" t="s">
        <v>6226</v>
      </c>
      <c r="E1241" s="6" t="s">
        <v>6227</v>
      </c>
      <c r="F1241" s="6"/>
      <c r="G1241" s="17" t="s">
        <v>6228</v>
      </c>
      <c r="H1241" s="6" t="s">
        <v>215</v>
      </c>
      <c r="I1241" s="6" t="s">
        <v>6196</v>
      </c>
      <c r="J1241" s="6" t="s">
        <v>6229</v>
      </c>
      <c r="K1241" s="6" t="s">
        <v>6230</v>
      </c>
      <c r="L1241" s="6" t="s">
        <v>6231</v>
      </c>
      <c r="M1241" s="6" t="s">
        <v>6232</v>
      </c>
      <c r="N1241" s="6" t="s">
        <v>6183</v>
      </c>
      <c r="O1241" s="6" t="s">
        <v>5147</v>
      </c>
      <c r="P1241" s="6"/>
      <c r="Q1241" s="8">
        <v>100</v>
      </c>
      <c r="R1241" s="8">
        <v>100.3</v>
      </c>
      <c r="S1241" s="8">
        <v>199.9</v>
      </c>
      <c r="T1241" s="8">
        <v>16</v>
      </c>
      <c r="U1241" s="8"/>
      <c r="V1241" s="8">
        <v>0</v>
      </c>
      <c r="W1241" s="12">
        <v>0</v>
      </c>
      <c r="Y1241">
        <v>0</v>
      </c>
    </row>
    <row r="1242" spans="1:25" ht="40" customHeight="1">
      <c r="A1242" s="6" t="s">
        <v>6233</v>
      </c>
      <c r="B1242" s="6" t="s">
        <v>6234</v>
      </c>
      <c r="C1242" s="6" t="s">
        <v>6225</v>
      </c>
      <c r="D1242" s="6" t="s">
        <v>3239</v>
      </c>
      <c r="E1242" s="6" t="s">
        <v>6235</v>
      </c>
      <c r="F1242" s="6"/>
      <c r="G1242" s="17" t="s">
        <v>6228</v>
      </c>
      <c r="H1242" s="6" t="s">
        <v>215</v>
      </c>
      <c r="I1242" s="6" t="s">
        <v>6196</v>
      </c>
      <c r="J1242" s="6" t="s">
        <v>6229</v>
      </c>
      <c r="K1242" s="6" t="s">
        <v>6236</v>
      </c>
      <c r="L1242" s="6" t="s">
        <v>6231</v>
      </c>
      <c r="M1242" s="6" t="s">
        <v>6232</v>
      </c>
      <c r="N1242" s="6" t="s">
        <v>6183</v>
      </c>
      <c r="O1242" s="6" t="s">
        <v>5147</v>
      </c>
      <c r="P1242" s="6"/>
      <c r="Q1242" s="8">
        <v>100</v>
      </c>
      <c r="R1242" s="8">
        <v>100.3</v>
      </c>
      <c r="S1242" s="8">
        <v>199.9</v>
      </c>
      <c r="T1242" s="8">
        <v>16</v>
      </c>
      <c r="U1242" s="8"/>
      <c r="V1242" s="8">
        <v>0</v>
      </c>
      <c r="W1242" s="12">
        <v>0</v>
      </c>
      <c r="Y1242">
        <v>0</v>
      </c>
    </row>
    <row r="1243" spans="1:25" ht="40" customHeight="1">
      <c r="A1243" s="6" t="s">
        <v>6237</v>
      </c>
      <c r="B1243" s="6" t="s">
        <v>6238</v>
      </c>
      <c r="C1243" s="6" t="s">
        <v>6239</v>
      </c>
      <c r="D1243" s="6" t="s">
        <v>6240</v>
      </c>
      <c r="E1243" s="6" t="s">
        <v>6241</v>
      </c>
      <c r="F1243" s="16"/>
      <c r="G1243" s="17" t="s">
        <v>6242</v>
      </c>
      <c r="H1243" s="6" t="s">
        <v>6243</v>
      </c>
      <c r="I1243" s="6" t="s">
        <v>6178</v>
      </c>
      <c r="J1243" s="6"/>
      <c r="K1243" s="8"/>
      <c r="L1243" s="8"/>
      <c r="M1243" s="8"/>
      <c r="N1243" s="6" t="s">
        <v>6183</v>
      </c>
      <c r="O1243" s="8"/>
      <c r="P1243" s="8"/>
      <c r="Q1243" s="8">
        <v>95</v>
      </c>
      <c r="R1243" s="8">
        <v>95.284999999999997</v>
      </c>
      <c r="S1243" s="8">
        <v>189.9</v>
      </c>
      <c r="T1243" s="8">
        <v>14</v>
      </c>
      <c r="U1243" s="8"/>
      <c r="V1243" s="8">
        <v>0</v>
      </c>
      <c r="W1243" s="12">
        <v>0</v>
      </c>
      <c r="Y1243">
        <v>0</v>
      </c>
    </row>
    <row r="1244" spans="1:25" ht="40" customHeight="1">
      <c r="A1244" s="6" t="s">
        <v>6244</v>
      </c>
      <c r="B1244" s="6" t="s">
        <v>6245</v>
      </c>
      <c r="C1244" s="6" t="s">
        <v>6246</v>
      </c>
      <c r="D1244" s="6" t="s">
        <v>6247</v>
      </c>
      <c r="E1244" s="6" t="s">
        <v>6248</v>
      </c>
      <c r="F1244" s="6"/>
      <c r="G1244" s="17" t="s">
        <v>6242</v>
      </c>
      <c r="H1244" s="6" t="s">
        <v>6249</v>
      </c>
      <c r="I1244" s="6" t="s">
        <v>6196</v>
      </c>
      <c r="J1244" s="6" t="s">
        <v>6250</v>
      </c>
      <c r="K1244" s="6" t="s">
        <v>6251</v>
      </c>
      <c r="L1244" s="6" t="s">
        <v>6252</v>
      </c>
      <c r="M1244" s="6" t="s">
        <v>6253</v>
      </c>
      <c r="N1244" s="6" t="s">
        <v>6183</v>
      </c>
      <c r="O1244" s="6" t="s">
        <v>5147</v>
      </c>
      <c r="P1244" s="6"/>
      <c r="Q1244" s="8">
        <v>100</v>
      </c>
      <c r="R1244" s="8">
        <v>100.3</v>
      </c>
      <c r="S1244" s="8">
        <v>199.9</v>
      </c>
      <c r="T1244" s="8">
        <v>16</v>
      </c>
      <c r="U1244" s="8"/>
      <c r="V1244" s="8">
        <v>0</v>
      </c>
      <c r="W1244" s="12">
        <v>0</v>
      </c>
      <c r="Y1244">
        <v>0</v>
      </c>
    </row>
    <row r="1245" spans="1:25" ht="40" customHeight="1">
      <c r="A1245" s="6" t="s">
        <v>6254</v>
      </c>
      <c r="B1245" s="6" t="s">
        <v>6255</v>
      </c>
      <c r="C1245" s="6" t="s">
        <v>6246</v>
      </c>
      <c r="D1245" s="6" t="s">
        <v>6256</v>
      </c>
      <c r="E1245" s="6" t="s">
        <v>6257</v>
      </c>
      <c r="F1245" s="6"/>
      <c r="G1245" s="17" t="s">
        <v>6242</v>
      </c>
      <c r="H1245" s="6" t="s">
        <v>6249</v>
      </c>
      <c r="I1245" s="6" t="s">
        <v>6196</v>
      </c>
      <c r="J1245" s="6" t="s">
        <v>6250</v>
      </c>
      <c r="K1245" s="6" t="s">
        <v>6258</v>
      </c>
      <c r="L1245" s="6" t="s">
        <v>6252</v>
      </c>
      <c r="M1245" s="6" t="s">
        <v>6253</v>
      </c>
      <c r="N1245" s="6" t="s">
        <v>6183</v>
      </c>
      <c r="O1245" s="6" t="s">
        <v>5147</v>
      </c>
      <c r="P1245" s="6"/>
      <c r="Q1245" s="8">
        <v>100</v>
      </c>
      <c r="R1245" s="8">
        <v>100.3</v>
      </c>
      <c r="S1245" s="8">
        <v>199.9</v>
      </c>
      <c r="T1245" s="8">
        <v>16</v>
      </c>
      <c r="U1245" s="8"/>
      <c r="V1245" s="8">
        <v>0</v>
      </c>
      <c r="W1245" s="12">
        <v>0</v>
      </c>
      <c r="Y1245">
        <v>0</v>
      </c>
    </row>
    <row r="1246" spans="1:25" ht="40" customHeight="1">
      <c r="A1246" s="6" t="s">
        <v>6259</v>
      </c>
      <c r="B1246" s="6" t="s">
        <v>6260</v>
      </c>
      <c r="C1246" s="6" t="s">
        <v>6261</v>
      </c>
      <c r="D1246" s="6" t="s">
        <v>6262</v>
      </c>
      <c r="E1246" s="6" t="s">
        <v>6263</v>
      </c>
      <c r="F1246" s="6"/>
      <c r="G1246" s="17" t="s">
        <v>6242</v>
      </c>
      <c r="H1246" s="6" t="s">
        <v>6264</v>
      </c>
      <c r="I1246" s="6" t="s">
        <v>6178</v>
      </c>
      <c r="J1246" s="6" t="s">
        <v>6265</v>
      </c>
      <c r="K1246" s="6" t="s">
        <v>6266</v>
      </c>
      <c r="L1246" s="6" t="s">
        <v>6267</v>
      </c>
      <c r="M1246" s="6" t="s">
        <v>6268</v>
      </c>
      <c r="N1246" s="6" t="s">
        <v>6183</v>
      </c>
      <c r="O1246" s="6" t="s">
        <v>5549</v>
      </c>
      <c r="P1246" s="6"/>
      <c r="Q1246" s="8">
        <v>95</v>
      </c>
      <c r="R1246" s="8">
        <v>95.284999999999997</v>
      </c>
      <c r="S1246" s="8">
        <v>189.9</v>
      </c>
      <c r="T1246" s="8">
        <v>14</v>
      </c>
      <c r="U1246" s="8"/>
      <c r="V1246" s="8">
        <v>0</v>
      </c>
      <c r="W1246" s="12">
        <v>0</v>
      </c>
      <c r="Y1246">
        <v>0</v>
      </c>
    </row>
    <row r="1247" spans="1:25" ht="40" customHeight="1">
      <c r="A1247" s="6" t="s">
        <v>6269</v>
      </c>
      <c r="B1247" s="6" t="s">
        <v>6270</v>
      </c>
      <c r="C1247" s="6" t="s">
        <v>6261</v>
      </c>
      <c r="D1247" s="6" t="s">
        <v>6256</v>
      </c>
      <c r="E1247" s="6" t="s">
        <v>6271</v>
      </c>
      <c r="F1247" s="6"/>
      <c r="G1247" s="17" t="s">
        <v>6242</v>
      </c>
      <c r="H1247" s="6" t="s">
        <v>6264</v>
      </c>
      <c r="I1247" s="6" t="s">
        <v>6178</v>
      </c>
      <c r="J1247" s="6" t="s">
        <v>6265</v>
      </c>
      <c r="K1247" s="6" t="s">
        <v>6258</v>
      </c>
      <c r="L1247" s="6" t="s">
        <v>6267</v>
      </c>
      <c r="M1247" s="6" t="s">
        <v>6268</v>
      </c>
      <c r="N1247" s="6" t="s">
        <v>6183</v>
      </c>
      <c r="O1247" s="6" t="s">
        <v>5549</v>
      </c>
      <c r="P1247" s="6"/>
      <c r="Q1247" s="8">
        <v>95</v>
      </c>
      <c r="R1247" s="8">
        <v>95.284999999999997</v>
      </c>
      <c r="S1247" s="8">
        <v>189.9</v>
      </c>
      <c r="T1247" s="8">
        <v>14</v>
      </c>
      <c r="U1247" s="8"/>
      <c r="V1247" s="8">
        <v>0</v>
      </c>
      <c r="W1247" s="12">
        <v>0</v>
      </c>
      <c r="Y1247">
        <v>0</v>
      </c>
    </row>
    <row r="1248" spans="1:25" ht="40" customHeight="1">
      <c r="A1248" s="6" t="s">
        <v>6272</v>
      </c>
      <c r="B1248" s="6" t="s">
        <v>6273</v>
      </c>
      <c r="C1248" s="6" t="s">
        <v>6261</v>
      </c>
      <c r="D1248" s="6" t="s">
        <v>6274</v>
      </c>
      <c r="E1248" s="6" t="s">
        <v>6275</v>
      </c>
      <c r="F1248" s="6"/>
      <c r="G1248" s="17" t="s">
        <v>6242</v>
      </c>
      <c r="H1248" s="6" t="s">
        <v>6264</v>
      </c>
      <c r="I1248" s="6" t="s">
        <v>6178</v>
      </c>
      <c r="J1248" s="6" t="s">
        <v>6265</v>
      </c>
      <c r="K1248" s="6" t="s">
        <v>6276</v>
      </c>
      <c r="L1248" s="6" t="s">
        <v>6267</v>
      </c>
      <c r="M1248" s="6" t="s">
        <v>6268</v>
      </c>
      <c r="N1248" s="6" t="s">
        <v>6183</v>
      </c>
      <c r="O1248" s="6" t="s">
        <v>5549</v>
      </c>
      <c r="P1248" s="6"/>
      <c r="Q1248" s="8">
        <v>95</v>
      </c>
      <c r="R1248" s="8">
        <v>95.284999999999997</v>
      </c>
      <c r="S1248" s="8">
        <v>189.9</v>
      </c>
      <c r="T1248" s="8">
        <v>14</v>
      </c>
      <c r="U1248" s="8"/>
      <c r="V1248" s="8">
        <v>0</v>
      </c>
      <c r="W1248" s="12">
        <v>0</v>
      </c>
      <c r="Y1248">
        <v>0</v>
      </c>
    </row>
    <row r="1249" spans="1:25" ht="40" customHeight="1">
      <c r="A1249" s="6" t="s">
        <v>6277</v>
      </c>
      <c r="B1249" s="6" t="s">
        <v>6278</v>
      </c>
      <c r="C1249" s="6" t="s">
        <v>6279</v>
      </c>
      <c r="D1249" s="6" t="s">
        <v>1186</v>
      </c>
      <c r="E1249" s="6" t="s">
        <v>6280</v>
      </c>
      <c r="F1249" s="6"/>
      <c r="G1249" s="17" t="s">
        <v>6281</v>
      </c>
      <c r="H1249" s="6" t="s">
        <v>215</v>
      </c>
      <c r="I1249" s="6" t="s">
        <v>6196</v>
      </c>
      <c r="J1249" s="6" t="s">
        <v>6282</v>
      </c>
      <c r="K1249" s="6" t="s">
        <v>6283</v>
      </c>
      <c r="L1249" s="6" t="s">
        <v>6284</v>
      </c>
      <c r="M1249" s="6" t="s">
        <v>6285</v>
      </c>
      <c r="N1249" s="6" t="s">
        <v>6183</v>
      </c>
      <c r="O1249" s="6" t="s">
        <v>5147</v>
      </c>
      <c r="P1249" s="6" t="s">
        <v>6286</v>
      </c>
      <c r="Q1249" s="8">
        <v>110</v>
      </c>
      <c r="R1249" s="8">
        <v>110.33</v>
      </c>
      <c r="S1249" s="8">
        <v>219.9</v>
      </c>
      <c r="T1249" s="8">
        <v>16</v>
      </c>
      <c r="U1249" s="8"/>
      <c r="V1249" s="8">
        <v>0</v>
      </c>
      <c r="W1249" s="12">
        <v>0</v>
      </c>
      <c r="Y1249">
        <v>0</v>
      </c>
    </row>
    <row r="1250" spans="1:25" ht="40" customHeight="1">
      <c r="A1250" s="6" t="s">
        <v>6287</v>
      </c>
      <c r="B1250" s="6" t="s">
        <v>6288</v>
      </c>
      <c r="C1250" s="6" t="s">
        <v>6279</v>
      </c>
      <c r="D1250" s="6" t="s">
        <v>6289</v>
      </c>
      <c r="E1250" s="6" t="s">
        <v>6290</v>
      </c>
      <c r="F1250" s="6"/>
      <c r="G1250" s="17" t="s">
        <v>6281</v>
      </c>
      <c r="H1250" s="6" t="s">
        <v>215</v>
      </c>
      <c r="I1250" s="6" t="s">
        <v>6196</v>
      </c>
      <c r="J1250" s="6" t="s">
        <v>6282</v>
      </c>
      <c r="K1250" s="6" t="s">
        <v>6291</v>
      </c>
      <c r="L1250" s="6" t="s">
        <v>6284</v>
      </c>
      <c r="M1250" s="6" t="s">
        <v>6285</v>
      </c>
      <c r="N1250" s="6" t="s">
        <v>6183</v>
      </c>
      <c r="O1250" s="6" t="s">
        <v>5147</v>
      </c>
      <c r="P1250" s="6" t="s">
        <v>6286</v>
      </c>
      <c r="Q1250" s="8">
        <v>110</v>
      </c>
      <c r="R1250" s="8">
        <v>110.33</v>
      </c>
      <c r="S1250" s="8">
        <v>219.9</v>
      </c>
      <c r="T1250" s="8">
        <v>16</v>
      </c>
      <c r="U1250" s="8"/>
      <c r="V1250" s="8">
        <v>0</v>
      </c>
      <c r="W1250" s="12">
        <v>0</v>
      </c>
      <c r="Y1250">
        <v>0</v>
      </c>
    </row>
    <row r="1251" spans="1:25" ht="40" customHeight="1">
      <c r="A1251" s="6" t="s">
        <v>6292</v>
      </c>
      <c r="B1251" s="6" t="s">
        <v>6293</v>
      </c>
      <c r="C1251" s="6" t="s">
        <v>6294</v>
      </c>
      <c r="D1251" s="6" t="s">
        <v>445</v>
      </c>
      <c r="E1251" s="6" t="s">
        <v>6295</v>
      </c>
      <c r="F1251" s="6"/>
      <c r="G1251" s="17" t="s">
        <v>6242</v>
      </c>
      <c r="H1251" s="6" t="s">
        <v>6243</v>
      </c>
      <c r="I1251" s="6" t="s">
        <v>6178</v>
      </c>
      <c r="J1251" s="6"/>
      <c r="K1251" s="8"/>
      <c r="L1251" s="8"/>
      <c r="M1251" s="8"/>
      <c r="N1251" s="6" t="s">
        <v>6183</v>
      </c>
      <c r="O1251" s="8"/>
      <c r="P1251" s="8"/>
      <c r="Q1251" s="8">
        <v>95</v>
      </c>
      <c r="R1251" s="8">
        <v>95.284999999999997</v>
      </c>
      <c r="S1251" s="8">
        <v>189.9</v>
      </c>
      <c r="T1251" s="8">
        <v>14</v>
      </c>
      <c r="U1251" s="8"/>
      <c r="V1251" s="8">
        <v>0</v>
      </c>
      <c r="W1251" s="12">
        <v>0</v>
      </c>
      <c r="Y1251">
        <v>0</v>
      </c>
    </row>
    <row r="1252" spans="1:25" ht="40" customHeight="1">
      <c r="A1252" s="6" t="s">
        <v>6296</v>
      </c>
      <c r="B1252" s="6" t="s">
        <v>6297</v>
      </c>
      <c r="C1252" s="6" t="s">
        <v>6298</v>
      </c>
      <c r="D1252" s="6" t="s">
        <v>1426</v>
      </c>
      <c r="E1252" s="6" t="s">
        <v>6299</v>
      </c>
      <c r="F1252" s="6"/>
      <c r="G1252" s="6" t="s">
        <v>6300</v>
      </c>
      <c r="H1252" s="6" t="s">
        <v>6301</v>
      </c>
      <c r="I1252" s="6" t="s">
        <v>6196</v>
      </c>
      <c r="J1252" s="6" t="s">
        <v>6302</v>
      </c>
      <c r="K1252" s="6" t="s">
        <v>6303</v>
      </c>
      <c r="L1252" s="6" t="s">
        <v>6304</v>
      </c>
      <c r="M1252" s="6" t="s">
        <v>6305</v>
      </c>
      <c r="N1252" s="6" t="s">
        <v>6183</v>
      </c>
      <c r="O1252" s="6" t="s">
        <v>6306</v>
      </c>
      <c r="P1252" s="6"/>
      <c r="Q1252" s="8">
        <v>110</v>
      </c>
      <c r="R1252" s="8">
        <v>110.33</v>
      </c>
      <c r="S1252" s="8">
        <v>219.9</v>
      </c>
      <c r="T1252" s="8">
        <v>16</v>
      </c>
      <c r="U1252" s="8"/>
      <c r="V1252" s="8">
        <v>0</v>
      </c>
      <c r="W1252" s="12">
        <v>0</v>
      </c>
      <c r="Y1252">
        <v>0</v>
      </c>
    </row>
    <row r="1253" spans="1:25" ht="40" customHeight="1">
      <c r="A1253" s="6" t="s">
        <v>6307</v>
      </c>
      <c r="B1253" s="6" t="s">
        <v>6308</v>
      </c>
      <c r="C1253" s="6" t="s">
        <v>6298</v>
      </c>
      <c r="D1253" s="6" t="s">
        <v>6309</v>
      </c>
      <c r="E1253" s="6" t="s">
        <v>6310</v>
      </c>
      <c r="F1253" s="6"/>
      <c r="G1253" s="6" t="s">
        <v>6300</v>
      </c>
      <c r="H1253" s="6" t="s">
        <v>6301</v>
      </c>
      <c r="I1253" s="6" t="s">
        <v>6196</v>
      </c>
      <c r="J1253" s="6" t="s">
        <v>6302</v>
      </c>
      <c r="K1253" s="6" t="s">
        <v>6311</v>
      </c>
      <c r="L1253" s="6" t="s">
        <v>6304</v>
      </c>
      <c r="M1253" s="6" t="s">
        <v>6305</v>
      </c>
      <c r="N1253" s="6" t="s">
        <v>6183</v>
      </c>
      <c r="O1253" s="6" t="s">
        <v>6306</v>
      </c>
      <c r="P1253" s="6"/>
      <c r="Q1253" s="8">
        <v>110</v>
      </c>
      <c r="R1253" s="8">
        <v>110.33</v>
      </c>
      <c r="S1253" s="8">
        <v>219.9</v>
      </c>
      <c r="T1253" s="8">
        <v>16</v>
      </c>
      <c r="U1253" s="8"/>
      <c r="V1253" s="8">
        <v>0</v>
      </c>
      <c r="W1253" s="12">
        <v>0</v>
      </c>
      <c r="Y1253">
        <v>0</v>
      </c>
    </row>
    <row r="1254" spans="1:25" ht="40" customHeight="1">
      <c r="A1254" s="6" t="s">
        <v>6312</v>
      </c>
      <c r="B1254" s="6" t="s">
        <v>6313</v>
      </c>
      <c r="C1254" s="6" t="s">
        <v>6298</v>
      </c>
      <c r="D1254" s="6" t="s">
        <v>6314</v>
      </c>
      <c r="E1254" s="6" t="s">
        <v>6315</v>
      </c>
      <c r="F1254" s="6"/>
      <c r="G1254" s="6" t="s">
        <v>6300</v>
      </c>
      <c r="H1254" s="6" t="s">
        <v>6301</v>
      </c>
      <c r="I1254" s="6" t="s">
        <v>6196</v>
      </c>
      <c r="J1254" s="6" t="s">
        <v>6302</v>
      </c>
      <c r="K1254" s="6" t="s">
        <v>6316</v>
      </c>
      <c r="L1254" s="6" t="s">
        <v>6304</v>
      </c>
      <c r="M1254" s="6" t="s">
        <v>6305</v>
      </c>
      <c r="N1254" s="6" t="s">
        <v>6183</v>
      </c>
      <c r="O1254" s="6" t="s">
        <v>6306</v>
      </c>
      <c r="P1254" s="6"/>
      <c r="Q1254" s="8">
        <v>110</v>
      </c>
      <c r="R1254" s="8">
        <v>110.33</v>
      </c>
      <c r="S1254" s="8">
        <v>219.9</v>
      </c>
      <c r="T1254" s="8">
        <v>16</v>
      </c>
      <c r="U1254" s="8"/>
      <c r="V1254" s="8">
        <v>0</v>
      </c>
      <c r="W1254" s="12">
        <v>0</v>
      </c>
      <c r="Y1254">
        <v>0</v>
      </c>
    </row>
    <row r="1255" spans="1:25" ht="40" customHeight="1">
      <c r="A1255" s="6" t="s">
        <v>6317</v>
      </c>
      <c r="B1255" s="6" t="s">
        <v>6318</v>
      </c>
      <c r="C1255" s="6" t="s">
        <v>6319</v>
      </c>
      <c r="D1255" s="6" t="s">
        <v>6320</v>
      </c>
      <c r="E1255" s="6" t="s">
        <v>6321</v>
      </c>
      <c r="F1255" s="6"/>
      <c r="G1255" s="6" t="s">
        <v>6322</v>
      </c>
      <c r="H1255" s="6" t="s">
        <v>215</v>
      </c>
      <c r="I1255" s="6" t="s">
        <v>6196</v>
      </c>
      <c r="J1255" s="6" t="s">
        <v>6323</v>
      </c>
      <c r="K1255" s="6" t="s">
        <v>6324</v>
      </c>
      <c r="L1255" s="6" t="s">
        <v>6325</v>
      </c>
      <c r="M1255" s="6" t="s">
        <v>6326</v>
      </c>
      <c r="N1255" s="6" t="s">
        <v>6183</v>
      </c>
      <c r="O1255" s="6" t="s">
        <v>6327</v>
      </c>
      <c r="P1255" s="6"/>
      <c r="Q1255" s="8">
        <v>115</v>
      </c>
      <c r="R1255" s="8">
        <v>115.345</v>
      </c>
      <c r="S1255" s="8">
        <v>229.9</v>
      </c>
      <c r="T1255" s="8">
        <v>16</v>
      </c>
      <c r="U1255" s="8"/>
      <c r="V1255" s="8">
        <v>0</v>
      </c>
      <c r="W1255" s="12">
        <v>0</v>
      </c>
      <c r="Y1255">
        <v>0</v>
      </c>
    </row>
    <row r="1256" spans="1:25" ht="40" customHeight="1">
      <c r="A1256" s="6" t="s">
        <v>6328</v>
      </c>
      <c r="B1256" s="6" t="s">
        <v>6329</v>
      </c>
      <c r="C1256" s="6" t="s">
        <v>6319</v>
      </c>
      <c r="D1256" s="6" t="s">
        <v>6330</v>
      </c>
      <c r="E1256" s="6" t="s">
        <v>6331</v>
      </c>
      <c r="F1256" s="6"/>
      <c r="G1256" s="6" t="s">
        <v>6322</v>
      </c>
      <c r="H1256" s="6" t="s">
        <v>215</v>
      </c>
      <c r="I1256" s="6" t="s">
        <v>6196</v>
      </c>
      <c r="J1256" s="6" t="s">
        <v>6323</v>
      </c>
      <c r="K1256" s="6" t="s">
        <v>6332</v>
      </c>
      <c r="L1256" s="6" t="s">
        <v>6325</v>
      </c>
      <c r="M1256" s="6" t="s">
        <v>6326</v>
      </c>
      <c r="N1256" s="6" t="s">
        <v>6183</v>
      </c>
      <c r="O1256" s="6" t="s">
        <v>6327</v>
      </c>
      <c r="P1256" s="6"/>
      <c r="Q1256" s="8">
        <v>115</v>
      </c>
      <c r="R1256" s="8">
        <v>115.345</v>
      </c>
      <c r="S1256" s="8">
        <v>229.9</v>
      </c>
      <c r="T1256" s="8">
        <v>16</v>
      </c>
      <c r="U1256" s="8"/>
      <c r="V1256" s="8">
        <v>0</v>
      </c>
      <c r="W1256" s="12">
        <v>0</v>
      </c>
      <c r="Y1256">
        <v>0</v>
      </c>
    </row>
    <row r="1257" spans="1:25" ht="40" customHeight="1">
      <c r="A1257" s="6" t="s">
        <v>6333</v>
      </c>
      <c r="B1257" s="6" t="s">
        <v>6334</v>
      </c>
      <c r="C1257" s="6" t="s">
        <v>6319</v>
      </c>
      <c r="D1257" s="6" t="s">
        <v>6256</v>
      </c>
      <c r="E1257" s="6" t="s">
        <v>6335</v>
      </c>
      <c r="F1257" s="6"/>
      <c r="G1257" s="6" t="s">
        <v>6322</v>
      </c>
      <c r="H1257" s="6" t="s">
        <v>215</v>
      </c>
      <c r="I1257" s="6" t="s">
        <v>6196</v>
      </c>
      <c r="J1257" s="6" t="s">
        <v>6323</v>
      </c>
      <c r="K1257" s="6" t="s">
        <v>6336</v>
      </c>
      <c r="L1257" s="6" t="s">
        <v>6325</v>
      </c>
      <c r="M1257" s="6" t="s">
        <v>6326</v>
      </c>
      <c r="N1257" s="6" t="s">
        <v>6183</v>
      </c>
      <c r="O1257" s="6" t="s">
        <v>6327</v>
      </c>
      <c r="P1257" s="6"/>
      <c r="Q1257" s="8">
        <v>115</v>
      </c>
      <c r="R1257" s="8">
        <v>115.345</v>
      </c>
      <c r="S1257" s="8">
        <v>229.9</v>
      </c>
      <c r="T1257" s="8">
        <v>16</v>
      </c>
      <c r="U1257" s="8"/>
      <c r="V1257" s="8">
        <v>0</v>
      </c>
      <c r="W1257" s="12">
        <v>0</v>
      </c>
      <c r="Y1257">
        <v>0</v>
      </c>
    </row>
    <row r="1258" spans="1:25" ht="40" customHeight="1">
      <c r="A1258" s="6" t="s">
        <v>6337</v>
      </c>
      <c r="B1258" s="6" t="s">
        <v>6338</v>
      </c>
      <c r="C1258" s="6" t="s">
        <v>6339</v>
      </c>
      <c r="D1258" s="6" t="s">
        <v>27</v>
      </c>
      <c r="E1258" s="6" t="s">
        <v>6340</v>
      </c>
      <c r="F1258" s="6"/>
      <c r="G1258" s="6" t="s">
        <v>2246</v>
      </c>
      <c r="H1258" s="6" t="s">
        <v>6341</v>
      </c>
      <c r="I1258" s="6" t="s">
        <v>6196</v>
      </c>
      <c r="J1258" s="6" t="s">
        <v>6342</v>
      </c>
      <c r="K1258" s="6" t="s">
        <v>6343</v>
      </c>
      <c r="L1258" s="6" t="s">
        <v>5980</v>
      </c>
      <c r="M1258" s="6" t="s">
        <v>6344</v>
      </c>
      <c r="N1258" s="6" t="s">
        <v>6345</v>
      </c>
      <c r="O1258" s="6" t="s">
        <v>5982</v>
      </c>
      <c r="P1258" s="6"/>
      <c r="Q1258" s="8">
        <v>110</v>
      </c>
      <c r="R1258" s="8">
        <v>110.33</v>
      </c>
      <c r="S1258" s="8">
        <v>219.9</v>
      </c>
      <c r="T1258" s="8">
        <v>16</v>
      </c>
      <c r="U1258" s="8"/>
      <c r="V1258" s="8">
        <v>0</v>
      </c>
      <c r="W1258" s="12">
        <v>0</v>
      </c>
      <c r="Y1258">
        <v>0</v>
      </c>
    </row>
    <row r="1259" spans="1:25" ht="40" customHeight="1">
      <c r="A1259" s="6" t="s">
        <v>6346</v>
      </c>
      <c r="B1259" s="6" t="s">
        <v>6347</v>
      </c>
      <c r="C1259" s="6" t="s">
        <v>6339</v>
      </c>
      <c r="D1259" s="6" t="s">
        <v>1523</v>
      </c>
      <c r="E1259" s="6" t="s">
        <v>6348</v>
      </c>
      <c r="F1259" s="6"/>
      <c r="G1259" s="6" t="s">
        <v>2246</v>
      </c>
      <c r="H1259" s="6" t="s">
        <v>6341</v>
      </c>
      <c r="I1259" s="6" t="s">
        <v>6196</v>
      </c>
      <c r="J1259" s="6" t="s">
        <v>6342</v>
      </c>
      <c r="K1259" s="6" t="s">
        <v>6349</v>
      </c>
      <c r="L1259" s="6" t="s">
        <v>5980</v>
      </c>
      <c r="M1259" s="6" t="s">
        <v>6344</v>
      </c>
      <c r="N1259" s="6" t="s">
        <v>6345</v>
      </c>
      <c r="O1259" s="6" t="s">
        <v>5982</v>
      </c>
      <c r="P1259" s="6"/>
      <c r="Q1259" s="8">
        <v>110</v>
      </c>
      <c r="R1259" s="8">
        <v>110.33</v>
      </c>
      <c r="S1259" s="8">
        <v>219.9</v>
      </c>
      <c r="T1259" s="8">
        <v>16</v>
      </c>
      <c r="U1259" s="8"/>
      <c r="V1259" s="8">
        <v>0</v>
      </c>
      <c r="W1259" s="12">
        <v>0</v>
      </c>
      <c r="Y1259">
        <v>0</v>
      </c>
    </row>
    <row r="1260" spans="1:25" ht="40" customHeight="1">
      <c r="A1260" s="6" t="s">
        <v>6350</v>
      </c>
      <c r="B1260" s="6" t="s">
        <v>6351</v>
      </c>
      <c r="C1260" s="6" t="s">
        <v>6352</v>
      </c>
      <c r="D1260" s="6" t="s">
        <v>64</v>
      </c>
      <c r="E1260" s="6" t="s">
        <v>6353</v>
      </c>
      <c r="F1260" s="6"/>
      <c r="G1260" s="6" t="s">
        <v>2246</v>
      </c>
      <c r="H1260" s="6" t="s">
        <v>6341</v>
      </c>
      <c r="I1260" s="6" t="s">
        <v>6178</v>
      </c>
      <c r="J1260" s="6" t="s">
        <v>6342</v>
      </c>
      <c r="K1260" s="6" t="s">
        <v>6354</v>
      </c>
      <c r="L1260" s="6" t="s">
        <v>5980</v>
      </c>
      <c r="M1260" s="6" t="s">
        <v>6344</v>
      </c>
      <c r="N1260" s="6" t="s">
        <v>6345</v>
      </c>
      <c r="O1260" s="6" t="s">
        <v>6355</v>
      </c>
      <c r="P1260" s="6"/>
      <c r="Q1260" s="8">
        <v>100</v>
      </c>
      <c r="R1260" s="8">
        <v>100.3</v>
      </c>
      <c r="S1260" s="8">
        <v>199.9</v>
      </c>
      <c r="T1260" s="8">
        <v>14</v>
      </c>
      <c r="U1260" s="8"/>
      <c r="V1260" s="8">
        <v>0</v>
      </c>
      <c r="W1260" s="12">
        <v>0</v>
      </c>
      <c r="Y1260">
        <v>0</v>
      </c>
    </row>
    <row r="1261" spans="1:25" ht="40" customHeight="1">
      <c r="A1261" s="6" t="s">
        <v>6356</v>
      </c>
      <c r="B1261" s="6" t="s">
        <v>6357</v>
      </c>
      <c r="C1261" s="6" t="s">
        <v>6352</v>
      </c>
      <c r="D1261" s="6" t="s">
        <v>126</v>
      </c>
      <c r="E1261" s="6" t="s">
        <v>6358</v>
      </c>
      <c r="F1261" s="6"/>
      <c r="G1261" s="6" t="s">
        <v>2246</v>
      </c>
      <c r="H1261" s="6" t="s">
        <v>6341</v>
      </c>
      <c r="I1261" s="6" t="s">
        <v>6178</v>
      </c>
      <c r="J1261" s="6" t="s">
        <v>6342</v>
      </c>
      <c r="K1261" s="6" t="s">
        <v>6359</v>
      </c>
      <c r="L1261" s="6" t="s">
        <v>5980</v>
      </c>
      <c r="M1261" s="6" t="s">
        <v>6344</v>
      </c>
      <c r="N1261" s="6" t="s">
        <v>6345</v>
      </c>
      <c r="O1261" s="6" t="s">
        <v>6355</v>
      </c>
      <c r="P1261" s="6"/>
      <c r="Q1261" s="8">
        <v>100</v>
      </c>
      <c r="R1261" s="8">
        <v>100.3</v>
      </c>
      <c r="S1261" s="8">
        <v>199.9</v>
      </c>
      <c r="T1261" s="8">
        <v>14</v>
      </c>
      <c r="U1261" s="8"/>
      <c r="V1261" s="8">
        <v>0</v>
      </c>
      <c r="W1261" s="12">
        <v>0</v>
      </c>
      <c r="Y1261">
        <v>0</v>
      </c>
    </row>
    <row r="1262" spans="1:25" ht="40" customHeight="1">
      <c r="A1262" s="6" t="s">
        <v>6360</v>
      </c>
      <c r="B1262" s="6" t="s">
        <v>6361</v>
      </c>
      <c r="C1262" s="6" t="s">
        <v>6362</v>
      </c>
      <c r="D1262" s="6" t="s">
        <v>147</v>
      </c>
      <c r="E1262" s="6" t="s">
        <v>6363</v>
      </c>
      <c r="F1262" s="6"/>
      <c r="G1262" s="6" t="s">
        <v>2133</v>
      </c>
      <c r="H1262" s="6" t="s">
        <v>6364</v>
      </c>
      <c r="I1262" s="6" t="s">
        <v>6365</v>
      </c>
      <c r="J1262" s="6" t="s">
        <v>6366</v>
      </c>
      <c r="K1262" s="6" t="s">
        <v>6367</v>
      </c>
      <c r="L1262" s="6" t="s">
        <v>2229</v>
      </c>
      <c r="M1262" s="6" t="s">
        <v>6368</v>
      </c>
      <c r="N1262" s="6" t="s">
        <v>6345</v>
      </c>
      <c r="O1262" s="6" t="s">
        <v>6369</v>
      </c>
      <c r="P1262" s="6"/>
      <c r="Q1262" s="8">
        <v>125</v>
      </c>
      <c r="R1262" s="8">
        <v>125.375</v>
      </c>
      <c r="S1262" s="8">
        <v>249.9</v>
      </c>
      <c r="T1262" s="8">
        <v>14</v>
      </c>
      <c r="U1262" s="8"/>
      <c r="V1262" s="8">
        <v>0</v>
      </c>
      <c r="W1262" s="12">
        <v>0</v>
      </c>
      <c r="Y1262">
        <v>0</v>
      </c>
    </row>
    <row r="1263" spans="1:25" ht="40" customHeight="1">
      <c r="A1263" s="6" t="s">
        <v>6370</v>
      </c>
      <c r="B1263" s="6" t="s">
        <v>6371</v>
      </c>
      <c r="C1263" s="6" t="s">
        <v>6362</v>
      </c>
      <c r="D1263" s="6" t="s">
        <v>200</v>
      </c>
      <c r="E1263" s="6" t="s">
        <v>6372</v>
      </c>
      <c r="F1263" s="6"/>
      <c r="G1263" s="6" t="s">
        <v>2133</v>
      </c>
      <c r="H1263" s="6" t="s">
        <v>6364</v>
      </c>
      <c r="I1263" s="6" t="s">
        <v>6365</v>
      </c>
      <c r="J1263" s="6" t="s">
        <v>6366</v>
      </c>
      <c r="K1263" s="6" t="s">
        <v>6373</v>
      </c>
      <c r="L1263" s="6" t="s">
        <v>2229</v>
      </c>
      <c r="M1263" s="6" t="s">
        <v>6368</v>
      </c>
      <c r="N1263" s="6" t="s">
        <v>6345</v>
      </c>
      <c r="O1263" s="6" t="s">
        <v>6369</v>
      </c>
      <c r="P1263" s="6"/>
      <c r="Q1263" s="8">
        <v>125</v>
      </c>
      <c r="R1263" s="8">
        <v>125.375</v>
      </c>
      <c r="S1263" s="8">
        <v>249.9</v>
      </c>
      <c r="T1263" s="8">
        <v>14</v>
      </c>
      <c r="U1263" s="8"/>
      <c r="V1263" s="8">
        <v>0</v>
      </c>
      <c r="W1263" s="12">
        <v>0</v>
      </c>
      <c r="Y1263">
        <v>0</v>
      </c>
    </row>
    <row r="1264" spans="1:25" ht="40" customHeight="1">
      <c r="A1264" s="6" t="s">
        <v>6374</v>
      </c>
      <c r="B1264" s="6" t="s">
        <v>6375</v>
      </c>
      <c r="C1264" s="6" t="s">
        <v>6362</v>
      </c>
      <c r="D1264" s="6" t="s">
        <v>357</v>
      </c>
      <c r="E1264" s="6" t="s">
        <v>6376</v>
      </c>
      <c r="F1264" s="6"/>
      <c r="G1264" s="6" t="s">
        <v>2133</v>
      </c>
      <c r="H1264" s="6" t="s">
        <v>6364</v>
      </c>
      <c r="I1264" s="6" t="s">
        <v>6365</v>
      </c>
      <c r="J1264" s="6" t="s">
        <v>6366</v>
      </c>
      <c r="K1264" s="6" t="s">
        <v>6377</v>
      </c>
      <c r="L1264" s="6" t="s">
        <v>2229</v>
      </c>
      <c r="M1264" s="6" t="s">
        <v>6368</v>
      </c>
      <c r="N1264" s="6" t="s">
        <v>6345</v>
      </c>
      <c r="O1264" s="6" t="s">
        <v>6369</v>
      </c>
      <c r="P1264" s="6"/>
      <c r="Q1264" s="8">
        <v>125</v>
      </c>
      <c r="R1264" s="8">
        <v>125.375</v>
      </c>
      <c r="S1264" s="8">
        <v>249.9</v>
      </c>
      <c r="T1264" s="8">
        <v>14</v>
      </c>
      <c r="U1264" s="8"/>
      <c r="V1264" s="8">
        <v>0</v>
      </c>
      <c r="W1264" s="12">
        <v>0</v>
      </c>
      <c r="Y1264">
        <v>0</v>
      </c>
    </row>
    <row r="1265" spans="1:25" ht="40" customHeight="1">
      <c r="A1265" s="6" t="s">
        <v>6378</v>
      </c>
      <c r="B1265" s="6" t="s">
        <v>6379</v>
      </c>
      <c r="C1265" s="6" t="s">
        <v>6380</v>
      </c>
      <c r="D1265" s="6" t="s">
        <v>147</v>
      </c>
      <c r="E1265" s="6" t="s">
        <v>6381</v>
      </c>
      <c r="F1265" s="6"/>
      <c r="G1265" s="6"/>
      <c r="H1265" s="6"/>
      <c r="I1265" s="6" t="s">
        <v>6365</v>
      </c>
      <c r="J1265" s="8"/>
      <c r="K1265" s="8"/>
      <c r="L1265" s="8"/>
      <c r="M1265" s="8"/>
      <c r="N1265" s="8"/>
      <c r="O1265" s="8"/>
      <c r="P1265" s="8"/>
      <c r="Q1265" s="8">
        <v>100</v>
      </c>
      <c r="R1265" s="8">
        <v>100.3</v>
      </c>
      <c r="S1265" s="8">
        <v>199.9</v>
      </c>
      <c r="T1265" s="8">
        <v>14</v>
      </c>
      <c r="U1265" s="8"/>
      <c r="V1265" s="8">
        <v>0</v>
      </c>
      <c r="W1265" s="12">
        <v>0</v>
      </c>
      <c r="Y1265">
        <v>0</v>
      </c>
    </row>
    <row r="1266" spans="1:25" ht="40" customHeight="1">
      <c r="A1266" s="6" t="s">
        <v>6382</v>
      </c>
      <c r="B1266" s="6" t="s">
        <v>6383</v>
      </c>
      <c r="C1266" s="6" t="s">
        <v>6384</v>
      </c>
      <c r="D1266" s="6" t="s">
        <v>89</v>
      </c>
      <c r="E1266" s="6" t="s">
        <v>6385</v>
      </c>
      <c r="F1266" s="6"/>
      <c r="G1266" s="6" t="s">
        <v>6386</v>
      </c>
      <c r="H1266" s="6" t="s">
        <v>215</v>
      </c>
      <c r="I1266" s="6" t="s">
        <v>6196</v>
      </c>
      <c r="J1266" s="6" t="s">
        <v>6387</v>
      </c>
      <c r="K1266" s="6" t="s">
        <v>6388</v>
      </c>
      <c r="L1266" s="6" t="s">
        <v>5144</v>
      </c>
      <c r="M1266" s="6" t="s">
        <v>6389</v>
      </c>
      <c r="N1266" s="6" t="s">
        <v>6183</v>
      </c>
      <c r="O1266" s="6" t="s">
        <v>5203</v>
      </c>
      <c r="P1266" s="6"/>
      <c r="Q1266" s="8">
        <v>80</v>
      </c>
      <c r="R1266" s="8">
        <v>80.239999999999995</v>
      </c>
      <c r="S1266" s="8">
        <v>159.9</v>
      </c>
      <c r="T1266" s="8">
        <v>16</v>
      </c>
      <c r="U1266" s="8"/>
      <c r="V1266" s="8">
        <v>0</v>
      </c>
      <c r="W1266" s="12">
        <v>0</v>
      </c>
      <c r="Y1266">
        <v>0</v>
      </c>
    </row>
    <row r="1267" spans="1:25" ht="40" customHeight="1">
      <c r="A1267" s="6" t="s">
        <v>6390</v>
      </c>
      <c r="B1267" s="6" t="s">
        <v>6391</v>
      </c>
      <c r="C1267" s="6" t="s">
        <v>6384</v>
      </c>
      <c r="D1267" s="6" t="s">
        <v>200</v>
      </c>
      <c r="E1267" s="6" t="s">
        <v>6392</v>
      </c>
      <c r="F1267" s="6"/>
      <c r="G1267" s="6" t="s">
        <v>6386</v>
      </c>
      <c r="H1267" s="6" t="s">
        <v>215</v>
      </c>
      <c r="I1267" s="6" t="s">
        <v>6196</v>
      </c>
      <c r="J1267" s="6" t="s">
        <v>6387</v>
      </c>
      <c r="K1267" s="6" t="s">
        <v>6393</v>
      </c>
      <c r="L1267" s="6" t="s">
        <v>5144</v>
      </c>
      <c r="M1267" s="6" t="s">
        <v>6389</v>
      </c>
      <c r="N1267" s="6" t="s">
        <v>6183</v>
      </c>
      <c r="O1267" s="6" t="s">
        <v>5203</v>
      </c>
      <c r="P1267" s="6"/>
      <c r="Q1267" s="8">
        <v>80</v>
      </c>
      <c r="R1267" s="8">
        <v>80.239999999999995</v>
      </c>
      <c r="S1267" s="8">
        <v>159.9</v>
      </c>
      <c r="T1267" s="8">
        <v>16</v>
      </c>
      <c r="U1267" s="8"/>
      <c r="V1267" s="8">
        <v>0</v>
      </c>
      <c r="W1267" s="12">
        <v>0</v>
      </c>
      <c r="Y1267">
        <v>0</v>
      </c>
    </row>
    <row r="1268" spans="1:25" ht="40" customHeight="1">
      <c r="A1268" s="6" t="s">
        <v>6394</v>
      </c>
      <c r="B1268" s="6" t="s">
        <v>6395</v>
      </c>
      <c r="C1268" s="6" t="s">
        <v>6384</v>
      </c>
      <c r="D1268" s="6" t="s">
        <v>6396</v>
      </c>
      <c r="E1268" s="6" t="s">
        <v>6397</v>
      </c>
      <c r="F1268" s="6"/>
      <c r="G1268" s="6" t="s">
        <v>6386</v>
      </c>
      <c r="H1268" s="6" t="s">
        <v>215</v>
      </c>
      <c r="I1268" s="6" t="s">
        <v>6196</v>
      </c>
      <c r="J1268" s="6" t="s">
        <v>6387</v>
      </c>
      <c r="K1268" s="6" t="s">
        <v>6398</v>
      </c>
      <c r="L1268" s="6" t="s">
        <v>5144</v>
      </c>
      <c r="M1268" s="6" t="s">
        <v>6389</v>
      </c>
      <c r="N1268" s="6" t="s">
        <v>6183</v>
      </c>
      <c r="O1268" s="6" t="s">
        <v>5203</v>
      </c>
      <c r="P1268" s="6"/>
      <c r="Q1268" s="8">
        <v>80</v>
      </c>
      <c r="R1268" s="8">
        <v>80.239999999999995</v>
      </c>
      <c r="S1268" s="8">
        <v>159.9</v>
      </c>
      <c r="T1268" s="8">
        <v>16</v>
      </c>
      <c r="U1268" s="8"/>
      <c r="V1268" s="8">
        <v>0</v>
      </c>
      <c r="W1268" s="12">
        <v>0</v>
      </c>
      <c r="Y1268">
        <v>0</v>
      </c>
    </row>
    <row r="1269" spans="1:25" ht="40" customHeight="1">
      <c r="A1269" s="6" t="s">
        <v>6399</v>
      </c>
      <c r="B1269" s="6" t="s">
        <v>6400</v>
      </c>
      <c r="C1269" s="6" t="s">
        <v>6401</v>
      </c>
      <c r="D1269" s="6" t="s">
        <v>3352</v>
      </c>
      <c r="E1269" s="6" t="s">
        <v>6402</v>
      </c>
      <c r="F1269" s="6"/>
      <c r="G1269" s="6" t="s">
        <v>6403</v>
      </c>
      <c r="H1269" s="6" t="s">
        <v>6404</v>
      </c>
      <c r="I1269" s="6" t="s">
        <v>6196</v>
      </c>
      <c r="J1269" s="6" t="s">
        <v>6405</v>
      </c>
      <c r="K1269" s="6" t="s">
        <v>6406</v>
      </c>
      <c r="L1269" s="6" t="s">
        <v>6407</v>
      </c>
      <c r="M1269" s="6" t="s">
        <v>6408</v>
      </c>
      <c r="N1269" s="6" t="s">
        <v>6183</v>
      </c>
      <c r="O1269" s="6" t="s">
        <v>6409</v>
      </c>
      <c r="P1269" s="6"/>
      <c r="Q1269" s="8">
        <v>75</v>
      </c>
      <c r="R1269" s="8">
        <v>75.224999999999994</v>
      </c>
      <c r="S1269" s="8">
        <v>149.9</v>
      </c>
      <c r="T1269" s="8">
        <v>16</v>
      </c>
      <c r="U1269" s="8"/>
      <c r="V1269" s="8">
        <v>0</v>
      </c>
      <c r="W1269" s="12">
        <v>0</v>
      </c>
      <c r="Y1269">
        <v>0</v>
      </c>
    </row>
    <row r="1270" spans="1:25" ht="40" customHeight="1">
      <c r="A1270" s="6" t="s">
        <v>6410</v>
      </c>
      <c r="B1270" s="6" t="s">
        <v>6411</v>
      </c>
      <c r="C1270" s="6" t="s">
        <v>6401</v>
      </c>
      <c r="D1270" s="6" t="s">
        <v>6309</v>
      </c>
      <c r="E1270" s="6" t="s">
        <v>6412</v>
      </c>
      <c r="F1270" s="6"/>
      <c r="G1270" s="6" t="s">
        <v>6403</v>
      </c>
      <c r="H1270" s="6" t="s">
        <v>6404</v>
      </c>
      <c r="I1270" s="6" t="s">
        <v>6196</v>
      </c>
      <c r="J1270" s="6" t="s">
        <v>6405</v>
      </c>
      <c r="K1270" s="6" t="s">
        <v>6413</v>
      </c>
      <c r="L1270" s="6" t="s">
        <v>6407</v>
      </c>
      <c r="M1270" s="6" t="s">
        <v>6408</v>
      </c>
      <c r="N1270" s="6" t="s">
        <v>6183</v>
      </c>
      <c r="O1270" s="6" t="s">
        <v>6409</v>
      </c>
      <c r="P1270" s="6"/>
      <c r="Q1270" s="8">
        <v>75</v>
      </c>
      <c r="R1270" s="8">
        <v>75.224999999999994</v>
      </c>
      <c r="S1270" s="8">
        <v>149.9</v>
      </c>
      <c r="T1270" s="8">
        <v>16</v>
      </c>
      <c r="U1270" s="8"/>
      <c r="V1270" s="8">
        <v>0</v>
      </c>
      <c r="W1270" s="12">
        <v>0</v>
      </c>
      <c r="Y1270">
        <v>0</v>
      </c>
    </row>
    <row r="1271" spans="1:25" ht="40" customHeight="1">
      <c r="A1271" s="6" t="s">
        <v>6414</v>
      </c>
      <c r="B1271" s="6" t="s">
        <v>6415</v>
      </c>
      <c r="C1271" s="6" t="s">
        <v>6401</v>
      </c>
      <c r="D1271" s="6" t="s">
        <v>6416</v>
      </c>
      <c r="E1271" s="6" t="s">
        <v>6417</v>
      </c>
      <c r="F1271" s="6"/>
      <c r="G1271" s="6" t="s">
        <v>6403</v>
      </c>
      <c r="H1271" s="6" t="s">
        <v>6404</v>
      </c>
      <c r="I1271" s="6" t="s">
        <v>6196</v>
      </c>
      <c r="J1271" s="6" t="s">
        <v>6405</v>
      </c>
      <c r="K1271" s="6" t="s">
        <v>6418</v>
      </c>
      <c r="L1271" s="6" t="s">
        <v>6407</v>
      </c>
      <c r="M1271" s="6" t="s">
        <v>6408</v>
      </c>
      <c r="N1271" s="6" t="s">
        <v>6183</v>
      </c>
      <c r="O1271" s="6" t="s">
        <v>6409</v>
      </c>
      <c r="P1271" s="6"/>
      <c r="Q1271" s="8">
        <v>75</v>
      </c>
      <c r="R1271" s="8">
        <v>75.224999999999994</v>
      </c>
      <c r="S1271" s="8">
        <v>149.9</v>
      </c>
      <c r="T1271" s="8">
        <v>16</v>
      </c>
      <c r="U1271" s="8"/>
      <c r="V1271" s="8">
        <v>0</v>
      </c>
      <c r="W1271" s="12">
        <v>0</v>
      </c>
      <c r="Y1271">
        <v>0</v>
      </c>
    </row>
    <row r="1272" spans="1:25" ht="40" customHeight="1">
      <c r="A1272" s="6" t="s">
        <v>6419</v>
      </c>
      <c r="B1272" s="6" t="s">
        <v>6420</v>
      </c>
      <c r="C1272" s="6" t="s">
        <v>6421</v>
      </c>
      <c r="D1272" s="6" t="s">
        <v>64</v>
      </c>
      <c r="E1272" s="6" t="s">
        <v>6422</v>
      </c>
      <c r="F1272" s="6"/>
      <c r="G1272" s="6" t="s">
        <v>1655</v>
      </c>
      <c r="H1272" s="6" t="s">
        <v>3929</v>
      </c>
      <c r="I1272" s="6" t="s">
        <v>6196</v>
      </c>
      <c r="J1272" s="6" t="s">
        <v>6423</v>
      </c>
      <c r="K1272" s="6" t="s">
        <v>6424</v>
      </c>
      <c r="L1272" s="6" t="s">
        <v>6425</v>
      </c>
      <c r="M1272" s="6" t="s">
        <v>1659</v>
      </c>
      <c r="N1272" s="6" t="s">
        <v>6183</v>
      </c>
      <c r="O1272" s="6" t="s">
        <v>6426</v>
      </c>
      <c r="P1272" s="6"/>
      <c r="Q1272" s="8">
        <v>110</v>
      </c>
      <c r="R1272" s="8">
        <v>110.33</v>
      </c>
      <c r="S1272" s="8">
        <v>219.9</v>
      </c>
      <c r="T1272" s="8">
        <v>16</v>
      </c>
      <c r="U1272" s="8"/>
      <c r="V1272" s="8">
        <v>0</v>
      </c>
      <c r="W1272" s="12">
        <v>0</v>
      </c>
      <c r="Y1272">
        <v>0</v>
      </c>
    </row>
    <row r="1273" spans="1:25" ht="40" customHeight="1">
      <c r="A1273" s="6" t="s">
        <v>6427</v>
      </c>
      <c r="B1273" s="6" t="s">
        <v>6428</v>
      </c>
      <c r="C1273" s="6" t="s">
        <v>6421</v>
      </c>
      <c r="D1273" s="6" t="s">
        <v>1699</v>
      </c>
      <c r="E1273" s="6" t="s">
        <v>6429</v>
      </c>
      <c r="F1273" s="6"/>
      <c r="G1273" s="6" t="s">
        <v>1655</v>
      </c>
      <c r="H1273" s="6" t="s">
        <v>3929</v>
      </c>
      <c r="I1273" s="6" t="s">
        <v>6196</v>
      </c>
      <c r="J1273" s="6" t="s">
        <v>6423</v>
      </c>
      <c r="K1273" s="6" t="s">
        <v>6430</v>
      </c>
      <c r="L1273" s="6" t="s">
        <v>6425</v>
      </c>
      <c r="M1273" s="6" t="s">
        <v>1659</v>
      </c>
      <c r="N1273" s="6" t="s">
        <v>6183</v>
      </c>
      <c r="O1273" s="6" t="s">
        <v>6426</v>
      </c>
      <c r="P1273" s="6"/>
      <c r="Q1273" s="8">
        <v>110</v>
      </c>
      <c r="R1273" s="8">
        <v>110.33</v>
      </c>
      <c r="S1273" s="8">
        <v>219.9</v>
      </c>
      <c r="T1273" s="8">
        <v>16</v>
      </c>
      <c r="U1273" s="8"/>
      <c r="V1273" s="8">
        <v>0</v>
      </c>
      <c r="W1273" s="12">
        <v>0</v>
      </c>
      <c r="Y1273">
        <v>0</v>
      </c>
    </row>
    <row r="1274" spans="1:25" ht="40" customHeight="1">
      <c r="A1274" s="6" t="s">
        <v>6431</v>
      </c>
      <c r="B1274" s="6" t="s">
        <v>6432</v>
      </c>
      <c r="C1274" s="6" t="s">
        <v>6433</v>
      </c>
      <c r="D1274" s="6" t="s">
        <v>27</v>
      </c>
      <c r="E1274" s="6" t="s">
        <v>6434</v>
      </c>
      <c r="F1274" s="6"/>
      <c r="G1274" s="6" t="s">
        <v>5236</v>
      </c>
      <c r="H1274" s="6" t="s">
        <v>6435</v>
      </c>
      <c r="I1274" s="6" t="s">
        <v>6196</v>
      </c>
      <c r="J1274" s="6" t="s">
        <v>6436</v>
      </c>
      <c r="K1274" s="6" t="s">
        <v>6437</v>
      </c>
      <c r="L1274" s="6" t="s">
        <v>6438</v>
      </c>
      <c r="M1274" s="6" t="s">
        <v>6439</v>
      </c>
      <c r="N1274" s="6" t="s">
        <v>6183</v>
      </c>
      <c r="O1274" s="6" t="s">
        <v>6440</v>
      </c>
      <c r="P1274" s="6"/>
      <c r="Q1274" s="8">
        <v>100</v>
      </c>
      <c r="R1274" s="8">
        <v>100.3</v>
      </c>
      <c r="S1274" s="8">
        <v>199.9</v>
      </c>
      <c r="T1274" s="8">
        <v>16</v>
      </c>
      <c r="U1274" s="8"/>
      <c r="V1274" s="8">
        <v>0</v>
      </c>
      <c r="W1274" s="12">
        <v>0</v>
      </c>
      <c r="Y1274">
        <v>0</v>
      </c>
    </row>
    <row r="1275" spans="1:25" ht="40" customHeight="1">
      <c r="A1275" s="6" t="s">
        <v>6441</v>
      </c>
      <c r="B1275" s="6" t="s">
        <v>6442</v>
      </c>
      <c r="C1275" s="6" t="s">
        <v>6433</v>
      </c>
      <c r="D1275" s="6" t="s">
        <v>6443</v>
      </c>
      <c r="E1275" s="6" t="s">
        <v>6444</v>
      </c>
      <c r="F1275" s="6"/>
      <c r="G1275" s="6" t="s">
        <v>5236</v>
      </c>
      <c r="H1275" s="6" t="s">
        <v>6435</v>
      </c>
      <c r="I1275" s="6" t="s">
        <v>6196</v>
      </c>
      <c r="J1275" s="6" t="s">
        <v>6436</v>
      </c>
      <c r="K1275" s="6" t="s">
        <v>6445</v>
      </c>
      <c r="L1275" s="6" t="s">
        <v>6438</v>
      </c>
      <c r="M1275" s="6" t="s">
        <v>6439</v>
      </c>
      <c r="N1275" s="6" t="s">
        <v>6183</v>
      </c>
      <c r="O1275" s="6" t="s">
        <v>6440</v>
      </c>
      <c r="P1275" s="6"/>
      <c r="Q1275" s="8">
        <v>100</v>
      </c>
      <c r="R1275" s="8">
        <v>100.3</v>
      </c>
      <c r="S1275" s="8">
        <v>199.9</v>
      </c>
      <c r="T1275" s="8">
        <v>16</v>
      </c>
      <c r="U1275" s="8"/>
      <c r="V1275" s="8">
        <v>0</v>
      </c>
      <c r="W1275" s="12">
        <v>0</v>
      </c>
      <c r="Y1275">
        <v>0</v>
      </c>
    </row>
    <row r="1276" spans="1:25" ht="40" customHeight="1">
      <c r="A1276" s="6" t="s">
        <v>6446</v>
      </c>
      <c r="B1276" s="6" t="s">
        <v>6447</v>
      </c>
      <c r="C1276" s="6" t="s">
        <v>6433</v>
      </c>
      <c r="D1276" s="6" t="s">
        <v>4228</v>
      </c>
      <c r="E1276" s="6" t="s">
        <v>6448</v>
      </c>
      <c r="F1276" s="6"/>
      <c r="G1276" s="6" t="s">
        <v>5236</v>
      </c>
      <c r="H1276" s="6" t="s">
        <v>6435</v>
      </c>
      <c r="I1276" s="6" t="s">
        <v>6196</v>
      </c>
      <c r="J1276" s="6" t="s">
        <v>6436</v>
      </c>
      <c r="K1276" s="6" t="s">
        <v>6449</v>
      </c>
      <c r="L1276" s="6" t="s">
        <v>6438</v>
      </c>
      <c r="M1276" s="6" t="s">
        <v>6439</v>
      </c>
      <c r="N1276" s="6" t="s">
        <v>6183</v>
      </c>
      <c r="O1276" s="6" t="s">
        <v>6440</v>
      </c>
      <c r="P1276" s="6"/>
      <c r="Q1276" s="8">
        <v>100</v>
      </c>
      <c r="R1276" s="8">
        <v>100.3</v>
      </c>
      <c r="S1276" s="8">
        <v>199.9</v>
      </c>
      <c r="T1276" s="8">
        <v>16</v>
      </c>
      <c r="U1276" s="8"/>
      <c r="V1276" s="8">
        <v>0</v>
      </c>
      <c r="W1276" s="12">
        <v>0</v>
      </c>
      <c r="Y1276">
        <v>0</v>
      </c>
    </row>
    <row r="1277" spans="1:25" ht="40" customHeight="1">
      <c r="A1277" s="6" t="s">
        <v>6450</v>
      </c>
      <c r="B1277" s="6" t="s">
        <v>6451</v>
      </c>
      <c r="C1277" s="6" t="s">
        <v>6452</v>
      </c>
      <c r="D1277" s="6" t="s">
        <v>27</v>
      </c>
      <c r="E1277" s="6" t="s">
        <v>6453</v>
      </c>
      <c r="F1277" s="6"/>
      <c r="G1277" s="6" t="s">
        <v>5289</v>
      </c>
      <c r="H1277" s="6" t="s">
        <v>6454</v>
      </c>
      <c r="I1277" s="6" t="s">
        <v>6196</v>
      </c>
      <c r="J1277" s="6" t="s">
        <v>6405</v>
      </c>
      <c r="K1277" s="6" t="s">
        <v>6455</v>
      </c>
      <c r="L1277" s="6" t="s">
        <v>5144</v>
      </c>
      <c r="M1277" s="6" t="s">
        <v>6456</v>
      </c>
      <c r="N1277" s="6" t="s">
        <v>6183</v>
      </c>
      <c r="O1277" s="6" t="s">
        <v>6355</v>
      </c>
      <c r="P1277" s="6"/>
      <c r="Q1277" s="8">
        <v>75</v>
      </c>
      <c r="R1277" s="8">
        <v>75.224999999999994</v>
      </c>
      <c r="S1277" s="8">
        <v>149.9</v>
      </c>
      <c r="T1277" s="8">
        <v>16</v>
      </c>
      <c r="U1277" s="8"/>
      <c r="V1277" s="8">
        <v>0</v>
      </c>
      <c r="W1277" s="12">
        <v>0</v>
      </c>
      <c r="Y1277">
        <v>0</v>
      </c>
    </row>
    <row r="1278" spans="1:25" ht="40" customHeight="1">
      <c r="A1278" s="6" t="s">
        <v>6457</v>
      </c>
      <c r="B1278" s="6" t="s">
        <v>6458</v>
      </c>
      <c r="C1278" s="6" t="s">
        <v>6452</v>
      </c>
      <c r="D1278" s="6" t="s">
        <v>147</v>
      </c>
      <c r="E1278" s="6" t="s">
        <v>6459</v>
      </c>
      <c r="F1278" s="6"/>
      <c r="G1278" s="6" t="s">
        <v>5289</v>
      </c>
      <c r="H1278" s="6" t="s">
        <v>6454</v>
      </c>
      <c r="I1278" s="6" t="s">
        <v>6196</v>
      </c>
      <c r="J1278" s="6" t="s">
        <v>6405</v>
      </c>
      <c r="K1278" s="6" t="s">
        <v>6460</v>
      </c>
      <c r="L1278" s="6" t="s">
        <v>5144</v>
      </c>
      <c r="M1278" s="6" t="s">
        <v>6456</v>
      </c>
      <c r="N1278" s="6" t="s">
        <v>6183</v>
      </c>
      <c r="O1278" s="6" t="s">
        <v>6355</v>
      </c>
      <c r="P1278" s="6"/>
      <c r="Q1278" s="8">
        <v>75</v>
      </c>
      <c r="R1278" s="8">
        <v>75.224999999999994</v>
      </c>
      <c r="S1278" s="8">
        <v>149.9</v>
      </c>
      <c r="T1278" s="8">
        <v>16</v>
      </c>
      <c r="U1278" s="8"/>
      <c r="V1278" s="8">
        <v>0</v>
      </c>
      <c r="W1278" s="12">
        <v>0</v>
      </c>
      <c r="Y1278">
        <v>0</v>
      </c>
    </row>
    <row r="1279" spans="1:25" ht="40" customHeight="1">
      <c r="A1279" s="6" t="s">
        <v>6461</v>
      </c>
      <c r="B1279" s="6" t="s">
        <v>6462</v>
      </c>
      <c r="C1279" s="6" t="s">
        <v>6452</v>
      </c>
      <c r="D1279" s="6" t="s">
        <v>1426</v>
      </c>
      <c r="E1279" s="6" t="s">
        <v>6463</v>
      </c>
      <c r="F1279" s="6"/>
      <c r="G1279" s="6" t="s">
        <v>5289</v>
      </c>
      <c r="H1279" s="6" t="s">
        <v>6454</v>
      </c>
      <c r="I1279" s="6" t="s">
        <v>6196</v>
      </c>
      <c r="J1279" s="6" t="s">
        <v>6405</v>
      </c>
      <c r="K1279" s="6" t="s">
        <v>6464</v>
      </c>
      <c r="L1279" s="6" t="s">
        <v>5144</v>
      </c>
      <c r="M1279" s="6" t="s">
        <v>6456</v>
      </c>
      <c r="N1279" s="6" t="s">
        <v>6183</v>
      </c>
      <c r="O1279" s="6" t="s">
        <v>6355</v>
      </c>
      <c r="P1279" s="6"/>
      <c r="Q1279" s="8">
        <v>75</v>
      </c>
      <c r="R1279" s="8">
        <v>75.224999999999994</v>
      </c>
      <c r="S1279" s="8">
        <v>149.9</v>
      </c>
      <c r="T1279" s="8">
        <v>16</v>
      </c>
      <c r="U1279" s="8"/>
      <c r="V1279" s="8">
        <v>0</v>
      </c>
      <c r="W1279" s="12">
        <v>0</v>
      </c>
      <c r="Y1279">
        <v>0</v>
      </c>
    </row>
    <row r="1280" spans="1:25" ht="40" customHeight="1">
      <c r="A1280" s="6" t="s">
        <v>6465</v>
      </c>
      <c r="B1280" s="6" t="s">
        <v>6466</v>
      </c>
      <c r="C1280" s="6" t="s">
        <v>6452</v>
      </c>
      <c r="D1280" s="6" t="s">
        <v>40</v>
      </c>
      <c r="E1280" s="6" t="s">
        <v>6467</v>
      </c>
      <c r="F1280" s="6"/>
      <c r="G1280" s="6" t="s">
        <v>5289</v>
      </c>
      <c r="H1280" s="6" t="s">
        <v>6454</v>
      </c>
      <c r="I1280" s="6" t="s">
        <v>6196</v>
      </c>
      <c r="J1280" s="6" t="s">
        <v>6405</v>
      </c>
      <c r="K1280" s="6" t="s">
        <v>6468</v>
      </c>
      <c r="L1280" s="6" t="s">
        <v>5144</v>
      </c>
      <c r="M1280" s="6" t="s">
        <v>6456</v>
      </c>
      <c r="N1280" s="6" t="s">
        <v>6183</v>
      </c>
      <c r="O1280" s="6" t="s">
        <v>6355</v>
      </c>
      <c r="P1280" s="6"/>
      <c r="Q1280" s="8">
        <v>75</v>
      </c>
      <c r="R1280" s="8">
        <v>75.224999999999994</v>
      </c>
      <c r="S1280" s="8">
        <v>149.9</v>
      </c>
      <c r="T1280" s="8">
        <v>16</v>
      </c>
      <c r="U1280" s="8"/>
      <c r="V1280" s="8">
        <v>0</v>
      </c>
      <c r="W1280" s="12">
        <v>0</v>
      </c>
      <c r="Y1280">
        <v>0</v>
      </c>
    </row>
    <row r="1281" spans="1:25" ht="40" customHeight="1">
      <c r="A1281" s="6" t="s">
        <v>6469</v>
      </c>
      <c r="B1281" s="6" t="s">
        <v>6470</v>
      </c>
      <c r="C1281" s="6" t="s">
        <v>6452</v>
      </c>
      <c r="D1281" s="6" t="s">
        <v>89</v>
      </c>
      <c r="E1281" s="6" t="s">
        <v>6471</v>
      </c>
      <c r="F1281" s="6"/>
      <c r="G1281" s="6" t="s">
        <v>5289</v>
      </c>
      <c r="H1281" s="6" t="s">
        <v>6454</v>
      </c>
      <c r="I1281" s="6" t="s">
        <v>6196</v>
      </c>
      <c r="J1281" s="6" t="s">
        <v>6405</v>
      </c>
      <c r="K1281" s="6" t="s">
        <v>6472</v>
      </c>
      <c r="L1281" s="6" t="s">
        <v>5144</v>
      </c>
      <c r="M1281" s="6" t="s">
        <v>6456</v>
      </c>
      <c r="N1281" s="6" t="s">
        <v>6183</v>
      </c>
      <c r="O1281" s="6" t="s">
        <v>6355</v>
      </c>
      <c r="P1281" s="6"/>
      <c r="Q1281" s="8">
        <v>75</v>
      </c>
      <c r="R1281" s="8">
        <v>75.224999999999994</v>
      </c>
      <c r="S1281" s="8">
        <v>149.9</v>
      </c>
      <c r="T1281" s="8">
        <v>16</v>
      </c>
      <c r="U1281" s="8"/>
      <c r="V1281" s="8">
        <v>0</v>
      </c>
      <c r="W1281" s="12">
        <v>0</v>
      </c>
      <c r="Y1281">
        <v>0</v>
      </c>
    </row>
    <row r="1282" spans="1:25" ht="40" customHeight="1">
      <c r="A1282" s="6" t="s">
        <v>6473</v>
      </c>
      <c r="B1282" s="6" t="s">
        <v>6474</v>
      </c>
      <c r="C1282" s="6" t="s">
        <v>6452</v>
      </c>
      <c r="D1282" s="6" t="s">
        <v>2644</v>
      </c>
      <c r="E1282" s="6" t="s">
        <v>6475</v>
      </c>
      <c r="F1282" s="6"/>
      <c r="G1282" s="6" t="s">
        <v>5289</v>
      </c>
      <c r="H1282" s="6" t="s">
        <v>6454</v>
      </c>
      <c r="I1282" s="6" t="s">
        <v>6196</v>
      </c>
      <c r="J1282" s="6" t="s">
        <v>6405</v>
      </c>
      <c r="K1282" s="6" t="s">
        <v>6476</v>
      </c>
      <c r="L1282" s="6" t="s">
        <v>5144</v>
      </c>
      <c r="M1282" s="6" t="s">
        <v>6456</v>
      </c>
      <c r="N1282" s="6" t="s">
        <v>6183</v>
      </c>
      <c r="O1282" s="6" t="s">
        <v>6355</v>
      </c>
      <c r="P1282" s="6"/>
      <c r="Q1282" s="8">
        <v>75</v>
      </c>
      <c r="R1282" s="8">
        <v>75.224999999999994</v>
      </c>
      <c r="S1282" s="8">
        <v>149.9</v>
      </c>
      <c r="T1282" s="8">
        <v>16</v>
      </c>
      <c r="U1282" s="8"/>
      <c r="V1282" s="8">
        <v>0</v>
      </c>
      <c r="W1282" s="12">
        <v>0</v>
      </c>
      <c r="Y1282">
        <v>0</v>
      </c>
    </row>
    <row r="1283" spans="1:25" ht="40" customHeight="1">
      <c r="A1283" s="6" t="s">
        <v>6477</v>
      </c>
      <c r="B1283" s="6" t="s">
        <v>6478</v>
      </c>
      <c r="C1283" s="6" t="s">
        <v>6479</v>
      </c>
      <c r="D1283" s="6" t="s">
        <v>27</v>
      </c>
      <c r="E1283" s="6" t="s">
        <v>6480</v>
      </c>
      <c r="F1283" s="6"/>
      <c r="G1283" s="6" t="s">
        <v>5289</v>
      </c>
      <c r="H1283" s="6" t="s">
        <v>6454</v>
      </c>
      <c r="I1283" s="6" t="s">
        <v>6178</v>
      </c>
      <c r="J1283" s="6" t="s">
        <v>6405</v>
      </c>
      <c r="K1283" s="6" t="s">
        <v>6455</v>
      </c>
      <c r="L1283" s="6" t="s">
        <v>54</v>
      </c>
      <c r="M1283" s="6" t="s">
        <v>54</v>
      </c>
      <c r="N1283" s="6" t="s">
        <v>6183</v>
      </c>
      <c r="O1283" s="6" t="s">
        <v>6355</v>
      </c>
      <c r="P1283" s="6"/>
      <c r="Q1283" s="8">
        <v>65</v>
      </c>
      <c r="R1283" s="8">
        <v>65.194999999999993</v>
      </c>
      <c r="S1283" s="8">
        <v>129.9</v>
      </c>
      <c r="T1283" s="8">
        <v>14</v>
      </c>
      <c r="U1283" s="8"/>
      <c r="V1283" s="8">
        <v>0</v>
      </c>
      <c r="W1283" s="12">
        <v>0</v>
      </c>
      <c r="Y1283">
        <v>0</v>
      </c>
    </row>
    <row r="1284" spans="1:25" ht="40" customHeight="1">
      <c r="A1284" s="6" t="s">
        <v>6481</v>
      </c>
      <c r="B1284" s="6" t="s">
        <v>6482</v>
      </c>
      <c r="C1284" s="6" t="s">
        <v>6479</v>
      </c>
      <c r="D1284" s="6" t="s">
        <v>147</v>
      </c>
      <c r="E1284" s="6" t="s">
        <v>6483</v>
      </c>
      <c r="F1284" s="6"/>
      <c r="G1284" s="6" t="s">
        <v>5289</v>
      </c>
      <c r="H1284" s="6" t="s">
        <v>6454</v>
      </c>
      <c r="I1284" s="6" t="s">
        <v>6178</v>
      </c>
      <c r="J1284" s="6" t="s">
        <v>6405</v>
      </c>
      <c r="K1284" s="6" t="s">
        <v>6460</v>
      </c>
      <c r="L1284" s="6" t="s">
        <v>54</v>
      </c>
      <c r="M1284" s="6" t="s">
        <v>54</v>
      </c>
      <c r="N1284" s="6" t="s">
        <v>6183</v>
      </c>
      <c r="O1284" s="6" t="s">
        <v>6355</v>
      </c>
      <c r="P1284" s="6"/>
      <c r="Q1284" s="8">
        <v>65</v>
      </c>
      <c r="R1284" s="8">
        <v>65.194999999999993</v>
      </c>
      <c r="S1284" s="8">
        <v>129.9</v>
      </c>
      <c r="T1284" s="8">
        <v>14</v>
      </c>
      <c r="U1284" s="8"/>
      <c r="V1284" s="8">
        <v>0</v>
      </c>
      <c r="W1284" s="12">
        <v>0</v>
      </c>
      <c r="Y1284">
        <v>0</v>
      </c>
    </row>
    <row r="1285" spans="1:25" ht="40" customHeight="1">
      <c r="A1285" s="6" t="s">
        <v>6484</v>
      </c>
      <c r="B1285" s="6" t="s">
        <v>6485</v>
      </c>
      <c r="C1285" s="6" t="s">
        <v>6479</v>
      </c>
      <c r="D1285" s="6" t="s">
        <v>1426</v>
      </c>
      <c r="E1285" s="6" t="s">
        <v>6486</v>
      </c>
      <c r="F1285" s="6"/>
      <c r="G1285" s="6" t="s">
        <v>5289</v>
      </c>
      <c r="H1285" s="6" t="s">
        <v>6454</v>
      </c>
      <c r="I1285" s="6" t="s">
        <v>6178</v>
      </c>
      <c r="J1285" s="6" t="s">
        <v>6405</v>
      </c>
      <c r="K1285" s="6" t="s">
        <v>6464</v>
      </c>
      <c r="L1285" s="6" t="s">
        <v>54</v>
      </c>
      <c r="M1285" s="6" t="s">
        <v>54</v>
      </c>
      <c r="N1285" s="6" t="s">
        <v>6183</v>
      </c>
      <c r="O1285" s="6" t="s">
        <v>6355</v>
      </c>
      <c r="P1285" s="6"/>
      <c r="Q1285" s="8">
        <v>65</v>
      </c>
      <c r="R1285" s="8">
        <v>65.194999999999993</v>
      </c>
      <c r="S1285" s="8">
        <v>129.9</v>
      </c>
      <c r="T1285" s="8">
        <v>14</v>
      </c>
      <c r="U1285" s="8"/>
      <c r="V1285" s="8">
        <v>0</v>
      </c>
      <c r="W1285" s="12">
        <v>0</v>
      </c>
      <c r="Y1285">
        <v>0</v>
      </c>
    </row>
    <row r="1286" spans="1:25" ht="40" customHeight="1">
      <c r="A1286" s="6" t="s">
        <v>6487</v>
      </c>
      <c r="B1286" s="6" t="s">
        <v>6488</v>
      </c>
      <c r="C1286" s="6" t="s">
        <v>6479</v>
      </c>
      <c r="D1286" s="6" t="s">
        <v>89</v>
      </c>
      <c r="E1286" s="6" t="s">
        <v>6489</v>
      </c>
      <c r="F1286" s="6"/>
      <c r="G1286" s="6" t="s">
        <v>5289</v>
      </c>
      <c r="H1286" s="6" t="s">
        <v>6454</v>
      </c>
      <c r="I1286" s="6" t="s">
        <v>6178</v>
      </c>
      <c r="J1286" s="6" t="s">
        <v>6405</v>
      </c>
      <c r="K1286" s="6" t="s">
        <v>6472</v>
      </c>
      <c r="L1286" s="6" t="s">
        <v>54</v>
      </c>
      <c r="M1286" s="6" t="s">
        <v>54</v>
      </c>
      <c r="N1286" s="6" t="s">
        <v>6183</v>
      </c>
      <c r="O1286" s="6" t="s">
        <v>6355</v>
      </c>
      <c r="P1286" s="6"/>
      <c r="Q1286" s="8">
        <v>65</v>
      </c>
      <c r="R1286" s="8">
        <v>65.194999999999993</v>
      </c>
      <c r="S1286" s="8">
        <v>129.9</v>
      </c>
      <c r="T1286" s="8">
        <v>14</v>
      </c>
      <c r="U1286" s="8"/>
      <c r="V1286" s="8">
        <v>0</v>
      </c>
      <c r="W1286" s="12">
        <v>0</v>
      </c>
      <c r="Y1286">
        <v>0</v>
      </c>
    </row>
    <row r="1287" spans="1:25" ht="40" customHeight="1">
      <c r="A1287" s="6" t="s">
        <v>6490</v>
      </c>
      <c r="B1287" s="6" t="s">
        <v>6491</v>
      </c>
      <c r="C1287" s="6" t="s">
        <v>6479</v>
      </c>
      <c r="D1287" s="6" t="s">
        <v>2644</v>
      </c>
      <c r="E1287" s="6" t="s">
        <v>6492</v>
      </c>
      <c r="F1287" s="6"/>
      <c r="G1287" s="6" t="s">
        <v>5289</v>
      </c>
      <c r="H1287" s="6" t="s">
        <v>6454</v>
      </c>
      <c r="I1287" s="6" t="s">
        <v>6178</v>
      </c>
      <c r="J1287" s="6" t="s">
        <v>6405</v>
      </c>
      <c r="K1287" s="6" t="s">
        <v>6476</v>
      </c>
      <c r="L1287" s="6" t="s">
        <v>54</v>
      </c>
      <c r="M1287" s="6" t="s">
        <v>54</v>
      </c>
      <c r="N1287" s="6" t="s">
        <v>6183</v>
      </c>
      <c r="O1287" s="6" t="s">
        <v>6355</v>
      </c>
      <c r="P1287" s="6"/>
      <c r="Q1287" s="8">
        <v>65</v>
      </c>
      <c r="R1287" s="8">
        <v>65.194999999999993</v>
      </c>
      <c r="S1287" s="8">
        <v>129.9</v>
      </c>
      <c r="T1287" s="8">
        <v>14</v>
      </c>
      <c r="U1287" s="8"/>
      <c r="V1287" s="8">
        <v>0</v>
      </c>
      <c r="W1287" s="12">
        <v>0</v>
      </c>
      <c r="Y1287">
        <v>0</v>
      </c>
    </row>
    <row r="1288" spans="1:25" ht="40" customHeight="1">
      <c r="A1288" s="6" t="s">
        <v>6493</v>
      </c>
      <c r="B1288" s="6" t="s">
        <v>6494</v>
      </c>
      <c r="C1288" s="6" t="s">
        <v>6495</v>
      </c>
      <c r="D1288" s="6" t="s">
        <v>27</v>
      </c>
      <c r="E1288" s="6" t="s">
        <v>6496</v>
      </c>
      <c r="F1288" s="6"/>
      <c r="G1288" s="6" t="s">
        <v>5289</v>
      </c>
      <c r="H1288" s="6" t="s">
        <v>6497</v>
      </c>
      <c r="I1288" s="6" t="s">
        <v>6365</v>
      </c>
      <c r="J1288" s="6" t="s">
        <v>6498</v>
      </c>
      <c r="K1288" s="6" t="s">
        <v>6455</v>
      </c>
      <c r="L1288" s="6" t="s">
        <v>54</v>
      </c>
      <c r="M1288" s="6" t="s">
        <v>54</v>
      </c>
      <c r="N1288" s="6" t="s">
        <v>6183</v>
      </c>
      <c r="O1288" s="6" t="s">
        <v>6409</v>
      </c>
      <c r="P1288" s="6"/>
      <c r="Q1288" s="8">
        <v>85</v>
      </c>
      <c r="R1288" s="8">
        <v>85.254999999999995</v>
      </c>
      <c r="S1288" s="8">
        <v>169.9</v>
      </c>
      <c r="T1288" s="8">
        <v>14</v>
      </c>
      <c r="U1288" s="8"/>
      <c r="V1288" s="8">
        <v>0</v>
      </c>
      <c r="W1288" s="12">
        <v>0</v>
      </c>
      <c r="Y1288">
        <v>0</v>
      </c>
    </row>
    <row r="1289" spans="1:25" ht="40" customHeight="1">
      <c r="A1289" s="6" t="s">
        <v>6499</v>
      </c>
      <c r="B1289" s="6" t="s">
        <v>6500</v>
      </c>
      <c r="C1289" s="6" t="s">
        <v>6495</v>
      </c>
      <c r="D1289" s="6" t="s">
        <v>147</v>
      </c>
      <c r="E1289" s="6" t="s">
        <v>6501</v>
      </c>
      <c r="F1289" s="6"/>
      <c r="G1289" s="6" t="s">
        <v>5289</v>
      </c>
      <c r="H1289" s="6" t="s">
        <v>6497</v>
      </c>
      <c r="I1289" s="6" t="s">
        <v>6365</v>
      </c>
      <c r="J1289" s="6" t="s">
        <v>6498</v>
      </c>
      <c r="K1289" s="6" t="s">
        <v>6460</v>
      </c>
      <c r="L1289" s="6" t="s">
        <v>54</v>
      </c>
      <c r="M1289" s="6" t="s">
        <v>54</v>
      </c>
      <c r="N1289" s="6" t="s">
        <v>6183</v>
      </c>
      <c r="O1289" s="6" t="s">
        <v>6409</v>
      </c>
      <c r="P1289" s="6"/>
      <c r="Q1289" s="8">
        <v>85</v>
      </c>
      <c r="R1289" s="8">
        <v>85.254999999999995</v>
      </c>
      <c r="S1289" s="8">
        <v>169.9</v>
      </c>
      <c r="T1289" s="8">
        <v>14</v>
      </c>
      <c r="U1289" s="8"/>
      <c r="V1289" s="8">
        <v>0</v>
      </c>
      <c r="W1289" s="12">
        <v>0</v>
      </c>
      <c r="Y1289">
        <v>0</v>
      </c>
    </row>
    <row r="1290" spans="1:25" ht="40" customHeight="1">
      <c r="A1290" s="6" t="s">
        <v>6502</v>
      </c>
      <c r="B1290" s="6" t="s">
        <v>6503</v>
      </c>
      <c r="C1290" s="6" t="s">
        <v>6495</v>
      </c>
      <c r="D1290" s="6" t="s">
        <v>40</v>
      </c>
      <c r="E1290" s="6" t="s">
        <v>6504</v>
      </c>
      <c r="F1290" s="6"/>
      <c r="G1290" s="6" t="s">
        <v>5289</v>
      </c>
      <c r="H1290" s="6" t="s">
        <v>6497</v>
      </c>
      <c r="I1290" s="6" t="s">
        <v>6365</v>
      </c>
      <c r="J1290" s="6" t="s">
        <v>6498</v>
      </c>
      <c r="K1290" s="6" t="s">
        <v>6468</v>
      </c>
      <c r="L1290" s="6" t="s">
        <v>54</v>
      </c>
      <c r="M1290" s="6" t="s">
        <v>54</v>
      </c>
      <c r="N1290" s="6" t="s">
        <v>6183</v>
      </c>
      <c r="O1290" s="6" t="s">
        <v>6409</v>
      </c>
      <c r="P1290" s="6"/>
      <c r="Q1290" s="8">
        <v>85</v>
      </c>
      <c r="R1290" s="8">
        <v>85.254999999999995</v>
      </c>
      <c r="S1290" s="8">
        <v>169.9</v>
      </c>
      <c r="T1290" s="8">
        <v>14</v>
      </c>
      <c r="U1290" s="8"/>
      <c r="V1290" s="8">
        <v>0</v>
      </c>
      <c r="W1290" s="12">
        <v>0</v>
      </c>
      <c r="Y1290">
        <v>0</v>
      </c>
    </row>
    <row r="1291" spans="1:25" ht="40" customHeight="1">
      <c r="A1291" s="6" t="s">
        <v>6505</v>
      </c>
      <c r="B1291" s="6" t="s">
        <v>6506</v>
      </c>
      <c r="C1291" s="6" t="s">
        <v>6495</v>
      </c>
      <c r="D1291" s="6" t="s">
        <v>89</v>
      </c>
      <c r="E1291" s="6" t="s">
        <v>6507</v>
      </c>
      <c r="F1291" s="6"/>
      <c r="G1291" s="6" t="s">
        <v>5289</v>
      </c>
      <c r="H1291" s="6" t="s">
        <v>6497</v>
      </c>
      <c r="I1291" s="6" t="s">
        <v>6365</v>
      </c>
      <c r="J1291" s="6" t="s">
        <v>6498</v>
      </c>
      <c r="K1291" s="6" t="s">
        <v>6472</v>
      </c>
      <c r="L1291" s="6" t="s">
        <v>54</v>
      </c>
      <c r="M1291" s="6" t="s">
        <v>54</v>
      </c>
      <c r="N1291" s="6" t="s">
        <v>6183</v>
      </c>
      <c r="O1291" s="6" t="s">
        <v>6409</v>
      </c>
      <c r="P1291" s="6"/>
      <c r="Q1291" s="8">
        <v>85</v>
      </c>
      <c r="R1291" s="8">
        <v>85.254999999999995</v>
      </c>
      <c r="S1291" s="8">
        <v>169.9</v>
      </c>
      <c r="T1291" s="8">
        <v>14</v>
      </c>
      <c r="U1291" s="8"/>
      <c r="V1291" s="8">
        <v>0</v>
      </c>
      <c r="W1291" s="12">
        <v>0</v>
      </c>
      <c r="Y1291">
        <v>0</v>
      </c>
    </row>
    <row r="1292" spans="1:25" ht="40" customHeight="1">
      <c r="A1292" s="6" t="s">
        <v>6508</v>
      </c>
      <c r="B1292" s="6" t="s">
        <v>6509</v>
      </c>
      <c r="C1292" s="6" t="s">
        <v>6510</v>
      </c>
      <c r="D1292" s="6" t="s">
        <v>4451</v>
      </c>
      <c r="E1292" s="6" t="s">
        <v>6511</v>
      </c>
      <c r="F1292" s="6"/>
      <c r="G1292" s="6" t="s">
        <v>6512</v>
      </c>
      <c r="H1292" s="6" t="s">
        <v>6513</v>
      </c>
      <c r="I1292" s="6" t="s">
        <v>6196</v>
      </c>
      <c r="J1292" s="6" t="s">
        <v>6514</v>
      </c>
      <c r="K1292" s="6" t="s">
        <v>6460</v>
      </c>
      <c r="L1292" s="6" t="s">
        <v>6515</v>
      </c>
      <c r="M1292" s="6" t="s">
        <v>6516</v>
      </c>
      <c r="N1292" s="6" t="s">
        <v>6183</v>
      </c>
      <c r="O1292" s="6" t="s">
        <v>6517</v>
      </c>
      <c r="P1292" s="6"/>
      <c r="Q1292" s="8">
        <v>85</v>
      </c>
      <c r="R1292" s="8">
        <v>85.254999999999995</v>
      </c>
      <c r="S1292" s="8">
        <v>169.9</v>
      </c>
      <c r="T1292" s="8">
        <v>16</v>
      </c>
      <c r="U1292" s="8"/>
      <c r="V1292" s="8">
        <v>0</v>
      </c>
      <c r="W1292" s="12">
        <v>0</v>
      </c>
      <c r="Y1292">
        <v>0</v>
      </c>
    </row>
    <row r="1293" spans="1:25" ht="40" customHeight="1">
      <c r="A1293" s="6" t="s">
        <v>6518</v>
      </c>
      <c r="B1293" s="6" t="s">
        <v>6519</v>
      </c>
      <c r="C1293" s="6" t="s">
        <v>6510</v>
      </c>
      <c r="D1293" s="6" t="s">
        <v>4438</v>
      </c>
      <c r="E1293" s="6" t="s">
        <v>6520</v>
      </c>
      <c r="F1293" s="6"/>
      <c r="G1293" s="6" t="s">
        <v>6512</v>
      </c>
      <c r="H1293" s="6" t="s">
        <v>6513</v>
      </c>
      <c r="I1293" s="6" t="s">
        <v>6196</v>
      </c>
      <c r="J1293" s="6" t="s">
        <v>6514</v>
      </c>
      <c r="K1293" s="6" t="s">
        <v>6521</v>
      </c>
      <c r="L1293" s="6" t="s">
        <v>6515</v>
      </c>
      <c r="M1293" s="6" t="s">
        <v>6516</v>
      </c>
      <c r="N1293" s="6" t="s">
        <v>6183</v>
      </c>
      <c r="O1293" s="6" t="s">
        <v>6517</v>
      </c>
      <c r="P1293" s="6"/>
      <c r="Q1293" s="8">
        <v>85</v>
      </c>
      <c r="R1293" s="8">
        <v>85.254999999999995</v>
      </c>
      <c r="S1293" s="8">
        <v>169.9</v>
      </c>
      <c r="T1293" s="8">
        <v>16</v>
      </c>
      <c r="U1293" s="8"/>
      <c r="V1293" s="8">
        <v>0</v>
      </c>
      <c r="W1293" s="12">
        <v>0</v>
      </c>
      <c r="Y1293">
        <v>0</v>
      </c>
    </row>
    <row r="1294" spans="1:25" ht="40" customHeight="1">
      <c r="A1294" s="6" t="s">
        <v>6522</v>
      </c>
      <c r="B1294" s="6" t="s">
        <v>6523</v>
      </c>
      <c r="C1294" s="6" t="s">
        <v>6524</v>
      </c>
      <c r="D1294" s="6" t="s">
        <v>147</v>
      </c>
      <c r="E1294" s="6" t="s">
        <v>6525</v>
      </c>
      <c r="F1294" s="6"/>
      <c r="G1294" s="6" t="s">
        <v>5742</v>
      </c>
      <c r="H1294" s="6" t="s">
        <v>215</v>
      </c>
      <c r="I1294" s="6" t="s">
        <v>6196</v>
      </c>
      <c r="J1294" s="6" t="s">
        <v>6405</v>
      </c>
      <c r="K1294" s="6" t="s">
        <v>6526</v>
      </c>
      <c r="L1294" s="6" t="s">
        <v>54</v>
      </c>
      <c r="M1294" s="6" t="s">
        <v>54</v>
      </c>
      <c r="N1294" s="6" t="s">
        <v>6183</v>
      </c>
      <c r="O1294" s="6" t="s">
        <v>6527</v>
      </c>
      <c r="P1294" s="6"/>
      <c r="Q1294" s="8">
        <v>75</v>
      </c>
      <c r="R1294" s="8">
        <v>75.224999999999994</v>
      </c>
      <c r="S1294" s="8">
        <v>149.9</v>
      </c>
      <c r="T1294" s="8">
        <v>16</v>
      </c>
      <c r="U1294" s="8"/>
      <c r="V1294" s="8">
        <v>0</v>
      </c>
      <c r="W1294" s="12">
        <v>0</v>
      </c>
      <c r="Y1294">
        <v>0</v>
      </c>
    </row>
    <row r="1295" spans="1:25" ht="40" customHeight="1">
      <c r="A1295" s="6" t="s">
        <v>6528</v>
      </c>
      <c r="B1295" s="6" t="s">
        <v>6529</v>
      </c>
      <c r="C1295" s="6" t="s">
        <v>6524</v>
      </c>
      <c r="D1295" s="6" t="s">
        <v>937</v>
      </c>
      <c r="E1295" s="6" t="s">
        <v>6530</v>
      </c>
      <c r="F1295" s="6"/>
      <c r="G1295" s="6" t="s">
        <v>5742</v>
      </c>
      <c r="H1295" s="6" t="s">
        <v>215</v>
      </c>
      <c r="I1295" s="6" t="s">
        <v>6196</v>
      </c>
      <c r="J1295" s="6" t="s">
        <v>6405</v>
      </c>
      <c r="K1295" s="8"/>
      <c r="L1295" s="8"/>
      <c r="M1295" s="8"/>
      <c r="N1295" s="8"/>
      <c r="O1295" s="8"/>
      <c r="P1295" s="8"/>
      <c r="Q1295" s="8">
        <v>75</v>
      </c>
      <c r="R1295" s="8">
        <v>75.224999999999994</v>
      </c>
      <c r="S1295" s="8">
        <v>149.9</v>
      </c>
      <c r="T1295" s="8">
        <v>16</v>
      </c>
      <c r="U1295" s="8"/>
      <c r="V1295" s="8">
        <v>0</v>
      </c>
      <c r="W1295" s="12">
        <v>0</v>
      </c>
      <c r="Y1295">
        <v>0</v>
      </c>
    </row>
    <row r="1296" spans="1:25" ht="40" customHeight="1">
      <c r="A1296" s="6" t="s">
        <v>6531</v>
      </c>
      <c r="B1296" s="6" t="s">
        <v>6532</v>
      </c>
      <c r="C1296" s="6" t="s">
        <v>6524</v>
      </c>
      <c r="D1296" s="6" t="s">
        <v>89</v>
      </c>
      <c r="E1296" s="6" t="s">
        <v>6533</v>
      </c>
      <c r="F1296" s="6"/>
      <c r="G1296" s="6" t="s">
        <v>5742</v>
      </c>
      <c r="H1296" s="6" t="s">
        <v>215</v>
      </c>
      <c r="I1296" s="6" t="s">
        <v>6196</v>
      </c>
      <c r="J1296" s="6" t="s">
        <v>6405</v>
      </c>
      <c r="K1296" s="6" t="s">
        <v>6534</v>
      </c>
      <c r="L1296" s="6" t="s">
        <v>54</v>
      </c>
      <c r="M1296" s="6" t="s">
        <v>54</v>
      </c>
      <c r="N1296" s="6" t="s">
        <v>6183</v>
      </c>
      <c r="O1296" s="6" t="s">
        <v>6527</v>
      </c>
      <c r="P1296" s="6"/>
      <c r="Q1296" s="8">
        <v>75</v>
      </c>
      <c r="R1296" s="8">
        <v>75.224999999999994</v>
      </c>
      <c r="S1296" s="8">
        <v>149.9</v>
      </c>
      <c r="T1296" s="8">
        <v>16</v>
      </c>
      <c r="U1296" s="8"/>
      <c r="V1296" s="8">
        <v>0</v>
      </c>
      <c r="W1296" s="12">
        <v>0</v>
      </c>
      <c r="Y1296">
        <v>0</v>
      </c>
    </row>
    <row r="1297" spans="1:25" ht="40" customHeight="1">
      <c r="A1297" s="6" t="s">
        <v>6535</v>
      </c>
      <c r="B1297" s="6" t="s">
        <v>6536</v>
      </c>
      <c r="C1297" s="6" t="s">
        <v>6537</v>
      </c>
      <c r="D1297" s="6" t="s">
        <v>6538</v>
      </c>
      <c r="E1297" s="6" t="s">
        <v>6539</v>
      </c>
      <c r="F1297" s="6"/>
      <c r="G1297" s="6" t="s">
        <v>6540</v>
      </c>
      <c r="H1297" s="6" t="s">
        <v>215</v>
      </c>
      <c r="I1297" s="6" t="s">
        <v>6196</v>
      </c>
      <c r="J1297" s="6" t="s">
        <v>6541</v>
      </c>
      <c r="K1297" s="6" t="s">
        <v>6542</v>
      </c>
      <c r="L1297" s="6" t="s">
        <v>6543</v>
      </c>
      <c r="M1297" s="6" t="s">
        <v>6544</v>
      </c>
      <c r="N1297" s="6" t="s">
        <v>6183</v>
      </c>
      <c r="O1297" s="6" t="s">
        <v>6355</v>
      </c>
      <c r="P1297" s="6"/>
      <c r="Q1297" s="8">
        <v>100</v>
      </c>
      <c r="R1297" s="8">
        <v>100.3</v>
      </c>
      <c r="S1297" s="8">
        <v>199.9</v>
      </c>
      <c r="T1297" s="8">
        <v>16</v>
      </c>
      <c r="U1297" s="8"/>
      <c r="V1297" s="8">
        <v>0</v>
      </c>
      <c r="W1297" s="12">
        <v>0</v>
      </c>
      <c r="Y1297">
        <v>0</v>
      </c>
    </row>
    <row r="1298" spans="1:25" ht="40" customHeight="1">
      <c r="A1298" s="6" t="s">
        <v>6545</v>
      </c>
      <c r="B1298" s="6" t="s">
        <v>6546</v>
      </c>
      <c r="C1298" s="6" t="s">
        <v>6537</v>
      </c>
      <c r="D1298" s="6" t="s">
        <v>6289</v>
      </c>
      <c r="E1298" s="6" t="s">
        <v>6547</v>
      </c>
      <c r="F1298" s="6"/>
      <c r="G1298" s="6" t="s">
        <v>6540</v>
      </c>
      <c r="H1298" s="6" t="s">
        <v>215</v>
      </c>
      <c r="I1298" s="6" t="s">
        <v>6196</v>
      </c>
      <c r="J1298" s="6" t="s">
        <v>6541</v>
      </c>
      <c r="K1298" s="6" t="s">
        <v>6548</v>
      </c>
      <c r="L1298" s="6" t="s">
        <v>6543</v>
      </c>
      <c r="M1298" s="6" t="s">
        <v>6544</v>
      </c>
      <c r="N1298" s="6" t="s">
        <v>6183</v>
      </c>
      <c r="O1298" s="6" t="s">
        <v>6355</v>
      </c>
      <c r="P1298" s="6"/>
      <c r="Q1298" s="8">
        <v>100</v>
      </c>
      <c r="R1298" s="8">
        <v>100.3</v>
      </c>
      <c r="S1298" s="8">
        <v>199.9</v>
      </c>
      <c r="T1298" s="8">
        <v>16</v>
      </c>
      <c r="U1298" s="8"/>
      <c r="V1298" s="8">
        <v>0</v>
      </c>
      <c r="W1298" s="12">
        <v>0</v>
      </c>
      <c r="Y1298">
        <v>0</v>
      </c>
    </row>
    <row r="1299" spans="1:25" ht="40" customHeight="1">
      <c r="A1299" s="6" t="s">
        <v>6549</v>
      </c>
      <c r="B1299" s="6" t="s">
        <v>6550</v>
      </c>
      <c r="C1299" s="6" t="s">
        <v>6551</v>
      </c>
      <c r="D1299" s="6" t="s">
        <v>4017</v>
      </c>
      <c r="E1299" s="6" t="s">
        <v>6552</v>
      </c>
      <c r="F1299" s="6"/>
      <c r="G1299" s="6" t="s">
        <v>5637</v>
      </c>
      <c r="H1299" s="6" t="s">
        <v>215</v>
      </c>
      <c r="I1299" s="6" t="s">
        <v>6196</v>
      </c>
      <c r="J1299" s="6" t="s">
        <v>6553</v>
      </c>
      <c r="K1299" s="6" t="s">
        <v>6554</v>
      </c>
      <c r="L1299" s="6" t="s">
        <v>5640</v>
      </c>
      <c r="M1299" s="6" t="s">
        <v>6555</v>
      </c>
      <c r="N1299" s="6" t="s">
        <v>6183</v>
      </c>
      <c r="O1299" s="6" t="s">
        <v>6556</v>
      </c>
      <c r="P1299" s="6" t="s">
        <v>5256</v>
      </c>
      <c r="Q1299" s="8">
        <v>100</v>
      </c>
      <c r="R1299" s="8">
        <v>100.3</v>
      </c>
      <c r="S1299" s="8">
        <v>199.9</v>
      </c>
      <c r="T1299" s="8">
        <v>16</v>
      </c>
      <c r="U1299" s="8"/>
      <c r="V1299" s="8">
        <v>0</v>
      </c>
      <c r="W1299" s="12">
        <v>0</v>
      </c>
      <c r="Y1299">
        <v>0</v>
      </c>
    </row>
    <row r="1300" spans="1:25" ht="40" customHeight="1">
      <c r="A1300" s="6" t="s">
        <v>6557</v>
      </c>
      <c r="B1300" s="6" t="s">
        <v>6558</v>
      </c>
      <c r="C1300" s="6" t="s">
        <v>6551</v>
      </c>
      <c r="D1300" s="6" t="s">
        <v>3846</v>
      </c>
      <c r="E1300" s="6" t="s">
        <v>6559</v>
      </c>
      <c r="F1300" s="6"/>
      <c r="G1300" s="6" t="s">
        <v>5637</v>
      </c>
      <c r="H1300" s="6" t="s">
        <v>215</v>
      </c>
      <c r="I1300" s="6" t="s">
        <v>6196</v>
      </c>
      <c r="J1300" s="6" t="s">
        <v>6553</v>
      </c>
      <c r="K1300" s="6" t="s">
        <v>6560</v>
      </c>
      <c r="L1300" s="6" t="s">
        <v>5640</v>
      </c>
      <c r="M1300" s="6" t="s">
        <v>6555</v>
      </c>
      <c r="N1300" s="6" t="s">
        <v>6183</v>
      </c>
      <c r="O1300" s="6" t="s">
        <v>6556</v>
      </c>
      <c r="P1300" s="6" t="s">
        <v>5256</v>
      </c>
      <c r="Q1300" s="8">
        <v>100</v>
      </c>
      <c r="R1300" s="8">
        <v>100.3</v>
      </c>
      <c r="S1300" s="8">
        <v>199.9</v>
      </c>
      <c r="T1300" s="8">
        <v>16</v>
      </c>
      <c r="U1300" s="8"/>
      <c r="V1300" s="8">
        <v>0</v>
      </c>
      <c r="W1300" s="12">
        <v>0</v>
      </c>
      <c r="Y1300">
        <v>0</v>
      </c>
    </row>
    <row r="1301" spans="1:25" ht="40" customHeight="1">
      <c r="A1301" s="6" t="s">
        <v>6561</v>
      </c>
      <c r="B1301" s="6" t="s">
        <v>6562</v>
      </c>
      <c r="C1301" s="6" t="s">
        <v>6551</v>
      </c>
      <c r="D1301" s="6" t="s">
        <v>4327</v>
      </c>
      <c r="E1301" s="6" t="s">
        <v>6563</v>
      </c>
      <c r="F1301" s="6"/>
      <c r="G1301" s="6" t="s">
        <v>5637</v>
      </c>
      <c r="H1301" s="6" t="s">
        <v>215</v>
      </c>
      <c r="I1301" s="6" t="s">
        <v>6196</v>
      </c>
      <c r="J1301" s="6" t="s">
        <v>6553</v>
      </c>
      <c r="K1301" s="6" t="s">
        <v>6472</v>
      </c>
      <c r="L1301" s="6" t="s">
        <v>5640</v>
      </c>
      <c r="M1301" s="6" t="s">
        <v>6555</v>
      </c>
      <c r="N1301" s="6" t="s">
        <v>6183</v>
      </c>
      <c r="O1301" s="6" t="s">
        <v>6556</v>
      </c>
      <c r="P1301" s="6" t="s">
        <v>5256</v>
      </c>
      <c r="Q1301" s="8">
        <v>100</v>
      </c>
      <c r="R1301" s="8">
        <v>100.3</v>
      </c>
      <c r="S1301" s="8">
        <v>199.9</v>
      </c>
      <c r="T1301" s="8">
        <v>16</v>
      </c>
      <c r="U1301" s="8"/>
      <c r="V1301" s="8">
        <v>0</v>
      </c>
      <c r="W1301" s="12">
        <v>0</v>
      </c>
      <c r="Y1301">
        <v>0</v>
      </c>
    </row>
    <row r="1302" spans="1:25" ht="40" customHeight="1">
      <c r="A1302" s="6" t="s">
        <v>6564</v>
      </c>
      <c r="B1302" s="6" t="s">
        <v>6565</v>
      </c>
      <c r="C1302" s="6" t="s">
        <v>6566</v>
      </c>
      <c r="D1302" s="6" t="s">
        <v>27</v>
      </c>
      <c r="E1302" s="6" t="s">
        <v>6567</v>
      </c>
      <c r="F1302" s="6"/>
      <c r="G1302" s="6" t="s">
        <v>5249</v>
      </c>
      <c r="H1302" s="6" t="s">
        <v>6568</v>
      </c>
      <c r="I1302" s="6" t="s">
        <v>6196</v>
      </c>
      <c r="J1302" s="6" t="s">
        <v>6569</v>
      </c>
      <c r="K1302" s="6" t="s">
        <v>6455</v>
      </c>
      <c r="L1302" s="6" t="s">
        <v>5640</v>
      </c>
      <c r="M1302" s="6" t="s">
        <v>6570</v>
      </c>
      <c r="N1302" s="6" t="s">
        <v>6183</v>
      </c>
      <c r="O1302" s="6" t="s">
        <v>5255</v>
      </c>
      <c r="P1302" s="6"/>
      <c r="Q1302" s="8">
        <v>95</v>
      </c>
      <c r="R1302" s="8">
        <v>95.284999999999997</v>
      </c>
      <c r="S1302" s="8">
        <v>189.9</v>
      </c>
      <c r="T1302" s="8">
        <v>16</v>
      </c>
      <c r="U1302" s="8"/>
      <c r="V1302" s="8">
        <v>0</v>
      </c>
      <c r="W1302" s="12">
        <v>0</v>
      </c>
      <c r="Y1302">
        <v>0</v>
      </c>
    </row>
    <row r="1303" spans="1:25" ht="40" customHeight="1">
      <c r="A1303" s="6" t="s">
        <v>6571</v>
      </c>
      <c r="B1303" s="6" t="s">
        <v>6572</v>
      </c>
      <c r="C1303" s="6" t="s">
        <v>6566</v>
      </c>
      <c r="D1303" s="6" t="s">
        <v>147</v>
      </c>
      <c r="E1303" s="6" t="s">
        <v>6573</v>
      </c>
      <c r="F1303" s="6"/>
      <c r="G1303" s="6" t="s">
        <v>5249</v>
      </c>
      <c r="H1303" s="6" t="s">
        <v>6568</v>
      </c>
      <c r="I1303" s="6" t="s">
        <v>6196</v>
      </c>
      <c r="J1303" s="6" t="s">
        <v>6569</v>
      </c>
      <c r="K1303" s="6" t="s">
        <v>6283</v>
      </c>
      <c r="L1303" s="6" t="s">
        <v>5640</v>
      </c>
      <c r="M1303" s="6" t="s">
        <v>6570</v>
      </c>
      <c r="N1303" s="6" t="s">
        <v>6183</v>
      </c>
      <c r="O1303" s="6" t="s">
        <v>5255</v>
      </c>
      <c r="P1303" s="6"/>
      <c r="Q1303" s="8">
        <v>95</v>
      </c>
      <c r="R1303" s="8">
        <v>95.284999999999997</v>
      </c>
      <c r="S1303" s="8">
        <v>189.9</v>
      </c>
      <c r="T1303" s="8">
        <v>16</v>
      </c>
      <c r="U1303" s="8"/>
      <c r="V1303" s="8">
        <v>0</v>
      </c>
      <c r="W1303" s="12">
        <v>0</v>
      </c>
      <c r="Y1303">
        <v>0</v>
      </c>
    </row>
    <row r="1304" spans="1:25" ht="40" customHeight="1">
      <c r="A1304" s="6" t="s">
        <v>6574</v>
      </c>
      <c r="B1304" s="6" t="s">
        <v>6575</v>
      </c>
      <c r="C1304" s="6" t="s">
        <v>6566</v>
      </c>
      <c r="D1304" s="6" t="s">
        <v>3352</v>
      </c>
      <c r="E1304" s="6" t="s">
        <v>6576</v>
      </c>
      <c r="F1304" s="6"/>
      <c r="G1304" s="6" t="s">
        <v>5249</v>
      </c>
      <c r="H1304" s="6" t="s">
        <v>6568</v>
      </c>
      <c r="I1304" s="6" t="s">
        <v>6196</v>
      </c>
      <c r="J1304" s="6" t="s">
        <v>6569</v>
      </c>
      <c r="K1304" s="6" t="s">
        <v>6577</v>
      </c>
      <c r="L1304" s="6" t="s">
        <v>5640</v>
      </c>
      <c r="M1304" s="6" t="s">
        <v>6570</v>
      </c>
      <c r="N1304" s="6" t="s">
        <v>6183</v>
      </c>
      <c r="O1304" s="6" t="s">
        <v>5255</v>
      </c>
      <c r="P1304" s="6"/>
      <c r="Q1304" s="8">
        <v>95</v>
      </c>
      <c r="R1304" s="8">
        <v>95.284999999999997</v>
      </c>
      <c r="S1304" s="8">
        <v>189.9</v>
      </c>
      <c r="T1304" s="8">
        <v>16</v>
      </c>
      <c r="U1304" s="8"/>
      <c r="V1304" s="8">
        <v>0</v>
      </c>
      <c r="W1304" s="12">
        <v>0</v>
      </c>
      <c r="Y1304">
        <v>0</v>
      </c>
    </row>
    <row r="1305" spans="1:25" ht="40" customHeight="1">
      <c r="A1305" s="6" t="s">
        <v>6578</v>
      </c>
      <c r="B1305" s="6" t="s">
        <v>6579</v>
      </c>
      <c r="C1305" s="6" t="s">
        <v>6580</v>
      </c>
      <c r="D1305" s="6" t="s">
        <v>6193</v>
      </c>
      <c r="E1305" s="6" t="s">
        <v>6581</v>
      </c>
      <c r="F1305" s="6"/>
      <c r="G1305" s="6" t="s">
        <v>5249</v>
      </c>
      <c r="H1305" s="6" t="s">
        <v>215</v>
      </c>
      <c r="I1305" s="6" t="s">
        <v>6365</v>
      </c>
      <c r="J1305" s="6" t="s">
        <v>6582</v>
      </c>
      <c r="K1305" s="6" t="s">
        <v>6583</v>
      </c>
      <c r="L1305" s="6" t="s">
        <v>54</v>
      </c>
      <c r="M1305" s="6" t="s">
        <v>54</v>
      </c>
      <c r="N1305" s="6" t="s">
        <v>6183</v>
      </c>
      <c r="O1305" s="6" t="s">
        <v>6584</v>
      </c>
      <c r="P1305" s="6"/>
      <c r="Q1305" s="8">
        <v>100</v>
      </c>
      <c r="R1305" s="8">
        <v>100.3</v>
      </c>
      <c r="S1305" s="8">
        <v>199.9</v>
      </c>
      <c r="T1305" s="8">
        <v>14</v>
      </c>
      <c r="U1305" s="8"/>
      <c r="V1305" s="8">
        <v>0</v>
      </c>
      <c r="W1305" s="12">
        <v>0</v>
      </c>
      <c r="Y1305">
        <v>0</v>
      </c>
    </row>
    <row r="1306" spans="1:25" ht="40" customHeight="1">
      <c r="A1306" s="6" t="s">
        <v>6585</v>
      </c>
      <c r="B1306" s="6" t="s">
        <v>6586</v>
      </c>
      <c r="C1306" s="6" t="s">
        <v>6580</v>
      </c>
      <c r="D1306" s="6" t="s">
        <v>147</v>
      </c>
      <c r="E1306" s="6" t="s">
        <v>6587</v>
      </c>
      <c r="F1306" s="6"/>
      <c r="G1306" s="6" t="s">
        <v>5249</v>
      </c>
      <c r="H1306" s="6" t="s">
        <v>215</v>
      </c>
      <c r="I1306" s="6" t="s">
        <v>6365</v>
      </c>
      <c r="J1306" s="6" t="s">
        <v>6582</v>
      </c>
      <c r="K1306" s="6" t="s">
        <v>6283</v>
      </c>
      <c r="L1306" s="6" t="s">
        <v>54</v>
      </c>
      <c r="M1306" s="6" t="s">
        <v>54</v>
      </c>
      <c r="N1306" s="6" t="s">
        <v>6183</v>
      </c>
      <c r="O1306" s="6" t="s">
        <v>6584</v>
      </c>
      <c r="P1306" s="6"/>
      <c r="Q1306" s="8">
        <v>100</v>
      </c>
      <c r="R1306" s="8">
        <v>100.3</v>
      </c>
      <c r="S1306" s="8">
        <v>199.9</v>
      </c>
      <c r="T1306" s="8">
        <v>14</v>
      </c>
      <c r="U1306" s="8"/>
      <c r="V1306" s="8">
        <v>0</v>
      </c>
      <c r="W1306" s="12">
        <v>0</v>
      </c>
      <c r="Y1306">
        <v>0</v>
      </c>
    </row>
    <row r="1307" spans="1:25" ht="40" customHeight="1">
      <c r="A1307" s="6" t="s">
        <v>6588</v>
      </c>
      <c r="B1307" s="6" t="s">
        <v>6589</v>
      </c>
      <c r="C1307" s="6" t="s">
        <v>6580</v>
      </c>
      <c r="D1307" s="6" t="s">
        <v>3352</v>
      </c>
      <c r="E1307" s="6" t="s">
        <v>6590</v>
      </c>
      <c r="F1307" s="6"/>
      <c r="G1307" s="6" t="s">
        <v>5249</v>
      </c>
      <c r="H1307" s="6" t="s">
        <v>215</v>
      </c>
      <c r="I1307" s="6" t="s">
        <v>6365</v>
      </c>
      <c r="J1307" s="6" t="s">
        <v>6582</v>
      </c>
      <c r="K1307" s="6" t="s">
        <v>6577</v>
      </c>
      <c r="L1307" s="6" t="s">
        <v>54</v>
      </c>
      <c r="M1307" s="6" t="s">
        <v>54</v>
      </c>
      <c r="N1307" s="6" t="s">
        <v>6183</v>
      </c>
      <c r="O1307" s="6" t="s">
        <v>6584</v>
      </c>
      <c r="P1307" s="6"/>
      <c r="Q1307" s="8">
        <v>100</v>
      </c>
      <c r="R1307" s="8">
        <v>100.3</v>
      </c>
      <c r="S1307" s="8">
        <v>199.9</v>
      </c>
      <c r="T1307" s="8">
        <v>14</v>
      </c>
      <c r="U1307" s="8"/>
      <c r="V1307" s="8">
        <v>0</v>
      </c>
      <c r="W1307" s="12">
        <v>0</v>
      </c>
      <c r="Y1307">
        <v>0</v>
      </c>
    </row>
    <row r="1308" spans="1:25" ht="40" customHeight="1">
      <c r="A1308" s="6" t="s">
        <v>6591</v>
      </c>
      <c r="B1308" s="6" t="s">
        <v>6592</v>
      </c>
      <c r="C1308" s="6" t="s">
        <v>6593</v>
      </c>
      <c r="D1308" s="6" t="s">
        <v>27</v>
      </c>
      <c r="E1308" s="6" t="s">
        <v>6594</v>
      </c>
      <c r="F1308" s="6"/>
      <c r="G1308" s="6" t="s">
        <v>5324</v>
      </c>
      <c r="H1308" s="6" t="s">
        <v>215</v>
      </c>
      <c r="I1308" s="6" t="s">
        <v>6196</v>
      </c>
      <c r="J1308" s="6" t="s">
        <v>6595</v>
      </c>
      <c r="K1308" s="6" t="s">
        <v>6596</v>
      </c>
      <c r="L1308" s="6" t="s">
        <v>5144</v>
      </c>
      <c r="M1308" s="6" t="s">
        <v>6597</v>
      </c>
      <c r="N1308" s="6" t="s">
        <v>6183</v>
      </c>
      <c r="O1308" s="6" t="s">
        <v>5203</v>
      </c>
      <c r="P1308" s="6"/>
      <c r="Q1308" s="8">
        <v>85</v>
      </c>
      <c r="R1308" s="8">
        <v>85.254999999999995</v>
      </c>
      <c r="S1308" s="8">
        <v>169.9</v>
      </c>
      <c r="T1308" s="8">
        <v>16</v>
      </c>
      <c r="U1308" s="8"/>
      <c r="V1308" s="8">
        <v>0</v>
      </c>
      <c r="W1308" s="12">
        <v>0</v>
      </c>
      <c r="Y1308">
        <v>0</v>
      </c>
    </row>
    <row r="1309" spans="1:25" ht="40" customHeight="1">
      <c r="A1309" s="6" t="s">
        <v>6598</v>
      </c>
      <c r="B1309" s="6" t="s">
        <v>6599</v>
      </c>
      <c r="C1309" s="6" t="s">
        <v>6593</v>
      </c>
      <c r="D1309" s="6" t="s">
        <v>6600</v>
      </c>
      <c r="E1309" s="6" t="s">
        <v>6601</v>
      </c>
      <c r="F1309" s="6"/>
      <c r="G1309" s="6" t="s">
        <v>5324</v>
      </c>
      <c r="H1309" s="6" t="s">
        <v>215</v>
      </c>
      <c r="I1309" s="6" t="s">
        <v>6196</v>
      </c>
      <c r="J1309" s="6" t="s">
        <v>6595</v>
      </c>
      <c r="K1309" s="6" t="s">
        <v>6602</v>
      </c>
      <c r="L1309" s="6" t="s">
        <v>5144</v>
      </c>
      <c r="M1309" s="6" t="s">
        <v>6597</v>
      </c>
      <c r="N1309" s="6" t="s">
        <v>6183</v>
      </c>
      <c r="O1309" s="6" t="s">
        <v>5203</v>
      </c>
      <c r="P1309" s="6"/>
      <c r="Q1309" s="8">
        <v>85</v>
      </c>
      <c r="R1309" s="8">
        <v>85.254999999999995</v>
      </c>
      <c r="S1309" s="8">
        <v>169.9</v>
      </c>
      <c r="T1309" s="8">
        <v>16</v>
      </c>
      <c r="U1309" s="8"/>
      <c r="V1309" s="8">
        <v>0</v>
      </c>
      <c r="W1309" s="12">
        <v>0</v>
      </c>
      <c r="Y1309">
        <v>0</v>
      </c>
    </row>
    <row r="1310" spans="1:25" ht="40" customHeight="1">
      <c r="A1310" s="6" t="s">
        <v>6603</v>
      </c>
      <c r="B1310" s="6" t="s">
        <v>6604</v>
      </c>
      <c r="C1310" s="6" t="s">
        <v>6593</v>
      </c>
      <c r="D1310" s="6" t="s">
        <v>4022</v>
      </c>
      <c r="E1310" s="6" t="s">
        <v>6605</v>
      </c>
      <c r="F1310" s="6"/>
      <c r="G1310" s="6" t="s">
        <v>5324</v>
      </c>
      <c r="H1310" s="6" t="s">
        <v>215</v>
      </c>
      <c r="I1310" s="6" t="s">
        <v>6196</v>
      </c>
      <c r="J1310" s="6" t="s">
        <v>6595</v>
      </c>
      <c r="K1310" s="6" t="s">
        <v>6606</v>
      </c>
      <c r="L1310" s="6" t="s">
        <v>5144</v>
      </c>
      <c r="M1310" s="6" t="s">
        <v>6597</v>
      </c>
      <c r="N1310" s="6" t="s">
        <v>6183</v>
      </c>
      <c r="O1310" s="6" t="s">
        <v>5203</v>
      </c>
      <c r="P1310" s="6"/>
      <c r="Q1310" s="8">
        <v>85</v>
      </c>
      <c r="R1310" s="8">
        <v>85.254999999999995</v>
      </c>
      <c r="S1310" s="8">
        <v>169.9</v>
      </c>
      <c r="T1310" s="8">
        <v>16</v>
      </c>
      <c r="U1310" s="8"/>
      <c r="V1310" s="8">
        <v>0</v>
      </c>
      <c r="W1310" s="12">
        <v>0</v>
      </c>
      <c r="Y1310">
        <v>0</v>
      </c>
    </row>
    <row r="1311" spans="1:25" ht="40" customHeight="1">
      <c r="A1311" s="6" t="s">
        <v>6607</v>
      </c>
      <c r="B1311" s="6" t="s">
        <v>6608</v>
      </c>
      <c r="C1311" s="6" t="s">
        <v>6609</v>
      </c>
      <c r="D1311" s="6" t="s">
        <v>6610</v>
      </c>
      <c r="E1311" s="6" t="s">
        <v>6611</v>
      </c>
      <c r="F1311" s="6"/>
      <c r="G1311" s="6" t="s">
        <v>6612</v>
      </c>
      <c r="H1311" s="6" t="s">
        <v>215</v>
      </c>
      <c r="I1311" s="6" t="s">
        <v>6196</v>
      </c>
      <c r="J1311" s="6" t="s">
        <v>6405</v>
      </c>
      <c r="K1311" s="6" t="s">
        <v>6613</v>
      </c>
      <c r="L1311" s="6" t="s">
        <v>5144</v>
      </c>
      <c r="M1311" s="6" t="s">
        <v>6614</v>
      </c>
      <c r="N1311" s="6" t="s">
        <v>6183</v>
      </c>
      <c r="O1311" s="6" t="s">
        <v>6355</v>
      </c>
      <c r="P1311" s="6"/>
      <c r="Q1311" s="8">
        <v>75</v>
      </c>
      <c r="R1311" s="8">
        <v>75.224999999999994</v>
      </c>
      <c r="S1311" s="8">
        <v>149.9</v>
      </c>
      <c r="T1311" s="8">
        <v>16</v>
      </c>
      <c r="U1311" s="8"/>
      <c r="V1311" s="8">
        <v>0</v>
      </c>
      <c r="W1311" s="12">
        <v>0</v>
      </c>
      <c r="Y1311">
        <v>0</v>
      </c>
    </row>
    <row r="1312" spans="1:25" ht="40" customHeight="1">
      <c r="A1312" s="6" t="s">
        <v>6615</v>
      </c>
      <c r="B1312" s="6" t="s">
        <v>6616</v>
      </c>
      <c r="C1312" s="6" t="s">
        <v>6609</v>
      </c>
      <c r="D1312" s="6" t="s">
        <v>6617</v>
      </c>
      <c r="E1312" s="6" t="s">
        <v>6618</v>
      </c>
      <c r="F1312" s="6"/>
      <c r="G1312" s="6" t="s">
        <v>6612</v>
      </c>
      <c r="H1312" s="6" t="s">
        <v>215</v>
      </c>
      <c r="I1312" s="6" t="s">
        <v>6196</v>
      </c>
      <c r="J1312" s="6" t="s">
        <v>6405</v>
      </c>
      <c r="K1312" s="6" t="s">
        <v>6619</v>
      </c>
      <c r="L1312" s="6" t="s">
        <v>5144</v>
      </c>
      <c r="M1312" s="6" t="s">
        <v>6614</v>
      </c>
      <c r="N1312" s="6" t="s">
        <v>6183</v>
      </c>
      <c r="O1312" s="6" t="s">
        <v>6355</v>
      </c>
      <c r="P1312" s="6"/>
      <c r="Q1312" s="8">
        <v>75</v>
      </c>
      <c r="R1312" s="8">
        <v>75.224999999999994</v>
      </c>
      <c r="S1312" s="8">
        <v>149.9</v>
      </c>
      <c r="T1312" s="8">
        <v>16</v>
      </c>
      <c r="U1312" s="8"/>
      <c r="V1312" s="8">
        <v>0</v>
      </c>
      <c r="W1312" s="12">
        <v>0</v>
      </c>
      <c r="Y1312">
        <v>0</v>
      </c>
    </row>
    <row r="1313" spans="1:25" ht="40" customHeight="1">
      <c r="A1313" s="6" t="s">
        <v>6620</v>
      </c>
      <c r="B1313" s="6" t="s">
        <v>6621</v>
      </c>
      <c r="C1313" s="6" t="s">
        <v>6609</v>
      </c>
      <c r="D1313" s="6" t="s">
        <v>6256</v>
      </c>
      <c r="E1313" s="6" t="s">
        <v>6622</v>
      </c>
      <c r="F1313" s="6"/>
      <c r="G1313" s="6" t="s">
        <v>6612</v>
      </c>
      <c r="H1313" s="6" t="s">
        <v>215</v>
      </c>
      <c r="I1313" s="6" t="s">
        <v>6196</v>
      </c>
      <c r="J1313" s="6" t="s">
        <v>6405</v>
      </c>
      <c r="K1313" s="6" t="s">
        <v>6623</v>
      </c>
      <c r="L1313" s="6" t="s">
        <v>5144</v>
      </c>
      <c r="M1313" s="6" t="s">
        <v>6614</v>
      </c>
      <c r="N1313" s="6" t="s">
        <v>6183</v>
      </c>
      <c r="O1313" s="6" t="s">
        <v>6355</v>
      </c>
      <c r="P1313" s="6"/>
      <c r="Q1313" s="8">
        <v>75</v>
      </c>
      <c r="R1313" s="8">
        <v>75.224999999999994</v>
      </c>
      <c r="S1313" s="8">
        <v>149.9</v>
      </c>
      <c r="T1313" s="8">
        <v>16</v>
      </c>
      <c r="U1313" s="8"/>
      <c r="V1313" s="8">
        <v>0</v>
      </c>
      <c r="W1313" s="12">
        <v>0</v>
      </c>
      <c r="Y1313">
        <v>0</v>
      </c>
    </row>
    <row r="1314" spans="1:25" ht="40" customHeight="1">
      <c r="A1314" s="6" t="s">
        <v>6624</v>
      </c>
      <c r="B1314" s="6" t="s">
        <v>6625</v>
      </c>
      <c r="C1314" s="6" t="s">
        <v>6626</v>
      </c>
      <c r="D1314" s="6" t="s">
        <v>64</v>
      </c>
      <c r="E1314" s="6" t="s">
        <v>6627</v>
      </c>
      <c r="F1314" s="6"/>
      <c r="G1314" s="6" t="s">
        <v>6628</v>
      </c>
      <c r="H1314" s="6" t="s">
        <v>6629</v>
      </c>
      <c r="I1314" s="6" t="s">
        <v>6196</v>
      </c>
      <c r="J1314" s="6" t="s">
        <v>6630</v>
      </c>
      <c r="K1314" s="6" t="s">
        <v>6631</v>
      </c>
      <c r="L1314" s="6" t="s">
        <v>54</v>
      </c>
      <c r="M1314" s="6" t="s">
        <v>54</v>
      </c>
      <c r="N1314" s="6" t="s">
        <v>6183</v>
      </c>
      <c r="O1314" s="6" t="s">
        <v>6632</v>
      </c>
      <c r="P1314" s="6"/>
      <c r="Q1314" s="8">
        <v>110</v>
      </c>
      <c r="R1314" s="8">
        <v>110.33</v>
      </c>
      <c r="S1314" s="8">
        <v>219.9</v>
      </c>
      <c r="T1314" s="8">
        <v>16</v>
      </c>
      <c r="U1314" s="8"/>
      <c r="V1314" s="8">
        <v>0</v>
      </c>
      <c r="W1314" s="12">
        <v>0</v>
      </c>
      <c r="Y1314">
        <v>0</v>
      </c>
    </row>
    <row r="1315" spans="1:25" ht="40" customHeight="1">
      <c r="A1315" s="6" t="s">
        <v>6633</v>
      </c>
      <c r="B1315" s="6" t="s">
        <v>6634</v>
      </c>
      <c r="C1315" s="6" t="s">
        <v>6626</v>
      </c>
      <c r="D1315" s="6" t="s">
        <v>1842</v>
      </c>
      <c r="E1315" s="6" t="s">
        <v>6635</v>
      </c>
      <c r="F1315" s="6"/>
      <c r="G1315" s="6" t="s">
        <v>6628</v>
      </c>
      <c r="H1315" s="6" t="s">
        <v>6629</v>
      </c>
      <c r="I1315" s="6" t="s">
        <v>6196</v>
      </c>
      <c r="J1315" s="6" t="s">
        <v>6630</v>
      </c>
      <c r="K1315" s="6" t="s">
        <v>6636</v>
      </c>
      <c r="L1315" s="6" t="s">
        <v>54</v>
      </c>
      <c r="M1315" s="6" t="s">
        <v>54</v>
      </c>
      <c r="N1315" s="6" t="s">
        <v>6183</v>
      </c>
      <c r="O1315" s="6" t="s">
        <v>6632</v>
      </c>
      <c r="P1315" s="6"/>
      <c r="Q1315" s="8">
        <v>110</v>
      </c>
      <c r="R1315" s="8">
        <v>110.33</v>
      </c>
      <c r="S1315" s="8">
        <v>219.9</v>
      </c>
      <c r="T1315" s="8">
        <v>16</v>
      </c>
      <c r="U1315" s="8"/>
      <c r="V1315" s="8">
        <v>0</v>
      </c>
      <c r="W1315" s="12">
        <v>0</v>
      </c>
      <c r="Y1315">
        <v>0</v>
      </c>
    </row>
    <row r="1316" spans="1:25" ht="40" customHeight="1">
      <c r="A1316" s="6" t="s">
        <v>6637</v>
      </c>
      <c r="B1316" s="6" t="s">
        <v>6638</v>
      </c>
      <c r="C1316" s="6" t="s">
        <v>6626</v>
      </c>
      <c r="D1316" s="6" t="s">
        <v>918</v>
      </c>
      <c r="E1316" s="6" t="s">
        <v>6639</v>
      </c>
      <c r="F1316" s="6"/>
      <c r="G1316" s="6" t="s">
        <v>6628</v>
      </c>
      <c r="H1316" s="6" t="s">
        <v>6629</v>
      </c>
      <c r="I1316" s="6" t="s">
        <v>6196</v>
      </c>
      <c r="J1316" s="6" t="s">
        <v>6630</v>
      </c>
      <c r="K1316" s="6" t="s">
        <v>6640</v>
      </c>
      <c r="L1316" s="6" t="s">
        <v>54</v>
      </c>
      <c r="M1316" s="6" t="s">
        <v>54</v>
      </c>
      <c r="N1316" s="6" t="s">
        <v>6183</v>
      </c>
      <c r="O1316" s="6" t="s">
        <v>6632</v>
      </c>
      <c r="P1316" s="6"/>
      <c r="Q1316" s="8">
        <v>110</v>
      </c>
      <c r="R1316" s="8">
        <v>110.33</v>
      </c>
      <c r="S1316" s="8">
        <v>219.9</v>
      </c>
      <c r="T1316" s="8">
        <v>16</v>
      </c>
      <c r="U1316" s="8"/>
      <c r="V1316" s="8">
        <v>0</v>
      </c>
      <c r="W1316" s="12">
        <v>0</v>
      </c>
      <c r="Y1316">
        <v>0</v>
      </c>
    </row>
    <row r="1317" spans="1:25" ht="40" customHeight="1">
      <c r="A1317" s="6" t="s">
        <v>6641</v>
      </c>
      <c r="B1317" s="6" t="s">
        <v>6642</v>
      </c>
      <c r="C1317" s="6" t="s">
        <v>6643</v>
      </c>
      <c r="D1317" s="6" t="s">
        <v>27</v>
      </c>
      <c r="E1317" s="6" t="s">
        <v>6644</v>
      </c>
      <c r="F1317" s="6"/>
      <c r="G1317" s="6" t="s">
        <v>5417</v>
      </c>
      <c r="H1317" s="6" t="s">
        <v>215</v>
      </c>
      <c r="I1317" s="6" t="s">
        <v>6196</v>
      </c>
      <c r="J1317" s="6" t="s">
        <v>6645</v>
      </c>
      <c r="K1317" s="6" t="s">
        <v>6455</v>
      </c>
      <c r="L1317" s="6" t="s">
        <v>54</v>
      </c>
      <c r="M1317" s="6" t="s">
        <v>54</v>
      </c>
      <c r="N1317" s="6" t="s">
        <v>6183</v>
      </c>
      <c r="O1317" s="6" t="s">
        <v>6646</v>
      </c>
      <c r="P1317" s="6"/>
      <c r="Q1317" s="8">
        <v>80</v>
      </c>
      <c r="R1317" s="8">
        <v>80.239999999999995</v>
      </c>
      <c r="S1317" s="8">
        <v>159.9</v>
      </c>
      <c r="T1317" s="8">
        <v>16</v>
      </c>
      <c r="U1317" s="8"/>
      <c r="V1317" s="8">
        <v>0</v>
      </c>
      <c r="W1317" s="12">
        <v>0</v>
      </c>
      <c r="Y1317">
        <v>0</v>
      </c>
    </row>
    <row r="1318" spans="1:25" ht="40" customHeight="1">
      <c r="A1318" s="6" t="s">
        <v>6647</v>
      </c>
      <c r="B1318" s="6" t="s">
        <v>6648</v>
      </c>
      <c r="C1318" s="6" t="s">
        <v>6643</v>
      </c>
      <c r="D1318" s="6" t="s">
        <v>147</v>
      </c>
      <c r="E1318" s="6" t="s">
        <v>6649</v>
      </c>
      <c r="F1318" s="6"/>
      <c r="G1318" s="6" t="s">
        <v>5417</v>
      </c>
      <c r="H1318" s="6" t="s">
        <v>215</v>
      </c>
      <c r="I1318" s="6" t="s">
        <v>6196</v>
      </c>
      <c r="J1318" s="6" t="s">
        <v>6645</v>
      </c>
      <c r="K1318" s="6" t="s">
        <v>6650</v>
      </c>
      <c r="L1318" s="6" t="s">
        <v>54</v>
      </c>
      <c r="M1318" s="6" t="s">
        <v>54</v>
      </c>
      <c r="N1318" s="6" t="s">
        <v>6183</v>
      </c>
      <c r="O1318" s="6" t="s">
        <v>6646</v>
      </c>
      <c r="P1318" s="6"/>
      <c r="Q1318" s="8">
        <v>80</v>
      </c>
      <c r="R1318" s="8">
        <v>80.239999999999995</v>
      </c>
      <c r="S1318" s="8">
        <v>159.9</v>
      </c>
      <c r="T1318" s="8">
        <v>16</v>
      </c>
      <c r="U1318" s="8"/>
      <c r="V1318" s="8">
        <v>0</v>
      </c>
      <c r="W1318" s="12">
        <v>0</v>
      </c>
      <c r="Y1318">
        <v>0</v>
      </c>
    </row>
    <row r="1319" spans="1:25" ht="40" customHeight="1">
      <c r="A1319" s="6" t="s">
        <v>6651</v>
      </c>
      <c r="B1319" s="6" t="s">
        <v>6652</v>
      </c>
      <c r="C1319" s="6" t="s">
        <v>6643</v>
      </c>
      <c r="D1319" s="6" t="s">
        <v>561</v>
      </c>
      <c r="E1319" s="6" t="s">
        <v>6653</v>
      </c>
      <c r="F1319" s="6"/>
      <c r="G1319" s="6" t="s">
        <v>5417</v>
      </c>
      <c r="H1319" s="6" t="s">
        <v>215</v>
      </c>
      <c r="I1319" s="6" t="s">
        <v>6196</v>
      </c>
      <c r="J1319" s="6" t="s">
        <v>6645</v>
      </c>
      <c r="K1319" s="6" t="s">
        <v>6654</v>
      </c>
      <c r="L1319" s="6" t="s">
        <v>54</v>
      </c>
      <c r="M1319" s="6" t="s">
        <v>54</v>
      </c>
      <c r="N1319" s="6" t="s">
        <v>6183</v>
      </c>
      <c r="O1319" s="6" t="s">
        <v>6646</v>
      </c>
      <c r="P1319" s="6"/>
      <c r="Q1319" s="8">
        <v>80</v>
      </c>
      <c r="R1319" s="8">
        <v>80.239999999999995</v>
      </c>
      <c r="S1319" s="8">
        <v>159.9</v>
      </c>
      <c r="T1319" s="8">
        <v>16</v>
      </c>
      <c r="U1319" s="8"/>
      <c r="V1319" s="8">
        <v>0</v>
      </c>
      <c r="W1319" s="12">
        <v>0</v>
      </c>
      <c r="Y1319">
        <v>0</v>
      </c>
    </row>
    <row r="1320" spans="1:25" ht="40" customHeight="1">
      <c r="A1320" s="6" t="s">
        <v>6655</v>
      </c>
      <c r="B1320" s="6" t="s">
        <v>6656</v>
      </c>
      <c r="C1320" s="6" t="s">
        <v>6643</v>
      </c>
      <c r="D1320" s="6" t="s">
        <v>605</v>
      </c>
      <c r="E1320" s="6" t="s">
        <v>6657</v>
      </c>
      <c r="F1320" s="6"/>
      <c r="G1320" s="6" t="s">
        <v>5417</v>
      </c>
      <c r="H1320" s="6" t="s">
        <v>215</v>
      </c>
      <c r="I1320" s="6" t="s">
        <v>6196</v>
      </c>
      <c r="J1320" s="6" t="s">
        <v>6645</v>
      </c>
      <c r="K1320" s="6" t="s">
        <v>6658</v>
      </c>
      <c r="L1320" s="6" t="s">
        <v>54</v>
      </c>
      <c r="M1320" s="6" t="s">
        <v>54</v>
      </c>
      <c r="N1320" s="6" t="s">
        <v>6183</v>
      </c>
      <c r="O1320" s="6" t="s">
        <v>6646</v>
      </c>
      <c r="P1320" s="6"/>
      <c r="Q1320" s="8">
        <v>80</v>
      </c>
      <c r="R1320" s="8">
        <v>80.239999999999995</v>
      </c>
      <c r="S1320" s="8">
        <v>159.9</v>
      </c>
      <c r="T1320" s="8">
        <v>16</v>
      </c>
      <c r="U1320" s="8"/>
      <c r="V1320" s="8">
        <v>0</v>
      </c>
      <c r="W1320" s="12">
        <v>0</v>
      </c>
      <c r="Y1320">
        <v>0</v>
      </c>
    </row>
    <row r="1321" spans="1:25" ht="40" customHeight="1">
      <c r="A1321" s="6" t="s">
        <v>6659</v>
      </c>
      <c r="B1321" s="6" t="s">
        <v>6660</v>
      </c>
      <c r="C1321" s="6" t="s">
        <v>6661</v>
      </c>
      <c r="D1321" s="6" t="s">
        <v>27</v>
      </c>
      <c r="E1321" s="6" t="s">
        <v>6662</v>
      </c>
      <c r="F1321" s="6"/>
      <c r="G1321" s="6" t="s">
        <v>6628</v>
      </c>
      <c r="H1321" s="6" t="s">
        <v>6663</v>
      </c>
      <c r="I1321" s="6" t="s">
        <v>6196</v>
      </c>
      <c r="J1321" s="6" t="s">
        <v>6664</v>
      </c>
      <c r="K1321" s="8"/>
      <c r="L1321" s="8"/>
      <c r="M1321" s="8"/>
      <c r="N1321" s="8"/>
      <c r="O1321" s="8"/>
      <c r="P1321" s="8"/>
      <c r="Q1321" s="8">
        <v>115</v>
      </c>
      <c r="R1321" s="8">
        <v>115.345</v>
      </c>
      <c r="S1321" s="8">
        <v>229.9</v>
      </c>
      <c r="T1321" s="8">
        <v>16</v>
      </c>
      <c r="U1321" s="8"/>
      <c r="V1321" s="8">
        <v>0</v>
      </c>
      <c r="W1321" s="12">
        <v>0</v>
      </c>
      <c r="Y1321">
        <v>0</v>
      </c>
    </row>
    <row r="1322" spans="1:25" ht="40" customHeight="1">
      <c r="A1322" s="6" t="s">
        <v>6659</v>
      </c>
      <c r="B1322" s="6" t="s">
        <v>6665</v>
      </c>
      <c r="C1322" s="6" t="s">
        <v>6661</v>
      </c>
      <c r="D1322" s="6" t="s">
        <v>27</v>
      </c>
      <c r="E1322" s="6" t="s">
        <v>6666</v>
      </c>
      <c r="F1322" s="6"/>
      <c r="G1322" s="6" t="s">
        <v>6628</v>
      </c>
      <c r="H1322" s="6" t="s">
        <v>6663</v>
      </c>
      <c r="I1322" s="6" t="s">
        <v>6196</v>
      </c>
      <c r="J1322" s="6" t="s">
        <v>6664</v>
      </c>
      <c r="K1322" s="8"/>
      <c r="L1322" s="8"/>
      <c r="M1322" s="8"/>
      <c r="N1322" s="8"/>
      <c r="O1322" s="8"/>
      <c r="P1322" s="8"/>
      <c r="Q1322" s="8">
        <v>125</v>
      </c>
      <c r="R1322" s="8">
        <v>125.375</v>
      </c>
      <c r="S1322" s="8">
        <v>249.9</v>
      </c>
      <c r="T1322" s="8">
        <v>16</v>
      </c>
      <c r="U1322" s="8"/>
      <c r="V1322" s="8">
        <v>0</v>
      </c>
      <c r="W1322" s="12">
        <v>0</v>
      </c>
      <c r="Y1322">
        <v>0</v>
      </c>
    </row>
    <row r="1323" spans="1:25" ht="40" customHeight="1">
      <c r="A1323" s="6" t="s">
        <v>6667</v>
      </c>
      <c r="B1323" s="6" t="s">
        <v>6668</v>
      </c>
      <c r="C1323" s="6" t="s">
        <v>6661</v>
      </c>
      <c r="D1323" s="6" t="s">
        <v>3352</v>
      </c>
      <c r="E1323" s="6" t="s">
        <v>6669</v>
      </c>
      <c r="F1323" s="6"/>
      <c r="G1323" s="6" t="s">
        <v>6628</v>
      </c>
      <c r="H1323" s="6" t="s">
        <v>6663</v>
      </c>
      <c r="I1323" s="6" t="s">
        <v>6196</v>
      </c>
      <c r="J1323" s="6" t="s">
        <v>6664</v>
      </c>
      <c r="K1323" s="6" t="s">
        <v>6670</v>
      </c>
      <c r="L1323" s="6" t="s">
        <v>6671</v>
      </c>
      <c r="M1323" s="6" t="s">
        <v>6672</v>
      </c>
      <c r="N1323" s="6" t="s">
        <v>6183</v>
      </c>
      <c r="O1323" s="6" t="s">
        <v>6673</v>
      </c>
      <c r="P1323" s="6" t="s">
        <v>2932</v>
      </c>
      <c r="Q1323" s="8">
        <v>115</v>
      </c>
      <c r="R1323" s="8">
        <v>115.345</v>
      </c>
      <c r="S1323" s="8">
        <v>229.9</v>
      </c>
      <c r="T1323" s="8">
        <v>16</v>
      </c>
      <c r="U1323" s="8"/>
      <c r="V1323" s="8">
        <v>0</v>
      </c>
      <c r="W1323" s="12">
        <v>0</v>
      </c>
      <c r="Y1323">
        <v>0</v>
      </c>
    </row>
    <row r="1324" spans="1:25" ht="40" customHeight="1">
      <c r="A1324" s="6" t="s">
        <v>6667</v>
      </c>
      <c r="B1324" s="6" t="s">
        <v>6674</v>
      </c>
      <c r="C1324" s="6" t="s">
        <v>6661</v>
      </c>
      <c r="D1324" s="6" t="s">
        <v>3352</v>
      </c>
      <c r="E1324" s="6" t="s">
        <v>6675</v>
      </c>
      <c r="F1324" s="6"/>
      <c r="G1324" s="6" t="s">
        <v>6628</v>
      </c>
      <c r="H1324" s="6" t="s">
        <v>6663</v>
      </c>
      <c r="I1324" s="6" t="s">
        <v>6196</v>
      </c>
      <c r="J1324" s="6" t="s">
        <v>6664</v>
      </c>
      <c r="K1324" s="8"/>
      <c r="L1324" s="8"/>
      <c r="M1324" s="8"/>
      <c r="N1324" s="8"/>
      <c r="O1324" s="8"/>
      <c r="P1324" s="8"/>
      <c r="Q1324" s="8">
        <v>125</v>
      </c>
      <c r="R1324" s="8">
        <v>125.375</v>
      </c>
      <c r="S1324" s="8">
        <v>249.9</v>
      </c>
      <c r="T1324" s="8">
        <v>16</v>
      </c>
      <c r="U1324" s="8"/>
      <c r="V1324" s="8">
        <v>0</v>
      </c>
      <c r="W1324" s="12">
        <v>0</v>
      </c>
      <c r="Y1324">
        <v>0</v>
      </c>
    </row>
    <row r="1325" spans="1:25" ht="40" customHeight="1">
      <c r="A1325" s="6" t="s">
        <v>6676</v>
      </c>
      <c r="B1325" s="6" t="s">
        <v>6677</v>
      </c>
      <c r="C1325" s="6" t="s">
        <v>6661</v>
      </c>
      <c r="D1325" s="6" t="s">
        <v>6678</v>
      </c>
      <c r="E1325" s="6" t="s">
        <v>6679</v>
      </c>
      <c r="F1325" s="6"/>
      <c r="G1325" s="6" t="s">
        <v>6628</v>
      </c>
      <c r="H1325" s="6" t="s">
        <v>6663</v>
      </c>
      <c r="I1325" s="6" t="s">
        <v>6196</v>
      </c>
      <c r="J1325" s="6" t="s">
        <v>6664</v>
      </c>
      <c r="K1325" s="6" t="s">
        <v>6680</v>
      </c>
      <c r="L1325" s="6" t="s">
        <v>6671</v>
      </c>
      <c r="M1325" s="6" t="s">
        <v>6672</v>
      </c>
      <c r="N1325" s="6" t="s">
        <v>6183</v>
      </c>
      <c r="O1325" s="6" t="s">
        <v>6673</v>
      </c>
      <c r="P1325" s="6" t="s">
        <v>2932</v>
      </c>
      <c r="Q1325" s="8">
        <v>115</v>
      </c>
      <c r="R1325" s="8">
        <v>115.345</v>
      </c>
      <c r="S1325" s="8">
        <v>229.9</v>
      </c>
      <c r="T1325" s="8">
        <v>16</v>
      </c>
      <c r="U1325" s="8"/>
      <c r="V1325" s="8">
        <v>0</v>
      </c>
      <c r="W1325" s="12">
        <v>0</v>
      </c>
      <c r="Y1325">
        <v>0</v>
      </c>
    </row>
    <row r="1326" spans="1:25" ht="40" customHeight="1">
      <c r="A1326" s="6" t="s">
        <v>6676</v>
      </c>
      <c r="B1326" s="6" t="s">
        <v>6681</v>
      </c>
      <c r="C1326" s="6" t="s">
        <v>6661</v>
      </c>
      <c r="D1326" s="6" t="s">
        <v>6678</v>
      </c>
      <c r="E1326" s="6" t="s">
        <v>6682</v>
      </c>
      <c r="F1326" s="6"/>
      <c r="G1326" s="6" t="s">
        <v>6628</v>
      </c>
      <c r="H1326" s="6" t="s">
        <v>6663</v>
      </c>
      <c r="I1326" s="6" t="s">
        <v>6196</v>
      </c>
      <c r="J1326" s="6" t="s">
        <v>6664</v>
      </c>
      <c r="K1326" s="8"/>
      <c r="L1326" s="8"/>
      <c r="M1326" s="8"/>
      <c r="N1326" s="8"/>
      <c r="O1326" s="8"/>
      <c r="P1326" s="8"/>
      <c r="Q1326" s="8">
        <v>125</v>
      </c>
      <c r="R1326" s="8">
        <v>125.375</v>
      </c>
      <c r="S1326" s="8">
        <v>249.9</v>
      </c>
      <c r="T1326" s="8">
        <v>16</v>
      </c>
      <c r="U1326" s="8"/>
      <c r="V1326" s="8">
        <v>0</v>
      </c>
      <c r="W1326" s="12">
        <v>0</v>
      </c>
      <c r="Y1326">
        <v>0</v>
      </c>
    </row>
    <row r="1327" spans="1:25" ht="40" customHeight="1">
      <c r="A1327" s="6" t="s">
        <v>6683</v>
      </c>
      <c r="B1327" s="6" t="s">
        <v>6684</v>
      </c>
      <c r="C1327" s="6" t="s">
        <v>6685</v>
      </c>
      <c r="D1327" s="6" t="s">
        <v>147</v>
      </c>
      <c r="E1327" s="6" t="s">
        <v>6686</v>
      </c>
      <c r="F1327" s="6"/>
      <c r="G1327" s="6" t="s">
        <v>6687</v>
      </c>
      <c r="H1327" s="6" t="s">
        <v>215</v>
      </c>
      <c r="I1327" s="6" t="s">
        <v>6196</v>
      </c>
      <c r="J1327" s="6" t="s">
        <v>6688</v>
      </c>
      <c r="K1327" s="6" t="s">
        <v>6689</v>
      </c>
      <c r="L1327" s="6" t="s">
        <v>54</v>
      </c>
      <c r="M1327" s="6" t="s">
        <v>54</v>
      </c>
      <c r="N1327" s="6" t="s">
        <v>6183</v>
      </c>
      <c r="O1327" s="6" t="s">
        <v>6690</v>
      </c>
      <c r="P1327" s="6"/>
      <c r="Q1327" s="8">
        <v>125</v>
      </c>
      <c r="R1327" s="8">
        <v>125.375</v>
      </c>
      <c r="S1327" s="8">
        <v>249.9</v>
      </c>
      <c r="T1327" s="8">
        <v>16</v>
      </c>
      <c r="U1327" s="8"/>
      <c r="V1327" s="8">
        <v>0</v>
      </c>
      <c r="W1327" s="12">
        <v>0</v>
      </c>
      <c r="Y1327">
        <v>0</v>
      </c>
    </row>
    <row r="1328" spans="1:25" ht="40" customHeight="1">
      <c r="A1328" s="6" t="s">
        <v>6691</v>
      </c>
      <c r="B1328" s="6" t="s">
        <v>6692</v>
      </c>
      <c r="C1328" s="6" t="s">
        <v>6685</v>
      </c>
      <c r="D1328" s="6" t="s">
        <v>3352</v>
      </c>
      <c r="E1328" s="6" t="s">
        <v>6693</v>
      </c>
      <c r="F1328" s="6"/>
      <c r="G1328" s="6" t="s">
        <v>6687</v>
      </c>
      <c r="H1328" s="6" t="s">
        <v>215</v>
      </c>
      <c r="I1328" s="6" t="s">
        <v>6196</v>
      </c>
      <c r="J1328" s="6" t="s">
        <v>6688</v>
      </c>
      <c r="K1328" s="6" t="s">
        <v>6694</v>
      </c>
      <c r="L1328" s="6" t="s">
        <v>54</v>
      </c>
      <c r="M1328" s="6" t="s">
        <v>54</v>
      </c>
      <c r="N1328" s="6" t="s">
        <v>6183</v>
      </c>
      <c r="O1328" s="6" t="s">
        <v>6690</v>
      </c>
      <c r="P1328" s="6"/>
      <c r="Q1328" s="8">
        <v>125</v>
      </c>
      <c r="R1328" s="8">
        <v>125.375</v>
      </c>
      <c r="S1328" s="8">
        <v>249.9</v>
      </c>
      <c r="T1328" s="8">
        <v>16</v>
      </c>
      <c r="U1328" s="8"/>
      <c r="V1328" s="8">
        <v>0</v>
      </c>
      <c r="W1328" s="12">
        <v>0</v>
      </c>
      <c r="Y1328">
        <v>0</v>
      </c>
    </row>
    <row r="1329" spans="1:25" ht="40" customHeight="1">
      <c r="A1329" s="6" t="s">
        <v>6695</v>
      </c>
      <c r="B1329" s="6" t="s">
        <v>6696</v>
      </c>
      <c r="C1329" s="6" t="s">
        <v>6685</v>
      </c>
      <c r="D1329" s="6" t="s">
        <v>6697</v>
      </c>
      <c r="E1329" s="6" t="s">
        <v>6698</v>
      </c>
      <c r="F1329" s="6"/>
      <c r="G1329" s="6" t="s">
        <v>6687</v>
      </c>
      <c r="H1329" s="6" t="s">
        <v>215</v>
      </c>
      <c r="I1329" s="6" t="s">
        <v>6196</v>
      </c>
      <c r="J1329" s="6" t="s">
        <v>6688</v>
      </c>
      <c r="K1329" s="6" t="s">
        <v>6699</v>
      </c>
      <c r="L1329" s="6" t="s">
        <v>54</v>
      </c>
      <c r="M1329" s="6" t="s">
        <v>54</v>
      </c>
      <c r="N1329" s="6" t="s">
        <v>6183</v>
      </c>
      <c r="O1329" s="6" t="s">
        <v>6690</v>
      </c>
      <c r="P1329" s="6"/>
      <c r="Q1329" s="8">
        <v>125</v>
      </c>
      <c r="R1329" s="8">
        <v>125.375</v>
      </c>
      <c r="S1329" s="8">
        <v>249.9</v>
      </c>
      <c r="T1329" s="8">
        <v>16</v>
      </c>
      <c r="U1329" s="8"/>
      <c r="V1329" s="8">
        <v>0</v>
      </c>
      <c r="W1329" s="12">
        <v>0</v>
      </c>
      <c r="Y1329">
        <v>0</v>
      </c>
    </row>
    <row r="1330" spans="1:25" ht="40" customHeight="1">
      <c r="A1330" s="6" t="s">
        <v>6700</v>
      </c>
      <c r="B1330" s="6" t="s">
        <v>6701</v>
      </c>
      <c r="C1330" s="6" t="s">
        <v>6685</v>
      </c>
      <c r="D1330" s="6" t="s">
        <v>94</v>
      </c>
      <c r="E1330" s="6" t="s">
        <v>6702</v>
      </c>
      <c r="F1330" s="6"/>
      <c r="G1330" s="6" t="s">
        <v>6687</v>
      </c>
      <c r="H1330" s="6" t="s">
        <v>215</v>
      </c>
      <c r="I1330" s="6" t="s">
        <v>6196</v>
      </c>
      <c r="J1330" s="6" t="s">
        <v>6688</v>
      </c>
      <c r="K1330" s="6" t="s">
        <v>6703</v>
      </c>
      <c r="L1330" s="6" t="s">
        <v>54</v>
      </c>
      <c r="M1330" s="6" t="s">
        <v>54</v>
      </c>
      <c r="N1330" s="6" t="s">
        <v>6183</v>
      </c>
      <c r="O1330" s="6" t="s">
        <v>6690</v>
      </c>
      <c r="P1330" s="6"/>
      <c r="Q1330" s="8">
        <v>125</v>
      </c>
      <c r="R1330" s="8">
        <v>125.375</v>
      </c>
      <c r="S1330" s="8">
        <v>249.9</v>
      </c>
      <c r="T1330" s="8">
        <v>16</v>
      </c>
      <c r="U1330" s="8"/>
      <c r="V1330" s="8">
        <v>0</v>
      </c>
      <c r="W1330" s="12">
        <v>0</v>
      </c>
      <c r="Y1330">
        <v>0</v>
      </c>
    </row>
    <row r="1331" spans="1:25" ht="40" customHeight="1">
      <c r="A1331" s="6" t="s">
        <v>6704</v>
      </c>
      <c r="B1331" s="6" t="s">
        <v>6705</v>
      </c>
      <c r="C1331" s="6" t="s">
        <v>6706</v>
      </c>
      <c r="D1331" s="6" t="s">
        <v>27</v>
      </c>
      <c r="E1331" s="6" t="s">
        <v>6707</v>
      </c>
      <c r="F1331" s="6"/>
      <c r="G1331" s="6" t="s">
        <v>5482</v>
      </c>
      <c r="H1331" s="6" t="s">
        <v>215</v>
      </c>
      <c r="I1331" s="6" t="s">
        <v>6196</v>
      </c>
      <c r="J1331" s="6" t="s">
        <v>6708</v>
      </c>
      <c r="K1331" s="6" t="s">
        <v>6709</v>
      </c>
      <c r="L1331" s="6" t="s">
        <v>54</v>
      </c>
      <c r="M1331" s="6" t="s">
        <v>54</v>
      </c>
      <c r="N1331" s="6" t="s">
        <v>6183</v>
      </c>
      <c r="O1331" s="6" t="s">
        <v>6710</v>
      </c>
      <c r="P1331" s="6"/>
      <c r="Q1331" s="8">
        <v>100</v>
      </c>
      <c r="R1331" s="8">
        <v>100.3</v>
      </c>
      <c r="S1331" s="8">
        <v>199.9</v>
      </c>
      <c r="T1331" s="8">
        <v>16</v>
      </c>
      <c r="U1331" s="8"/>
      <c r="V1331" s="8">
        <v>0</v>
      </c>
      <c r="W1331" s="12">
        <v>0</v>
      </c>
      <c r="Y1331">
        <v>0</v>
      </c>
    </row>
    <row r="1332" spans="1:25" ht="40" customHeight="1">
      <c r="A1332" s="6" t="s">
        <v>6711</v>
      </c>
      <c r="B1332" s="6" t="s">
        <v>6712</v>
      </c>
      <c r="C1332" s="6" t="s">
        <v>6706</v>
      </c>
      <c r="D1332" s="6" t="s">
        <v>147</v>
      </c>
      <c r="E1332" s="6" t="s">
        <v>6713</v>
      </c>
      <c r="F1332" s="6"/>
      <c r="G1332" s="6" t="s">
        <v>5482</v>
      </c>
      <c r="H1332" s="6" t="s">
        <v>215</v>
      </c>
      <c r="I1332" s="6" t="s">
        <v>6196</v>
      </c>
      <c r="J1332" s="6" t="s">
        <v>6708</v>
      </c>
      <c r="K1332" s="6" t="s">
        <v>6211</v>
      </c>
      <c r="L1332" s="6" t="s">
        <v>54</v>
      </c>
      <c r="M1332" s="6" t="s">
        <v>54</v>
      </c>
      <c r="N1332" s="6" t="s">
        <v>6183</v>
      </c>
      <c r="O1332" s="6" t="s">
        <v>6710</v>
      </c>
      <c r="P1332" s="6"/>
      <c r="Q1332" s="8">
        <v>100</v>
      </c>
      <c r="R1332" s="8">
        <v>100.3</v>
      </c>
      <c r="S1332" s="8">
        <v>199.9</v>
      </c>
      <c r="T1332" s="8">
        <v>16</v>
      </c>
      <c r="U1332" s="8"/>
      <c r="V1332" s="8">
        <v>0</v>
      </c>
      <c r="W1332" s="12">
        <v>0</v>
      </c>
      <c r="Y1332">
        <v>0</v>
      </c>
    </row>
    <row r="1333" spans="1:25" ht="40" customHeight="1">
      <c r="A1333" s="6" t="s">
        <v>6714</v>
      </c>
      <c r="B1333" s="6" t="s">
        <v>6715</v>
      </c>
      <c r="C1333" s="6" t="s">
        <v>6706</v>
      </c>
      <c r="D1333" s="6" t="s">
        <v>1426</v>
      </c>
      <c r="E1333" s="6" t="s">
        <v>6716</v>
      </c>
      <c r="F1333" s="6"/>
      <c r="G1333" s="6" t="s">
        <v>5482</v>
      </c>
      <c r="H1333" s="6" t="s">
        <v>215</v>
      </c>
      <c r="I1333" s="6" t="s">
        <v>6196</v>
      </c>
      <c r="J1333" s="6" t="s">
        <v>6708</v>
      </c>
      <c r="K1333" s="6" t="s">
        <v>6717</v>
      </c>
      <c r="L1333" s="6" t="s">
        <v>54</v>
      </c>
      <c r="M1333" s="6" t="s">
        <v>54</v>
      </c>
      <c r="N1333" s="6" t="s">
        <v>6183</v>
      </c>
      <c r="O1333" s="6" t="s">
        <v>6710</v>
      </c>
      <c r="P1333" s="6"/>
      <c r="Q1333" s="8">
        <v>100</v>
      </c>
      <c r="R1333" s="8">
        <v>100.3</v>
      </c>
      <c r="S1333" s="8">
        <v>199.9</v>
      </c>
      <c r="T1333" s="8">
        <v>16</v>
      </c>
      <c r="U1333" s="8"/>
      <c r="V1333" s="8">
        <v>0</v>
      </c>
      <c r="W1333" s="12">
        <v>0</v>
      </c>
      <c r="Y1333">
        <v>0</v>
      </c>
    </row>
    <row r="1334" spans="1:25" ht="40" customHeight="1">
      <c r="A1334" s="6" t="s">
        <v>6718</v>
      </c>
      <c r="B1334" s="6" t="s">
        <v>6719</v>
      </c>
      <c r="C1334" s="6" t="s">
        <v>6706</v>
      </c>
      <c r="D1334" s="6" t="s">
        <v>89</v>
      </c>
      <c r="E1334" s="6" t="s">
        <v>6720</v>
      </c>
      <c r="F1334" s="6"/>
      <c r="G1334" s="6" t="s">
        <v>5482</v>
      </c>
      <c r="H1334" s="6" t="s">
        <v>215</v>
      </c>
      <c r="I1334" s="6" t="s">
        <v>6196</v>
      </c>
      <c r="J1334" s="6" t="s">
        <v>6708</v>
      </c>
      <c r="K1334" s="6" t="s">
        <v>6721</v>
      </c>
      <c r="L1334" s="6" t="s">
        <v>54</v>
      </c>
      <c r="M1334" s="6" t="s">
        <v>54</v>
      </c>
      <c r="N1334" s="6" t="s">
        <v>6183</v>
      </c>
      <c r="O1334" s="6" t="s">
        <v>6710</v>
      </c>
      <c r="P1334" s="6"/>
      <c r="Q1334" s="8">
        <v>100</v>
      </c>
      <c r="R1334" s="8">
        <v>100.3</v>
      </c>
      <c r="S1334" s="8">
        <v>199.9</v>
      </c>
      <c r="T1334" s="8">
        <v>16</v>
      </c>
      <c r="U1334" s="8"/>
      <c r="V1334" s="8">
        <v>0</v>
      </c>
      <c r="W1334" s="12">
        <v>0</v>
      </c>
      <c r="Y1334">
        <v>0</v>
      </c>
    </row>
    <row r="1335" spans="1:25" ht="40" customHeight="1">
      <c r="A1335" s="6" t="s">
        <v>6722</v>
      </c>
      <c r="B1335" s="6" t="s">
        <v>6723</v>
      </c>
      <c r="C1335" s="6" t="s">
        <v>6706</v>
      </c>
      <c r="D1335" s="6" t="s">
        <v>2644</v>
      </c>
      <c r="E1335" s="6" t="s">
        <v>6724</v>
      </c>
      <c r="F1335" s="6"/>
      <c r="G1335" s="6" t="s">
        <v>5482</v>
      </c>
      <c r="H1335" s="6" t="s">
        <v>215</v>
      </c>
      <c r="I1335" s="6" t="s">
        <v>6196</v>
      </c>
      <c r="J1335" s="6" t="s">
        <v>6708</v>
      </c>
      <c r="K1335" s="6" t="s">
        <v>6725</v>
      </c>
      <c r="L1335" s="6" t="s">
        <v>54</v>
      </c>
      <c r="M1335" s="6" t="s">
        <v>54</v>
      </c>
      <c r="N1335" s="6" t="s">
        <v>6183</v>
      </c>
      <c r="O1335" s="6" t="s">
        <v>6710</v>
      </c>
      <c r="P1335" s="6"/>
      <c r="Q1335" s="8">
        <v>100</v>
      </c>
      <c r="R1335" s="8">
        <v>100.3</v>
      </c>
      <c r="S1335" s="8">
        <v>199.9</v>
      </c>
      <c r="T1335" s="8">
        <v>16</v>
      </c>
      <c r="U1335" s="8"/>
      <c r="V1335" s="8">
        <v>0</v>
      </c>
      <c r="W1335" s="12">
        <v>0</v>
      </c>
      <c r="Y1335">
        <v>0</v>
      </c>
    </row>
    <row r="1336" spans="1:25" ht="40" customHeight="1">
      <c r="A1336" s="6" t="s">
        <v>6726</v>
      </c>
      <c r="B1336" s="6" t="s">
        <v>6727</v>
      </c>
      <c r="C1336" s="6" t="s">
        <v>6728</v>
      </c>
      <c r="D1336" s="6" t="s">
        <v>147</v>
      </c>
      <c r="E1336" s="6" t="s">
        <v>6729</v>
      </c>
      <c r="F1336" s="6"/>
      <c r="G1336" s="6" t="s">
        <v>5482</v>
      </c>
      <c r="H1336" s="6" t="s">
        <v>215</v>
      </c>
      <c r="I1336" s="6" t="s">
        <v>6178</v>
      </c>
      <c r="J1336" s="6" t="s">
        <v>6708</v>
      </c>
      <c r="K1336" s="6" t="s">
        <v>6211</v>
      </c>
      <c r="L1336" s="6" t="s">
        <v>54</v>
      </c>
      <c r="M1336" s="6" t="s">
        <v>54</v>
      </c>
      <c r="N1336" s="6" t="s">
        <v>6183</v>
      </c>
      <c r="O1336" s="6" t="s">
        <v>6710</v>
      </c>
      <c r="P1336" s="6"/>
      <c r="Q1336" s="8">
        <v>90</v>
      </c>
      <c r="R1336" s="8">
        <v>90.27</v>
      </c>
      <c r="S1336" s="8">
        <v>179.9</v>
      </c>
      <c r="T1336" s="8">
        <v>14</v>
      </c>
      <c r="U1336" s="8"/>
      <c r="V1336" s="8">
        <v>0</v>
      </c>
      <c r="W1336" s="12">
        <v>0</v>
      </c>
      <c r="Y1336">
        <v>0</v>
      </c>
    </row>
    <row r="1337" spans="1:25" ht="40" customHeight="1">
      <c r="A1337" s="6" t="s">
        <v>6730</v>
      </c>
      <c r="B1337" s="6" t="s">
        <v>6731</v>
      </c>
      <c r="C1337" s="6" t="s">
        <v>6728</v>
      </c>
      <c r="D1337" s="6" t="s">
        <v>1426</v>
      </c>
      <c r="E1337" s="6" t="s">
        <v>6732</v>
      </c>
      <c r="F1337" s="6"/>
      <c r="G1337" s="6" t="s">
        <v>5482</v>
      </c>
      <c r="H1337" s="6" t="s">
        <v>215</v>
      </c>
      <c r="I1337" s="6" t="s">
        <v>6178</v>
      </c>
      <c r="J1337" s="6" t="s">
        <v>6708</v>
      </c>
      <c r="K1337" s="6" t="s">
        <v>6717</v>
      </c>
      <c r="L1337" s="6" t="s">
        <v>54</v>
      </c>
      <c r="M1337" s="6" t="s">
        <v>54</v>
      </c>
      <c r="N1337" s="6" t="s">
        <v>6183</v>
      </c>
      <c r="O1337" s="6" t="s">
        <v>6710</v>
      </c>
      <c r="P1337" s="6"/>
      <c r="Q1337" s="8">
        <v>90</v>
      </c>
      <c r="R1337" s="8">
        <v>90.27</v>
      </c>
      <c r="S1337" s="8">
        <v>179.9</v>
      </c>
      <c r="T1337" s="8">
        <v>14</v>
      </c>
      <c r="U1337" s="8"/>
      <c r="V1337" s="8">
        <v>0</v>
      </c>
      <c r="W1337" s="12">
        <v>0</v>
      </c>
      <c r="Y1337">
        <v>0</v>
      </c>
    </row>
    <row r="1338" spans="1:25" ht="40" customHeight="1">
      <c r="A1338" s="6" t="s">
        <v>6733</v>
      </c>
      <c r="B1338" s="6" t="s">
        <v>6734</v>
      </c>
      <c r="C1338" s="6" t="s">
        <v>6728</v>
      </c>
      <c r="D1338" s="6" t="s">
        <v>89</v>
      </c>
      <c r="E1338" s="6" t="s">
        <v>6735</v>
      </c>
      <c r="F1338" s="6"/>
      <c r="G1338" s="6" t="s">
        <v>5482</v>
      </c>
      <c r="H1338" s="6" t="s">
        <v>215</v>
      </c>
      <c r="I1338" s="6" t="s">
        <v>6178</v>
      </c>
      <c r="J1338" s="6" t="s">
        <v>6708</v>
      </c>
      <c r="K1338" s="6" t="s">
        <v>6736</v>
      </c>
      <c r="L1338" s="6" t="s">
        <v>54</v>
      </c>
      <c r="M1338" s="6" t="s">
        <v>54</v>
      </c>
      <c r="N1338" s="6" t="s">
        <v>6183</v>
      </c>
      <c r="O1338" s="6" t="s">
        <v>6710</v>
      </c>
      <c r="P1338" s="6"/>
      <c r="Q1338" s="8">
        <v>90</v>
      </c>
      <c r="R1338" s="8">
        <v>90.27</v>
      </c>
      <c r="S1338" s="8">
        <v>179.9</v>
      </c>
      <c r="T1338" s="8">
        <v>14</v>
      </c>
      <c r="U1338" s="8"/>
      <c r="V1338" s="8">
        <v>0</v>
      </c>
      <c r="W1338" s="12">
        <v>0</v>
      </c>
      <c r="Y1338">
        <v>0</v>
      </c>
    </row>
    <row r="1339" spans="1:25" ht="40" customHeight="1">
      <c r="A1339" s="6" t="s">
        <v>6737</v>
      </c>
      <c r="B1339" s="6" t="s">
        <v>6738</v>
      </c>
      <c r="C1339" s="6" t="s">
        <v>6739</v>
      </c>
      <c r="D1339" s="6" t="s">
        <v>6193</v>
      </c>
      <c r="E1339" s="6" t="s">
        <v>6740</v>
      </c>
      <c r="F1339" s="6"/>
      <c r="G1339" s="6" t="s">
        <v>6612</v>
      </c>
      <c r="H1339" s="6" t="s">
        <v>215</v>
      </c>
      <c r="I1339" s="6" t="s">
        <v>6196</v>
      </c>
      <c r="J1339" s="6" t="s">
        <v>6741</v>
      </c>
      <c r="K1339" s="6" t="s">
        <v>6742</v>
      </c>
      <c r="L1339" s="6" t="s">
        <v>54</v>
      </c>
      <c r="M1339" s="6" t="s">
        <v>54</v>
      </c>
      <c r="N1339" s="6" t="s">
        <v>6183</v>
      </c>
      <c r="O1339" s="6" t="s">
        <v>6710</v>
      </c>
      <c r="P1339" s="6"/>
      <c r="Q1339" s="8">
        <v>95</v>
      </c>
      <c r="R1339" s="8">
        <v>95.284999999999997</v>
      </c>
      <c r="S1339" s="8">
        <v>189.9</v>
      </c>
      <c r="T1339" s="8">
        <v>16</v>
      </c>
      <c r="U1339" s="8"/>
      <c r="V1339" s="8">
        <v>0</v>
      </c>
      <c r="W1339" s="12">
        <v>0</v>
      </c>
      <c r="Y1339">
        <v>0</v>
      </c>
    </row>
    <row r="1340" spans="1:25" ht="40" customHeight="1">
      <c r="A1340" s="6" t="s">
        <v>6743</v>
      </c>
      <c r="B1340" s="6" t="s">
        <v>6744</v>
      </c>
      <c r="C1340" s="6" t="s">
        <v>6739</v>
      </c>
      <c r="D1340" s="6" t="s">
        <v>1186</v>
      </c>
      <c r="E1340" s="6" t="s">
        <v>6745</v>
      </c>
      <c r="F1340" s="6"/>
      <c r="G1340" s="6" t="s">
        <v>6612</v>
      </c>
      <c r="H1340" s="6" t="s">
        <v>215</v>
      </c>
      <c r="I1340" s="6" t="s">
        <v>6196</v>
      </c>
      <c r="J1340" s="6" t="s">
        <v>6741</v>
      </c>
      <c r="K1340" s="6" t="s">
        <v>6746</v>
      </c>
      <c r="L1340" s="6" t="s">
        <v>54</v>
      </c>
      <c r="M1340" s="6" t="s">
        <v>54</v>
      </c>
      <c r="N1340" s="6" t="s">
        <v>6183</v>
      </c>
      <c r="O1340" s="6" t="s">
        <v>6710</v>
      </c>
      <c r="P1340" s="6"/>
      <c r="Q1340" s="8">
        <v>95</v>
      </c>
      <c r="R1340" s="8">
        <v>95.284999999999997</v>
      </c>
      <c r="S1340" s="8">
        <v>189.9</v>
      </c>
      <c r="T1340" s="8">
        <v>16</v>
      </c>
      <c r="U1340" s="8"/>
      <c r="V1340" s="8">
        <v>0</v>
      </c>
      <c r="W1340" s="12">
        <v>0</v>
      </c>
      <c r="Y1340">
        <v>0</v>
      </c>
    </row>
    <row r="1341" spans="1:25" ht="40" customHeight="1">
      <c r="A1341" s="6" t="s">
        <v>6747</v>
      </c>
      <c r="B1341" s="6" t="s">
        <v>6748</v>
      </c>
      <c r="C1341" s="6" t="s">
        <v>6739</v>
      </c>
      <c r="D1341" s="6" t="s">
        <v>6749</v>
      </c>
      <c r="E1341" s="6" t="s">
        <v>6750</v>
      </c>
      <c r="F1341" s="6"/>
      <c r="G1341" s="6" t="s">
        <v>6612</v>
      </c>
      <c r="H1341" s="6" t="s">
        <v>215</v>
      </c>
      <c r="I1341" s="6" t="s">
        <v>6196</v>
      </c>
      <c r="J1341" s="6" t="s">
        <v>6741</v>
      </c>
      <c r="K1341" s="6" t="s">
        <v>6751</v>
      </c>
      <c r="L1341" s="6" t="s">
        <v>54</v>
      </c>
      <c r="M1341" s="6" t="s">
        <v>54</v>
      </c>
      <c r="N1341" s="6" t="s">
        <v>6183</v>
      </c>
      <c r="O1341" s="6" t="s">
        <v>6710</v>
      </c>
      <c r="P1341" s="6"/>
      <c r="Q1341" s="8">
        <v>95</v>
      </c>
      <c r="R1341" s="8">
        <v>95.284999999999997</v>
      </c>
      <c r="S1341" s="8">
        <v>189.9</v>
      </c>
      <c r="T1341" s="8">
        <v>16</v>
      </c>
      <c r="U1341" s="8"/>
      <c r="V1341" s="8">
        <v>0</v>
      </c>
      <c r="W1341" s="12">
        <v>0</v>
      </c>
      <c r="Y1341">
        <v>0</v>
      </c>
    </row>
    <row r="1342" spans="1:25" ht="40" customHeight="1">
      <c r="A1342" s="6" t="s">
        <v>6752</v>
      </c>
      <c r="B1342" s="6" t="s">
        <v>6753</v>
      </c>
      <c r="C1342" s="6" t="s">
        <v>6754</v>
      </c>
      <c r="D1342" s="6" t="s">
        <v>27</v>
      </c>
      <c r="E1342" s="6" t="s">
        <v>6755</v>
      </c>
      <c r="F1342" s="6"/>
      <c r="G1342" s="6" t="s">
        <v>4043</v>
      </c>
      <c r="H1342" s="6" t="s">
        <v>215</v>
      </c>
      <c r="I1342" s="6" t="s">
        <v>6196</v>
      </c>
      <c r="J1342" s="6" t="s">
        <v>6630</v>
      </c>
      <c r="K1342" s="6" t="s">
        <v>6455</v>
      </c>
      <c r="L1342" s="6" t="s">
        <v>5144</v>
      </c>
      <c r="M1342" s="6" t="s">
        <v>6756</v>
      </c>
      <c r="N1342" s="6" t="s">
        <v>6183</v>
      </c>
      <c r="O1342" s="6" t="s">
        <v>6757</v>
      </c>
      <c r="P1342" s="6"/>
      <c r="Q1342" s="8">
        <v>85</v>
      </c>
      <c r="R1342" s="8">
        <v>85.254999999999995</v>
      </c>
      <c r="S1342" s="8">
        <v>169.9</v>
      </c>
      <c r="T1342" s="8">
        <v>16</v>
      </c>
      <c r="U1342" s="8"/>
      <c r="V1342" s="8">
        <v>0</v>
      </c>
      <c r="W1342" s="12">
        <v>0</v>
      </c>
      <c r="Y1342">
        <v>0</v>
      </c>
    </row>
    <row r="1343" spans="1:25" ht="40" customHeight="1">
      <c r="A1343" s="6" t="s">
        <v>6758</v>
      </c>
      <c r="B1343" s="6" t="s">
        <v>6759</v>
      </c>
      <c r="C1343" s="6" t="s">
        <v>6754</v>
      </c>
      <c r="D1343" s="6" t="s">
        <v>147</v>
      </c>
      <c r="E1343" s="6" t="s">
        <v>6760</v>
      </c>
      <c r="F1343" s="6"/>
      <c r="G1343" s="6" t="s">
        <v>4043</v>
      </c>
      <c r="H1343" s="6" t="s">
        <v>215</v>
      </c>
      <c r="I1343" s="6" t="s">
        <v>6196</v>
      </c>
      <c r="J1343" s="6" t="s">
        <v>6630</v>
      </c>
      <c r="K1343" s="6" t="s">
        <v>6650</v>
      </c>
      <c r="L1343" s="6" t="s">
        <v>5144</v>
      </c>
      <c r="M1343" s="6" t="s">
        <v>6756</v>
      </c>
      <c r="N1343" s="6" t="s">
        <v>6183</v>
      </c>
      <c r="O1343" s="6" t="s">
        <v>6757</v>
      </c>
      <c r="P1343" s="6"/>
      <c r="Q1343" s="8">
        <v>85</v>
      </c>
      <c r="R1343" s="8">
        <v>85.254999999999995</v>
      </c>
      <c r="S1343" s="8">
        <v>169.9</v>
      </c>
      <c r="T1343" s="8">
        <v>16</v>
      </c>
      <c r="U1343" s="8"/>
      <c r="V1343" s="8">
        <v>0</v>
      </c>
      <c r="W1343" s="12">
        <v>0</v>
      </c>
      <c r="Y1343">
        <v>0</v>
      </c>
    </row>
    <row r="1344" spans="1:25" ht="40" customHeight="1">
      <c r="A1344" s="6" t="s">
        <v>6761</v>
      </c>
      <c r="B1344" s="6" t="s">
        <v>6762</v>
      </c>
      <c r="C1344" s="6" t="s">
        <v>6754</v>
      </c>
      <c r="D1344" s="6" t="s">
        <v>1426</v>
      </c>
      <c r="E1344" s="6" t="s">
        <v>6763</v>
      </c>
      <c r="F1344" s="6"/>
      <c r="G1344" s="6" t="s">
        <v>4043</v>
      </c>
      <c r="H1344" s="6" t="s">
        <v>215</v>
      </c>
      <c r="I1344" s="6" t="s">
        <v>6196</v>
      </c>
      <c r="J1344" s="6" t="s">
        <v>6630</v>
      </c>
      <c r="K1344" s="6" t="s">
        <v>6560</v>
      </c>
      <c r="L1344" s="6" t="s">
        <v>5144</v>
      </c>
      <c r="M1344" s="6" t="s">
        <v>6756</v>
      </c>
      <c r="N1344" s="6" t="s">
        <v>6183</v>
      </c>
      <c r="O1344" s="6" t="s">
        <v>6757</v>
      </c>
      <c r="P1344" s="6"/>
      <c r="Q1344" s="8">
        <v>85</v>
      </c>
      <c r="R1344" s="8">
        <v>85.254999999999995</v>
      </c>
      <c r="S1344" s="8">
        <v>169.9</v>
      </c>
      <c r="T1344" s="8">
        <v>16</v>
      </c>
      <c r="U1344" s="8"/>
      <c r="V1344" s="8">
        <v>0</v>
      </c>
      <c r="W1344" s="12">
        <v>0</v>
      </c>
      <c r="Y1344">
        <v>0</v>
      </c>
    </row>
    <row r="1345" spans="1:25" ht="40" customHeight="1">
      <c r="A1345" s="6" t="s">
        <v>6764</v>
      </c>
      <c r="B1345" s="6" t="s">
        <v>6765</v>
      </c>
      <c r="C1345" s="6" t="s">
        <v>6754</v>
      </c>
      <c r="D1345" s="6" t="s">
        <v>89</v>
      </c>
      <c r="E1345" s="6" t="s">
        <v>6766</v>
      </c>
      <c r="F1345" s="6"/>
      <c r="G1345" s="6" t="s">
        <v>4043</v>
      </c>
      <c r="H1345" s="6" t="s">
        <v>215</v>
      </c>
      <c r="I1345" s="6" t="s">
        <v>6196</v>
      </c>
      <c r="J1345" s="6" t="s">
        <v>6630</v>
      </c>
      <c r="K1345" s="6" t="s">
        <v>6521</v>
      </c>
      <c r="L1345" s="6" t="s">
        <v>5144</v>
      </c>
      <c r="M1345" s="6" t="s">
        <v>6756</v>
      </c>
      <c r="N1345" s="6" t="s">
        <v>6183</v>
      </c>
      <c r="O1345" s="6" t="s">
        <v>6757</v>
      </c>
      <c r="P1345" s="6"/>
      <c r="Q1345" s="8">
        <v>85</v>
      </c>
      <c r="R1345" s="8">
        <v>85.254999999999995</v>
      </c>
      <c r="S1345" s="8">
        <v>169.9</v>
      </c>
      <c r="T1345" s="8">
        <v>16</v>
      </c>
      <c r="U1345" s="8"/>
      <c r="V1345" s="8">
        <v>0</v>
      </c>
      <c r="W1345" s="12">
        <v>0</v>
      </c>
      <c r="Y1345">
        <v>0</v>
      </c>
    </row>
    <row r="1346" spans="1:25" ht="40" customHeight="1">
      <c r="A1346" s="6" t="s">
        <v>6767</v>
      </c>
      <c r="B1346" s="6" t="s">
        <v>6768</v>
      </c>
      <c r="C1346" s="6" t="s">
        <v>6769</v>
      </c>
      <c r="D1346" s="6" t="s">
        <v>27</v>
      </c>
      <c r="E1346" s="6" t="s">
        <v>6770</v>
      </c>
      <c r="F1346" s="6"/>
      <c r="G1346" s="6" t="s">
        <v>4043</v>
      </c>
      <c r="H1346" s="6" t="s">
        <v>6771</v>
      </c>
      <c r="I1346" s="6" t="s">
        <v>6365</v>
      </c>
      <c r="J1346" s="6" t="s">
        <v>6772</v>
      </c>
      <c r="K1346" s="6" t="s">
        <v>6455</v>
      </c>
      <c r="L1346" s="6" t="s">
        <v>6773</v>
      </c>
      <c r="M1346" s="6" t="s">
        <v>6774</v>
      </c>
      <c r="N1346" s="6" t="s">
        <v>6183</v>
      </c>
      <c r="O1346" s="6" t="s">
        <v>6775</v>
      </c>
      <c r="P1346" s="6"/>
      <c r="Q1346" s="8">
        <v>95</v>
      </c>
      <c r="R1346" s="8">
        <v>95.284999999999997</v>
      </c>
      <c r="S1346" s="8">
        <v>189.9</v>
      </c>
      <c r="T1346" s="8">
        <v>14</v>
      </c>
      <c r="U1346" s="8"/>
      <c r="V1346" s="8">
        <v>0</v>
      </c>
      <c r="W1346" s="12">
        <v>0</v>
      </c>
      <c r="Y1346">
        <v>0</v>
      </c>
    </row>
    <row r="1347" spans="1:25" ht="40" customHeight="1">
      <c r="A1347" s="6" t="s">
        <v>6776</v>
      </c>
      <c r="B1347" s="6" t="s">
        <v>6777</v>
      </c>
      <c r="C1347" s="6" t="s">
        <v>6769</v>
      </c>
      <c r="D1347" s="6" t="s">
        <v>147</v>
      </c>
      <c r="E1347" s="6" t="s">
        <v>6778</v>
      </c>
      <c r="F1347" s="6"/>
      <c r="G1347" s="6" t="s">
        <v>4043</v>
      </c>
      <c r="H1347" s="6" t="s">
        <v>6771</v>
      </c>
      <c r="I1347" s="6" t="s">
        <v>6365</v>
      </c>
      <c r="J1347" s="6" t="s">
        <v>6772</v>
      </c>
      <c r="K1347" s="6" t="s">
        <v>6779</v>
      </c>
      <c r="L1347" s="6" t="s">
        <v>6773</v>
      </c>
      <c r="M1347" s="6" t="s">
        <v>6774</v>
      </c>
      <c r="N1347" s="6" t="s">
        <v>6183</v>
      </c>
      <c r="O1347" s="6" t="s">
        <v>6775</v>
      </c>
      <c r="P1347" s="6"/>
      <c r="Q1347" s="8">
        <v>95</v>
      </c>
      <c r="R1347" s="8">
        <v>95.284999999999997</v>
      </c>
      <c r="S1347" s="8">
        <v>189.9</v>
      </c>
      <c r="T1347" s="8">
        <v>14</v>
      </c>
      <c r="U1347" s="8"/>
      <c r="V1347" s="8">
        <v>0</v>
      </c>
      <c r="W1347" s="12">
        <v>0</v>
      </c>
      <c r="Y1347">
        <v>0</v>
      </c>
    </row>
    <row r="1348" spans="1:25" ht="40" customHeight="1">
      <c r="A1348" s="6" t="s">
        <v>6780</v>
      </c>
      <c r="B1348" s="6" t="s">
        <v>6781</v>
      </c>
      <c r="C1348" s="6" t="s">
        <v>6769</v>
      </c>
      <c r="D1348" s="6" t="s">
        <v>1426</v>
      </c>
      <c r="E1348" s="6" t="s">
        <v>6782</v>
      </c>
      <c r="F1348" s="6"/>
      <c r="G1348" s="6" t="s">
        <v>4043</v>
      </c>
      <c r="H1348" s="6" t="s">
        <v>6771</v>
      </c>
      <c r="I1348" s="6" t="s">
        <v>6365</v>
      </c>
      <c r="J1348" s="6" t="s">
        <v>6772</v>
      </c>
      <c r="K1348" s="6" t="s">
        <v>6560</v>
      </c>
      <c r="L1348" s="6" t="s">
        <v>6773</v>
      </c>
      <c r="M1348" s="6" t="s">
        <v>6774</v>
      </c>
      <c r="N1348" s="6" t="s">
        <v>6183</v>
      </c>
      <c r="O1348" s="6" t="s">
        <v>6775</v>
      </c>
      <c r="P1348" s="6"/>
      <c r="Q1348" s="8">
        <v>95</v>
      </c>
      <c r="R1348" s="8">
        <v>95.284999999999997</v>
      </c>
      <c r="S1348" s="8">
        <v>189.9</v>
      </c>
      <c r="T1348" s="8">
        <v>14</v>
      </c>
      <c r="U1348" s="8"/>
      <c r="V1348" s="8">
        <v>0</v>
      </c>
      <c r="W1348" s="12">
        <v>0</v>
      </c>
      <c r="Y1348">
        <v>0</v>
      </c>
    </row>
    <row r="1349" spans="1:25" ht="40" customHeight="1">
      <c r="A1349" s="6" t="s">
        <v>6783</v>
      </c>
      <c r="B1349" s="6" t="s">
        <v>6784</v>
      </c>
      <c r="C1349" s="6" t="s">
        <v>6769</v>
      </c>
      <c r="D1349" s="6" t="s">
        <v>89</v>
      </c>
      <c r="E1349" s="6" t="s">
        <v>6785</v>
      </c>
      <c r="F1349" s="6"/>
      <c r="G1349" s="6" t="s">
        <v>4043</v>
      </c>
      <c r="H1349" s="6" t="s">
        <v>6771</v>
      </c>
      <c r="I1349" s="6" t="s">
        <v>6365</v>
      </c>
      <c r="J1349" s="6" t="s">
        <v>6772</v>
      </c>
      <c r="K1349" s="6" t="s">
        <v>6521</v>
      </c>
      <c r="L1349" s="6" t="s">
        <v>6773</v>
      </c>
      <c r="M1349" s="6" t="s">
        <v>6774</v>
      </c>
      <c r="N1349" s="6" t="s">
        <v>6183</v>
      </c>
      <c r="O1349" s="6" t="s">
        <v>6775</v>
      </c>
      <c r="P1349" s="6"/>
      <c r="Q1349" s="8">
        <v>95</v>
      </c>
      <c r="R1349" s="8">
        <v>95.284999999999997</v>
      </c>
      <c r="S1349" s="8">
        <v>189.9</v>
      </c>
      <c r="T1349" s="8">
        <v>14</v>
      </c>
      <c r="U1349" s="8"/>
      <c r="V1349" s="8">
        <v>0</v>
      </c>
      <c r="W1349" s="12">
        <v>0</v>
      </c>
      <c r="Y1349">
        <v>0</v>
      </c>
    </row>
    <row r="1350" spans="1:25" ht="40" customHeight="1">
      <c r="A1350" s="6" t="s">
        <v>6786</v>
      </c>
      <c r="B1350" s="6" t="s">
        <v>6787</v>
      </c>
      <c r="C1350" s="6" t="s">
        <v>6788</v>
      </c>
      <c r="D1350" s="6" t="s">
        <v>27</v>
      </c>
      <c r="E1350" s="6" t="s">
        <v>6789</v>
      </c>
      <c r="F1350" s="6"/>
      <c r="G1350" s="6" t="s">
        <v>4138</v>
      </c>
      <c r="H1350" s="6" t="s">
        <v>6790</v>
      </c>
      <c r="I1350" s="6" t="s">
        <v>6196</v>
      </c>
      <c r="J1350" s="6" t="s">
        <v>6405</v>
      </c>
      <c r="K1350" s="6" t="s">
        <v>6343</v>
      </c>
      <c r="L1350" s="6" t="s">
        <v>54</v>
      </c>
      <c r="M1350" s="6" t="s">
        <v>54</v>
      </c>
      <c r="N1350" s="6" t="s">
        <v>6183</v>
      </c>
      <c r="O1350" s="6" t="s">
        <v>6409</v>
      </c>
      <c r="P1350" s="6"/>
      <c r="Q1350" s="8">
        <v>75</v>
      </c>
      <c r="R1350" s="8">
        <v>75.224999999999994</v>
      </c>
      <c r="S1350" s="8">
        <v>149.9</v>
      </c>
      <c r="T1350" s="8">
        <v>16</v>
      </c>
      <c r="U1350" s="8"/>
      <c r="V1350" s="8">
        <v>0</v>
      </c>
      <c r="W1350" s="12">
        <v>0</v>
      </c>
      <c r="Y1350">
        <v>0</v>
      </c>
    </row>
    <row r="1351" spans="1:25" ht="40" customHeight="1">
      <c r="A1351" s="6" t="s">
        <v>6791</v>
      </c>
      <c r="B1351" s="6" t="s">
        <v>6792</v>
      </c>
      <c r="C1351" s="6" t="s">
        <v>6793</v>
      </c>
      <c r="D1351" s="6" t="s">
        <v>3525</v>
      </c>
      <c r="E1351" s="6" t="s">
        <v>6794</v>
      </c>
      <c r="F1351" s="6"/>
      <c r="G1351" s="6" t="s">
        <v>897</v>
      </c>
      <c r="H1351" s="6" t="s">
        <v>6795</v>
      </c>
      <c r="I1351" s="6" t="s">
        <v>6365</v>
      </c>
      <c r="J1351" s="6" t="s">
        <v>6796</v>
      </c>
      <c r="K1351" s="6" t="s">
        <v>6797</v>
      </c>
      <c r="L1351" s="6" t="s">
        <v>6798</v>
      </c>
      <c r="M1351" s="6" t="s">
        <v>6799</v>
      </c>
      <c r="N1351" s="6" t="s">
        <v>6183</v>
      </c>
      <c r="O1351" s="6" t="s">
        <v>6800</v>
      </c>
      <c r="P1351" s="6"/>
      <c r="Q1351" s="8">
        <v>100</v>
      </c>
      <c r="R1351" s="8">
        <v>100.3</v>
      </c>
      <c r="S1351" s="8">
        <v>199.9</v>
      </c>
      <c r="T1351" s="8">
        <v>14</v>
      </c>
      <c r="U1351" s="8"/>
      <c r="V1351" s="8">
        <v>0</v>
      </c>
      <c r="W1351" s="12">
        <v>0</v>
      </c>
      <c r="Y1351">
        <v>0</v>
      </c>
    </row>
    <row r="1352" spans="1:25" ht="40" customHeight="1">
      <c r="A1352" s="6" t="s">
        <v>6801</v>
      </c>
      <c r="B1352" s="6" t="s">
        <v>6802</v>
      </c>
      <c r="C1352" s="6" t="s">
        <v>6793</v>
      </c>
      <c r="D1352" s="6" t="s">
        <v>40</v>
      </c>
      <c r="E1352" s="6" t="s">
        <v>6803</v>
      </c>
      <c r="F1352" s="6"/>
      <c r="G1352" s="6" t="s">
        <v>897</v>
      </c>
      <c r="H1352" s="6" t="s">
        <v>6795</v>
      </c>
      <c r="I1352" s="6" t="s">
        <v>6365</v>
      </c>
      <c r="J1352" s="6" t="s">
        <v>6796</v>
      </c>
      <c r="K1352" s="6" t="s">
        <v>6804</v>
      </c>
      <c r="L1352" s="6" t="s">
        <v>6798</v>
      </c>
      <c r="M1352" s="6" t="s">
        <v>6799</v>
      </c>
      <c r="N1352" s="6" t="s">
        <v>6183</v>
      </c>
      <c r="O1352" s="6" t="s">
        <v>6800</v>
      </c>
      <c r="P1352" s="6"/>
      <c r="Q1352" s="8">
        <v>100</v>
      </c>
      <c r="R1352" s="8">
        <v>100.3</v>
      </c>
      <c r="S1352" s="8">
        <v>199.9</v>
      </c>
      <c r="T1352" s="8">
        <v>14</v>
      </c>
      <c r="U1352" s="8"/>
      <c r="V1352" s="8">
        <v>0</v>
      </c>
      <c r="W1352" s="12">
        <v>0</v>
      </c>
      <c r="Y1352">
        <v>0</v>
      </c>
    </row>
    <row r="1353" spans="1:25" ht="40" customHeight="1">
      <c r="A1353" s="6" t="s">
        <v>6805</v>
      </c>
      <c r="B1353" s="6" t="s">
        <v>6806</v>
      </c>
      <c r="C1353" s="6" t="s">
        <v>6807</v>
      </c>
      <c r="D1353" s="6" t="s">
        <v>27</v>
      </c>
      <c r="E1353" s="6" t="s">
        <v>6808</v>
      </c>
      <c r="F1353" s="6"/>
      <c r="G1353" s="6" t="s">
        <v>5236</v>
      </c>
      <c r="H1353" s="6" t="s">
        <v>6809</v>
      </c>
      <c r="I1353" s="6" t="s">
        <v>6196</v>
      </c>
      <c r="J1353" s="6" t="s">
        <v>6405</v>
      </c>
      <c r="K1353" s="6" t="s">
        <v>6437</v>
      </c>
      <c r="L1353" s="6" t="s">
        <v>54</v>
      </c>
      <c r="M1353" s="6" t="s">
        <v>54</v>
      </c>
      <c r="N1353" s="6" t="s">
        <v>6183</v>
      </c>
      <c r="O1353" s="6" t="s">
        <v>6355</v>
      </c>
      <c r="P1353" s="6"/>
      <c r="Q1353" s="8">
        <v>75</v>
      </c>
      <c r="R1353" s="8">
        <v>75.224999999999994</v>
      </c>
      <c r="S1353" s="8">
        <v>149.9</v>
      </c>
      <c r="T1353" s="8">
        <v>16</v>
      </c>
      <c r="U1353" s="8"/>
      <c r="V1353" s="8">
        <v>0</v>
      </c>
      <c r="W1353" s="12">
        <v>0</v>
      </c>
      <c r="Y1353">
        <v>0</v>
      </c>
    </row>
    <row r="1354" spans="1:25" ht="40" customHeight="1">
      <c r="A1354" s="6" t="s">
        <v>6810</v>
      </c>
      <c r="B1354" s="6" t="s">
        <v>6811</v>
      </c>
      <c r="C1354" s="6" t="s">
        <v>6807</v>
      </c>
      <c r="D1354" s="6" t="s">
        <v>147</v>
      </c>
      <c r="E1354" s="6" t="s">
        <v>6812</v>
      </c>
      <c r="F1354" s="6"/>
      <c r="G1354" s="6" t="s">
        <v>5236</v>
      </c>
      <c r="H1354" s="6" t="s">
        <v>6809</v>
      </c>
      <c r="I1354" s="6" t="s">
        <v>6196</v>
      </c>
      <c r="J1354" s="6" t="s">
        <v>6405</v>
      </c>
      <c r="K1354" s="6" t="s">
        <v>6742</v>
      </c>
      <c r="L1354" s="6" t="s">
        <v>54</v>
      </c>
      <c r="M1354" s="6" t="s">
        <v>54</v>
      </c>
      <c r="N1354" s="6" t="s">
        <v>6183</v>
      </c>
      <c r="O1354" s="6" t="s">
        <v>6355</v>
      </c>
      <c r="P1354" s="6"/>
      <c r="Q1354" s="8">
        <v>75</v>
      </c>
      <c r="R1354" s="8">
        <v>75.224999999999994</v>
      </c>
      <c r="S1354" s="8">
        <v>149.9</v>
      </c>
      <c r="T1354" s="8">
        <v>16</v>
      </c>
      <c r="U1354" s="8"/>
      <c r="V1354" s="8">
        <v>0</v>
      </c>
      <c r="W1354" s="12">
        <v>0</v>
      </c>
      <c r="Y1354">
        <v>0</v>
      </c>
    </row>
    <row r="1355" spans="1:25" ht="40" customHeight="1">
      <c r="A1355" s="6" t="s">
        <v>6813</v>
      </c>
      <c r="B1355" s="6" t="s">
        <v>6814</v>
      </c>
      <c r="C1355" s="6" t="s">
        <v>6807</v>
      </c>
      <c r="D1355" s="6" t="s">
        <v>937</v>
      </c>
      <c r="E1355" s="6" t="s">
        <v>6815</v>
      </c>
      <c r="F1355" s="6"/>
      <c r="G1355" s="6" t="s">
        <v>5236</v>
      </c>
      <c r="H1355" s="6" t="s">
        <v>6809</v>
      </c>
      <c r="I1355" s="6" t="s">
        <v>6196</v>
      </c>
      <c r="J1355" s="6" t="s">
        <v>6405</v>
      </c>
      <c r="K1355" s="8"/>
      <c r="L1355" s="8"/>
      <c r="M1355" s="8"/>
      <c r="N1355" s="8"/>
      <c r="O1355" s="8"/>
      <c r="P1355" s="8"/>
      <c r="Q1355" s="8">
        <v>75</v>
      </c>
      <c r="R1355" s="8">
        <v>75.224999999999994</v>
      </c>
      <c r="S1355" s="8">
        <v>149.9</v>
      </c>
      <c r="T1355" s="8">
        <v>16</v>
      </c>
      <c r="U1355" s="8"/>
      <c r="V1355" s="8">
        <v>0</v>
      </c>
      <c r="W1355" s="12">
        <v>0</v>
      </c>
      <c r="Y1355">
        <v>0</v>
      </c>
    </row>
    <row r="1356" spans="1:25" ht="40" customHeight="1">
      <c r="A1356" s="6" t="s">
        <v>6816</v>
      </c>
      <c r="B1356" s="6" t="s">
        <v>6817</v>
      </c>
      <c r="C1356" s="6" t="s">
        <v>6807</v>
      </c>
      <c r="D1356" s="6" t="s">
        <v>40</v>
      </c>
      <c r="E1356" s="6" t="s">
        <v>6818</v>
      </c>
      <c r="F1356" s="6"/>
      <c r="G1356" s="6" t="s">
        <v>5236</v>
      </c>
      <c r="H1356" s="6" t="s">
        <v>6809</v>
      </c>
      <c r="I1356" s="6" t="s">
        <v>6196</v>
      </c>
      <c r="J1356" s="6" t="s">
        <v>6405</v>
      </c>
      <c r="K1356" s="6" t="s">
        <v>6819</v>
      </c>
      <c r="L1356" s="6" t="s">
        <v>54</v>
      </c>
      <c r="M1356" s="6" t="s">
        <v>54</v>
      </c>
      <c r="N1356" s="6" t="s">
        <v>6183</v>
      </c>
      <c r="O1356" s="6" t="s">
        <v>6355</v>
      </c>
      <c r="P1356" s="6"/>
      <c r="Q1356" s="8">
        <v>75</v>
      </c>
      <c r="R1356" s="8">
        <v>75.224999999999994</v>
      </c>
      <c r="S1356" s="8">
        <v>149.9</v>
      </c>
      <c r="T1356" s="8">
        <v>16</v>
      </c>
      <c r="U1356" s="8"/>
      <c r="V1356" s="8">
        <v>0</v>
      </c>
      <c r="W1356" s="12">
        <v>0</v>
      </c>
      <c r="Y1356">
        <v>0</v>
      </c>
    </row>
    <row r="1357" spans="1:25" ht="40" customHeight="1">
      <c r="A1357" s="6" t="s">
        <v>6820</v>
      </c>
      <c r="B1357" s="6" t="s">
        <v>6821</v>
      </c>
      <c r="C1357" s="6" t="s">
        <v>6807</v>
      </c>
      <c r="D1357" s="6" t="s">
        <v>2644</v>
      </c>
      <c r="E1357" s="6" t="s">
        <v>6822</v>
      </c>
      <c r="F1357" s="6"/>
      <c r="G1357" s="6" t="s">
        <v>5236</v>
      </c>
      <c r="H1357" s="6" t="s">
        <v>6809</v>
      </c>
      <c r="I1357" s="6" t="s">
        <v>6196</v>
      </c>
      <c r="J1357" s="6" t="s">
        <v>6405</v>
      </c>
      <c r="K1357" s="6" t="s">
        <v>6823</v>
      </c>
      <c r="L1357" s="6" t="s">
        <v>54</v>
      </c>
      <c r="M1357" s="6" t="s">
        <v>54</v>
      </c>
      <c r="N1357" s="6" t="s">
        <v>6183</v>
      </c>
      <c r="O1357" s="6" t="s">
        <v>6355</v>
      </c>
      <c r="P1357" s="6"/>
      <c r="Q1357" s="8">
        <v>75</v>
      </c>
      <c r="R1357" s="8">
        <v>75.224999999999994</v>
      </c>
      <c r="S1357" s="8">
        <v>149.9</v>
      </c>
      <c r="T1357" s="8">
        <v>16</v>
      </c>
      <c r="U1357" s="8"/>
      <c r="V1357" s="8">
        <v>0</v>
      </c>
      <c r="W1357" s="12">
        <v>0</v>
      </c>
      <c r="Y1357">
        <v>0</v>
      </c>
    </row>
    <row r="1358" spans="1:25" ht="40" customHeight="1">
      <c r="A1358" s="6" t="s">
        <v>6824</v>
      </c>
      <c r="B1358" s="6" t="s">
        <v>6825</v>
      </c>
      <c r="C1358" s="6" t="s">
        <v>6826</v>
      </c>
      <c r="D1358" s="6" t="s">
        <v>147</v>
      </c>
      <c r="E1358" s="6" t="s">
        <v>6827</v>
      </c>
      <c r="F1358" s="6"/>
      <c r="G1358" s="6" t="s">
        <v>5612</v>
      </c>
      <c r="H1358" s="6" t="s">
        <v>6828</v>
      </c>
      <c r="I1358" s="6" t="s">
        <v>6178</v>
      </c>
      <c r="J1358" s="6" t="s">
        <v>6405</v>
      </c>
      <c r="K1358" s="6" t="s">
        <v>6742</v>
      </c>
      <c r="L1358" s="6" t="s">
        <v>54</v>
      </c>
      <c r="M1358" s="6" t="s">
        <v>54</v>
      </c>
      <c r="N1358" s="6" t="s">
        <v>6183</v>
      </c>
      <c r="O1358" s="6" t="s">
        <v>6829</v>
      </c>
      <c r="P1358" s="6"/>
      <c r="Q1358" s="8">
        <v>65</v>
      </c>
      <c r="R1358" s="8">
        <v>65.194999999999993</v>
      </c>
      <c r="S1358" s="8">
        <v>129.9</v>
      </c>
      <c r="T1358" s="8">
        <v>14</v>
      </c>
      <c r="U1358" s="8"/>
      <c r="V1358" s="8">
        <v>0</v>
      </c>
      <c r="W1358" s="12">
        <v>0</v>
      </c>
      <c r="Y1358">
        <v>0</v>
      </c>
    </row>
    <row r="1359" spans="1:25" ht="40" customHeight="1">
      <c r="A1359" s="6" t="s">
        <v>6830</v>
      </c>
      <c r="B1359" s="6" t="s">
        <v>6831</v>
      </c>
      <c r="C1359" s="6" t="s">
        <v>6826</v>
      </c>
      <c r="D1359" s="6" t="s">
        <v>937</v>
      </c>
      <c r="E1359" s="6" t="s">
        <v>6832</v>
      </c>
      <c r="F1359" s="6"/>
      <c r="G1359" s="6" t="s">
        <v>5612</v>
      </c>
      <c r="H1359" s="6" t="s">
        <v>6828</v>
      </c>
      <c r="I1359" s="6" t="s">
        <v>6178</v>
      </c>
      <c r="J1359" s="6" t="s">
        <v>6405</v>
      </c>
      <c r="K1359" s="8"/>
      <c r="L1359" s="8"/>
      <c r="M1359" s="8"/>
      <c r="N1359" s="8"/>
      <c r="O1359" s="8"/>
      <c r="P1359" s="8"/>
      <c r="Q1359" s="8">
        <v>65</v>
      </c>
      <c r="R1359" s="8">
        <v>65.194999999999993</v>
      </c>
      <c r="S1359" s="8">
        <v>129.9</v>
      </c>
      <c r="T1359" s="8">
        <v>14</v>
      </c>
      <c r="U1359" s="8"/>
      <c r="V1359" s="8">
        <v>0</v>
      </c>
      <c r="W1359" s="12">
        <v>0</v>
      </c>
      <c r="Y1359">
        <v>0</v>
      </c>
    </row>
    <row r="1360" spans="1:25" ht="40" customHeight="1">
      <c r="A1360" s="6" t="s">
        <v>6833</v>
      </c>
      <c r="B1360" s="6" t="s">
        <v>6834</v>
      </c>
      <c r="C1360" s="6" t="s">
        <v>6826</v>
      </c>
      <c r="D1360" s="6" t="s">
        <v>40</v>
      </c>
      <c r="E1360" s="6" t="s">
        <v>6835</v>
      </c>
      <c r="F1360" s="6"/>
      <c r="G1360" s="6" t="s">
        <v>5612</v>
      </c>
      <c r="H1360" s="6" t="s">
        <v>6828</v>
      </c>
      <c r="I1360" s="6" t="s">
        <v>6178</v>
      </c>
      <c r="J1360" s="6" t="s">
        <v>6405</v>
      </c>
      <c r="K1360" s="6" t="s">
        <v>6819</v>
      </c>
      <c r="L1360" s="6" t="s">
        <v>54</v>
      </c>
      <c r="M1360" s="6" t="s">
        <v>54</v>
      </c>
      <c r="N1360" s="6" t="s">
        <v>6183</v>
      </c>
      <c r="O1360" s="6" t="s">
        <v>6829</v>
      </c>
      <c r="P1360" s="6"/>
      <c r="Q1360" s="8">
        <v>65</v>
      </c>
      <c r="R1360" s="8">
        <v>65.194999999999993</v>
      </c>
      <c r="S1360" s="8">
        <v>129.9</v>
      </c>
      <c r="T1360" s="8">
        <v>14</v>
      </c>
      <c r="U1360" s="8"/>
      <c r="V1360" s="8">
        <v>0</v>
      </c>
      <c r="W1360" s="12">
        <v>0</v>
      </c>
      <c r="Y1360">
        <v>0</v>
      </c>
    </row>
    <row r="1361" spans="1:25" ht="40" customHeight="1">
      <c r="A1361" s="6" t="s">
        <v>6836</v>
      </c>
      <c r="B1361" s="6" t="s">
        <v>6837</v>
      </c>
      <c r="C1361" s="6" t="s">
        <v>6826</v>
      </c>
      <c r="D1361" s="6" t="s">
        <v>2644</v>
      </c>
      <c r="E1361" s="6" t="s">
        <v>6838</v>
      </c>
      <c r="F1361" s="6"/>
      <c r="G1361" s="6" t="s">
        <v>5612</v>
      </c>
      <c r="H1361" s="6" t="s">
        <v>6828</v>
      </c>
      <c r="I1361" s="6" t="s">
        <v>6178</v>
      </c>
      <c r="J1361" s="6" t="s">
        <v>6405</v>
      </c>
      <c r="K1361" s="6" t="s">
        <v>6823</v>
      </c>
      <c r="L1361" s="6" t="s">
        <v>54</v>
      </c>
      <c r="M1361" s="6" t="s">
        <v>54</v>
      </c>
      <c r="N1361" s="6" t="s">
        <v>6183</v>
      </c>
      <c r="O1361" s="6" t="s">
        <v>6829</v>
      </c>
      <c r="P1361" s="6"/>
      <c r="Q1361" s="8">
        <v>65</v>
      </c>
      <c r="R1361" s="8">
        <v>65.194999999999993</v>
      </c>
      <c r="S1361" s="8">
        <v>129.9</v>
      </c>
      <c r="T1361" s="8">
        <v>14</v>
      </c>
      <c r="U1361" s="8"/>
      <c r="V1361" s="8">
        <v>0</v>
      </c>
      <c r="W1361" s="12">
        <v>0</v>
      </c>
      <c r="Y1361">
        <v>0</v>
      </c>
    </row>
    <row r="1362" spans="1:25" ht="40" customHeight="1">
      <c r="A1362" s="6" t="s">
        <v>6839</v>
      </c>
      <c r="B1362" s="6" t="s">
        <v>6840</v>
      </c>
      <c r="C1362" s="6" t="s">
        <v>6841</v>
      </c>
      <c r="D1362" s="6" t="s">
        <v>27</v>
      </c>
      <c r="E1362" s="6" t="s">
        <v>6842</v>
      </c>
      <c r="F1362" s="6"/>
      <c r="G1362" s="6" t="s">
        <v>5236</v>
      </c>
      <c r="H1362" s="6" t="s">
        <v>6843</v>
      </c>
      <c r="I1362" s="6" t="s">
        <v>6196</v>
      </c>
      <c r="J1362" s="6" t="s">
        <v>6844</v>
      </c>
      <c r="K1362" s="6" t="s">
        <v>6845</v>
      </c>
      <c r="L1362" s="6" t="s">
        <v>54</v>
      </c>
      <c r="M1362" s="6" t="s">
        <v>54</v>
      </c>
      <c r="N1362" s="6" t="s">
        <v>6183</v>
      </c>
      <c r="O1362" s="6" t="s">
        <v>6829</v>
      </c>
      <c r="P1362" s="6"/>
      <c r="Q1362" s="8">
        <v>75</v>
      </c>
      <c r="R1362" s="8">
        <v>75.224999999999994</v>
      </c>
      <c r="S1362" s="8">
        <v>149.9</v>
      </c>
      <c r="T1362" s="8">
        <v>16</v>
      </c>
      <c r="U1362" s="8"/>
      <c r="V1362" s="8">
        <v>0</v>
      </c>
      <c r="W1362" s="12">
        <v>0</v>
      </c>
      <c r="Y1362">
        <v>0</v>
      </c>
    </row>
    <row r="1363" spans="1:25" ht="40" customHeight="1">
      <c r="A1363" s="6" t="s">
        <v>6846</v>
      </c>
      <c r="B1363" s="6" t="s">
        <v>6847</v>
      </c>
      <c r="C1363" s="6" t="s">
        <v>6841</v>
      </c>
      <c r="D1363" s="6" t="s">
        <v>126</v>
      </c>
      <c r="E1363" s="6" t="s">
        <v>6848</v>
      </c>
      <c r="F1363" s="6"/>
      <c r="G1363" s="6" t="s">
        <v>5236</v>
      </c>
      <c r="H1363" s="6" t="s">
        <v>6843</v>
      </c>
      <c r="I1363" s="6" t="s">
        <v>6196</v>
      </c>
      <c r="J1363" s="6" t="s">
        <v>6844</v>
      </c>
      <c r="K1363" s="6" t="s">
        <v>6849</v>
      </c>
      <c r="L1363" s="6" t="s">
        <v>54</v>
      </c>
      <c r="M1363" s="6" t="s">
        <v>54</v>
      </c>
      <c r="N1363" s="6" t="s">
        <v>6183</v>
      </c>
      <c r="O1363" s="6" t="s">
        <v>6829</v>
      </c>
      <c r="P1363" s="6"/>
      <c r="Q1363" s="8">
        <v>75</v>
      </c>
      <c r="R1363" s="8">
        <v>75.224999999999994</v>
      </c>
      <c r="S1363" s="8">
        <v>149.9</v>
      </c>
      <c r="T1363" s="8">
        <v>16</v>
      </c>
      <c r="U1363" s="8"/>
      <c r="V1363" s="8">
        <v>0</v>
      </c>
      <c r="W1363" s="12">
        <v>0</v>
      </c>
      <c r="Y1363">
        <v>0</v>
      </c>
    </row>
    <row r="1364" spans="1:25" ht="40" customHeight="1">
      <c r="A1364" s="6" t="s">
        <v>6850</v>
      </c>
      <c r="B1364" s="6" t="s">
        <v>6851</v>
      </c>
      <c r="C1364" s="6" t="s">
        <v>6852</v>
      </c>
      <c r="D1364" s="6" t="s">
        <v>27</v>
      </c>
      <c r="E1364" s="6" t="s">
        <v>6853</v>
      </c>
      <c r="F1364" s="6"/>
      <c r="G1364" s="6" t="s">
        <v>5236</v>
      </c>
      <c r="H1364" s="6" t="s">
        <v>6854</v>
      </c>
      <c r="I1364" s="6" t="s">
        <v>6365</v>
      </c>
      <c r="J1364" s="6" t="s">
        <v>6855</v>
      </c>
      <c r="K1364" s="6" t="s">
        <v>6845</v>
      </c>
      <c r="L1364" s="6" t="s">
        <v>54</v>
      </c>
      <c r="M1364" s="6" t="s">
        <v>54</v>
      </c>
      <c r="N1364" s="6" t="s">
        <v>6183</v>
      </c>
      <c r="O1364" s="6" t="s">
        <v>6829</v>
      </c>
      <c r="P1364" s="6"/>
      <c r="Q1364" s="8">
        <v>85</v>
      </c>
      <c r="R1364" s="8">
        <v>85.254999999999995</v>
      </c>
      <c r="S1364" s="8">
        <v>169.9</v>
      </c>
      <c r="T1364" s="8">
        <v>14</v>
      </c>
      <c r="U1364" s="8"/>
      <c r="V1364" s="8">
        <v>0</v>
      </c>
      <c r="W1364" s="12">
        <v>0</v>
      </c>
      <c r="Y1364">
        <v>0</v>
      </c>
    </row>
    <row r="1365" spans="1:25" ht="40" customHeight="1">
      <c r="A1365" s="6" t="s">
        <v>6856</v>
      </c>
      <c r="B1365" s="6" t="s">
        <v>6857</v>
      </c>
      <c r="C1365" s="6" t="s">
        <v>6858</v>
      </c>
      <c r="D1365" s="6" t="s">
        <v>27</v>
      </c>
      <c r="E1365" s="6" t="s">
        <v>6859</v>
      </c>
      <c r="F1365" s="6"/>
      <c r="G1365" s="6" t="s">
        <v>5236</v>
      </c>
      <c r="H1365" s="6" t="s">
        <v>6860</v>
      </c>
      <c r="I1365" s="6" t="s">
        <v>6365</v>
      </c>
      <c r="J1365" s="6" t="s">
        <v>6855</v>
      </c>
      <c r="K1365" s="6" t="s">
        <v>6437</v>
      </c>
      <c r="L1365" s="6" t="s">
        <v>6773</v>
      </c>
      <c r="M1365" s="6" t="s">
        <v>6861</v>
      </c>
      <c r="N1365" s="6" t="s">
        <v>6183</v>
      </c>
      <c r="O1365" s="6" t="s">
        <v>6862</v>
      </c>
      <c r="P1365" s="6"/>
      <c r="Q1365" s="8">
        <v>85</v>
      </c>
      <c r="R1365" s="8">
        <v>85.254999999999995</v>
      </c>
      <c r="S1365" s="8">
        <v>169.9</v>
      </c>
      <c r="T1365" s="8">
        <v>14</v>
      </c>
      <c r="U1365" s="8"/>
      <c r="V1365" s="8">
        <v>0</v>
      </c>
      <c r="W1365" s="12">
        <v>0</v>
      </c>
      <c r="Y1365">
        <v>0</v>
      </c>
    </row>
    <row r="1366" spans="1:25" ht="40" customHeight="1">
      <c r="A1366" s="6" t="s">
        <v>6863</v>
      </c>
      <c r="B1366" s="6" t="s">
        <v>6864</v>
      </c>
      <c r="C1366" s="6" t="s">
        <v>6858</v>
      </c>
      <c r="D1366" s="6" t="s">
        <v>3239</v>
      </c>
      <c r="E1366" s="6" t="s">
        <v>6865</v>
      </c>
      <c r="F1366" s="6"/>
      <c r="G1366" s="6" t="s">
        <v>5236</v>
      </c>
      <c r="H1366" s="6" t="s">
        <v>6860</v>
      </c>
      <c r="I1366" s="6" t="s">
        <v>6365</v>
      </c>
      <c r="J1366" s="6" t="s">
        <v>6855</v>
      </c>
      <c r="K1366" s="6" t="s">
        <v>6866</v>
      </c>
      <c r="L1366" s="6" t="s">
        <v>6773</v>
      </c>
      <c r="M1366" s="6" t="s">
        <v>6861</v>
      </c>
      <c r="N1366" s="6" t="s">
        <v>6183</v>
      </c>
      <c r="O1366" s="6" t="s">
        <v>6862</v>
      </c>
      <c r="P1366" s="6"/>
      <c r="Q1366" s="8">
        <v>85</v>
      </c>
      <c r="R1366" s="8">
        <v>85.254999999999995</v>
      </c>
      <c r="S1366" s="8">
        <v>169.9</v>
      </c>
      <c r="T1366" s="8">
        <v>14</v>
      </c>
      <c r="U1366" s="8"/>
      <c r="V1366" s="8">
        <v>0</v>
      </c>
      <c r="W1366" s="12">
        <v>0</v>
      </c>
      <c r="Y1366">
        <v>0</v>
      </c>
    </row>
    <row r="1367" spans="1:25" ht="40" customHeight="1">
      <c r="A1367" s="6" t="s">
        <v>6867</v>
      </c>
      <c r="B1367" s="6" t="s">
        <v>6868</v>
      </c>
      <c r="C1367" s="6" t="s">
        <v>6869</v>
      </c>
      <c r="D1367" s="6" t="s">
        <v>27</v>
      </c>
      <c r="E1367" s="6" t="s">
        <v>6870</v>
      </c>
      <c r="F1367" s="6"/>
      <c r="G1367" s="6" t="s">
        <v>5236</v>
      </c>
      <c r="H1367" s="6" t="s">
        <v>6871</v>
      </c>
      <c r="I1367" s="6" t="s">
        <v>6196</v>
      </c>
      <c r="J1367" s="6" t="s">
        <v>6872</v>
      </c>
      <c r="K1367" s="6" t="s">
        <v>6437</v>
      </c>
      <c r="L1367" s="6" t="s">
        <v>5144</v>
      </c>
      <c r="M1367" s="6" t="s">
        <v>6873</v>
      </c>
      <c r="N1367" s="6" t="s">
        <v>6183</v>
      </c>
      <c r="O1367" s="6" t="s">
        <v>6829</v>
      </c>
      <c r="P1367" s="6"/>
      <c r="Q1367" s="8">
        <v>75</v>
      </c>
      <c r="R1367" s="8">
        <v>75.224999999999994</v>
      </c>
      <c r="S1367" s="8">
        <v>149.9</v>
      </c>
      <c r="T1367" s="8">
        <v>16</v>
      </c>
      <c r="U1367" s="8"/>
      <c r="V1367" s="8">
        <v>0</v>
      </c>
      <c r="W1367" s="12">
        <v>0</v>
      </c>
      <c r="Y1367">
        <v>0</v>
      </c>
    </row>
    <row r="1368" spans="1:25" ht="40" customHeight="1">
      <c r="A1368" s="6" t="s">
        <v>6874</v>
      </c>
      <c r="B1368" s="6" t="s">
        <v>6875</v>
      </c>
      <c r="C1368" s="6" t="s">
        <v>6869</v>
      </c>
      <c r="D1368" s="6" t="s">
        <v>6876</v>
      </c>
      <c r="E1368" s="6" t="s">
        <v>6877</v>
      </c>
      <c r="F1368" s="6"/>
      <c r="G1368" s="6" t="s">
        <v>5236</v>
      </c>
      <c r="H1368" s="6" t="s">
        <v>6871</v>
      </c>
      <c r="I1368" s="6" t="s">
        <v>6196</v>
      </c>
      <c r="J1368" s="6" t="s">
        <v>6872</v>
      </c>
      <c r="K1368" s="6" t="s">
        <v>6878</v>
      </c>
      <c r="L1368" s="6" t="s">
        <v>5144</v>
      </c>
      <c r="M1368" s="6" t="s">
        <v>6873</v>
      </c>
      <c r="N1368" s="6" t="s">
        <v>6183</v>
      </c>
      <c r="O1368" s="6" t="s">
        <v>6829</v>
      </c>
      <c r="P1368" s="6"/>
      <c r="Q1368" s="8">
        <v>75</v>
      </c>
      <c r="R1368" s="8">
        <v>75.224999999999994</v>
      </c>
      <c r="S1368" s="8">
        <v>149.9</v>
      </c>
      <c r="T1368" s="8">
        <v>16</v>
      </c>
      <c r="U1368" s="8"/>
      <c r="V1368" s="8">
        <v>0</v>
      </c>
      <c r="W1368" s="12">
        <v>0</v>
      </c>
      <c r="Y1368">
        <v>0</v>
      </c>
    </row>
    <row r="1369" spans="1:25" ht="40" customHeight="1">
      <c r="A1369" s="6" t="s">
        <v>6879</v>
      </c>
      <c r="B1369" s="6" t="s">
        <v>6880</v>
      </c>
      <c r="C1369" s="6" t="s">
        <v>6869</v>
      </c>
      <c r="D1369" s="6" t="s">
        <v>3239</v>
      </c>
      <c r="E1369" s="6" t="s">
        <v>6881</v>
      </c>
      <c r="F1369" s="6"/>
      <c r="G1369" s="6" t="s">
        <v>5236</v>
      </c>
      <c r="H1369" s="6" t="s">
        <v>6871</v>
      </c>
      <c r="I1369" s="6" t="s">
        <v>6196</v>
      </c>
      <c r="J1369" s="6" t="s">
        <v>6872</v>
      </c>
      <c r="K1369" s="6" t="s">
        <v>6866</v>
      </c>
      <c r="L1369" s="6" t="s">
        <v>5144</v>
      </c>
      <c r="M1369" s="6" t="s">
        <v>6873</v>
      </c>
      <c r="N1369" s="6" t="s">
        <v>6183</v>
      </c>
      <c r="O1369" s="6" t="s">
        <v>6829</v>
      </c>
      <c r="P1369" s="6"/>
      <c r="Q1369" s="8">
        <v>75</v>
      </c>
      <c r="R1369" s="8">
        <v>75.224999999999994</v>
      </c>
      <c r="S1369" s="8">
        <v>149.9</v>
      </c>
      <c r="T1369" s="8">
        <v>16</v>
      </c>
      <c r="U1369" s="8"/>
      <c r="V1369" s="8">
        <v>0</v>
      </c>
      <c r="W1369" s="12">
        <v>0</v>
      </c>
      <c r="Y1369">
        <v>0</v>
      </c>
    </row>
    <row r="1370" spans="1:25" ht="40" customHeight="1">
      <c r="A1370" s="6" t="s">
        <v>6882</v>
      </c>
      <c r="B1370" s="6" t="s">
        <v>6883</v>
      </c>
      <c r="C1370" s="6" t="s">
        <v>6884</v>
      </c>
      <c r="D1370" s="6" t="s">
        <v>4451</v>
      </c>
      <c r="E1370" s="6" t="s">
        <v>6885</v>
      </c>
      <c r="F1370" s="6"/>
      <c r="G1370" s="6" t="s">
        <v>5236</v>
      </c>
      <c r="H1370" s="6" t="s">
        <v>6886</v>
      </c>
      <c r="I1370" s="6" t="s">
        <v>6196</v>
      </c>
      <c r="J1370" s="6" t="s">
        <v>6887</v>
      </c>
      <c r="K1370" s="6" t="s">
        <v>6888</v>
      </c>
      <c r="L1370" s="6" t="s">
        <v>54</v>
      </c>
      <c r="M1370" s="6" t="s">
        <v>54</v>
      </c>
      <c r="N1370" s="6" t="s">
        <v>6183</v>
      </c>
      <c r="O1370" s="6" t="s">
        <v>6889</v>
      </c>
      <c r="P1370" s="6"/>
      <c r="Q1370" s="8">
        <v>75</v>
      </c>
      <c r="R1370" s="8">
        <v>75.224999999999994</v>
      </c>
      <c r="S1370" s="8">
        <v>149.9</v>
      </c>
      <c r="T1370" s="8">
        <v>16</v>
      </c>
      <c r="U1370" s="8"/>
      <c r="V1370" s="8">
        <v>0</v>
      </c>
      <c r="W1370" s="12">
        <v>0</v>
      </c>
      <c r="Y1370">
        <v>0</v>
      </c>
    </row>
    <row r="1371" spans="1:25" ht="40" customHeight="1">
      <c r="A1371" s="6" t="s">
        <v>6890</v>
      </c>
      <c r="B1371" s="6" t="s">
        <v>6891</v>
      </c>
      <c r="C1371" s="6" t="s">
        <v>6884</v>
      </c>
      <c r="D1371" s="6" t="s">
        <v>4438</v>
      </c>
      <c r="E1371" s="6" t="s">
        <v>6892</v>
      </c>
      <c r="F1371" s="6"/>
      <c r="G1371" s="6" t="s">
        <v>5236</v>
      </c>
      <c r="H1371" s="6" t="s">
        <v>6886</v>
      </c>
      <c r="I1371" s="6" t="s">
        <v>6196</v>
      </c>
      <c r="J1371" s="6" t="s">
        <v>6887</v>
      </c>
      <c r="K1371" s="6" t="s">
        <v>6534</v>
      </c>
      <c r="L1371" s="6" t="s">
        <v>54</v>
      </c>
      <c r="M1371" s="6" t="s">
        <v>54</v>
      </c>
      <c r="N1371" s="6" t="s">
        <v>6183</v>
      </c>
      <c r="O1371" s="6" t="s">
        <v>6889</v>
      </c>
      <c r="P1371" s="6"/>
      <c r="Q1371" s="8">
        <v>75</v>
      </c>
      <c r="R1371" s="8">
        <v>75.224999999999994</v>
      </c>
      <c r="S1371" s="8">
        <v>149.9</v>
      </c>
      <c r="T1371" s="8">
        <v>16</v>
      </c>
      <c r="U1371" s="8"/>
      <c r="V1371" s="8">
        <v>0</v>
      </c>
      <c r="W1371" s="12">
        <v>0</v>
      </c>
      <c r="Y1371">
        <v>0</v>
      </c>
    </row>
    <row r="1372" spans="1:25" ht="40" customHeight="1">
      <c r="A1372" s="6" t="s">
        <v>6893</v>
      </c>
      <c r="B1372" s="6" t="s">
        <v>6894</v>
      </c>
      <c r="C1372" s="6" t="s">
        <v>6895</v>
      </c>
      <c r="D1372" s="6" t="s">
        <v>4017</v>
      </c>
      <c r="E1372" s="6" t="s">
        <v>6896</v>
      </c>
      <c r="F1372" s="6"/>
      <c r="G1372" s="6" t="s">
        <v>5236</v>
      </c>
      <c r="H1372" s="6" t="s">
        <v>6897</v>
      </c>
      <c r="I1372" s="6" t="s">
        <v>6196</v>
      </c>
      <c r="J1372" s="6" t="s">
        <v>6898</v>
      </c>
      <c r="K1372" s="6" t="s">
        <v>6899</v>
      </c>
      <c r="L1372" s="6" t="s">
        <v>6798</v>
      </c>
      <c r="M1372" s="6" t="s">
        <v>6900</v>
      </c>
      <c r="N1372" s="6" t="s">
        <v>6183</v>
      </c>
      <c r="O1372" s="6" t="s">
        <v>6901</v>
      </c>
      <c r="P1372" s="6" t="s">
        <v>6902</v>
      </c>
      <c r="Q1372" s="8">
        <v>85</v>
      </c>
      <c r="R1372" s="8">
        <v>85.254999999999995</v>
      </c>
      <c r="S1372" s="8">
        <v>169.9</v>
      </c>
      <c r="T1372" s="8">
        <v>16</v>
      </c>
      <c r="U1372" s="8"/>
      <c r="V1372" s="8">
        <v>0</v>
      </c>
      <c r="W1372" s="12">
        <v>0</v>
      </c>
      <c r="Y1372">
        <v>0</v>
      </c>
    </row>
    <row r="1373" spans="1:25" ht="40" customHeight="1">
      <c r="A1373" s="6" t="s">
        <v>6903</v>
      </c>
      <c r="B1373" s="6" t="s">
        <v>6904</v>
      </c>
      <c r="C1373" s="6" t="s">
        <v>6895</v>
      </c>
      <c r="D1373" s="6" t="s">
        <v>1186</v>
      </c>
      <c r="E1373" s="6" t="s">
        <v>6905</v>
      </c>
      <c r="F1373" s="6"/>
      <c r="G1373" s="6" t="s">
        <v>5236</v>
      </c>
      <c r="H1373" s="6" t="s">
        <v>6897</v>
      </c>
      <c r="I1373" s="6" t="s">
        <v>6196</v>
      </c>
      <c r="J1373" s="6" t="s">
        <v>6898</v>
      </c>
      <c r="K1373" s="6" t="s">
        <v>6189</v>
      </c>
      <c r="L1373" s="6" t="s">
        <v>6798</v>
      </c>
      <c r="M1373" s="6" t="s">
        <v>6900</v>
      </c>
      <c r="N1373" s="6" t="s">
        <v>6183</v>
      </c>
      <c r="O1373" s="6" t="s">
        <v>6901</v>
      </c>
      <c r="P1373" s="6" t="s">
        <v>6902</v>
      </c>
      <c r="Q1373" s="8">
        <v>85</v>
      </c>
      <c r="R1373" s="8">
        <v>85.254999999999995</v>
      </c>
      <c r="S1373" s="8">
        <v>169.9</v>
      </c>
      <c r="T1373" s="8">
        <v>16</v>
      </c>
      <c r="U1373" s="8"/>
      <c r="V1373" s="8">
        <v>0</v>
      </c>
      <c r="W1373" s="12">
        <v>0</v>
      </c>
      <c r="Y1373">
        <v>0</v>
      </c>
    </row>
    <row r="1374" spans="1:25" ht="40" customHeight="1">
      <c r="A1374" s="6" t="s">
        <v>6906</v>
      </c>
      <c r="B1374" s="6" t="s">
        <v>6907</v>
      </c>
      <c r="C1374" s="6" t="s">
        <v>6895</v>
      </c>
      <c r="D1374" s="6" t="s">
        <v>6908</v>
      </c>
      <c r="E1374" s="6" t="s">
        <v>6909</v>
      </c>
      <c r="F1374" s="6"/>
      <c r="G1374" s="6" t="s">
        <v>5236</v>
      </c>
      <c r="H1374" s="6" t="s">
        <v>6897</v>
      </c>
      <c r="I1374" s="6" t="s">
        <v>6196</v>
      </c>
      <c r="J1374" s="6" t="s">
        <v>6898</v>
      </c>
      <c r="K1374" s="8"/>
      <c r="L1374" s="8"/>
      <c r="M1374" s="8"/>
      <c r="N1374" s="8"/>
      <c r="O1374" s="8"/>
      <c r="P1374" s="8"/>
      <c r="Q1374" s="8">
        <v>85</v>
      </c>
      <c r="R1374" s="8">
        <v>85.254999999999995</v>
      </c>
      <c r="S1374" s="8">
        <v>169.9</v>
      </c>
      <c r="T1374" s="8">
        <v>16</v>
      </c>
      <c r="U1374" s="8"/>
      <c r="V1374" s="8">
        <v>0</v>
      </c>
      <c r="W1374" s="12">
        <v>0</v>
      </c>
      <c r="Y1374">
        <v>0</v>
      </c>
    </row>
    <row r="1375" spans="1:25" ht="40" customHeight="1">
      <c r="A1375" s="6" t="s">
        <v>6910</v>
      </c>
      <c r="B1375" s="6" t="s">
        <v>6911</v>
      </c>
      <c r="C1375" s="6" t="s">
        <v>6895</v>
      </c>
      <c r="D1375" s="6" t="s">
        <v>1842</v>
      </c>
      <c r="E1375" s="6" t="s">
        <v>6912</v>
      </c>
      <c r="F1375" s="6"/>
      <c r="G1375" s="6" t="s">
        <v>5236</v>
      </c>
      <c r="H1375" s="6" t="s">
        <v>6897</v>
      </c>
      <c r="I1375" s="6" t="s">
        <v>6196</v>
      </c>
      <c r="J1375" s="6" t="s">
        <v>6898</v>
      </c>
      <c r="K1375" s="6" t="s">
        <v>6913</v>
      </c>
      <c r="L1375" s="6" t="s">
        <v>6798</v>
      </c>
      <c r="M1375" s="6" t="s">
        <v>6900</v>
      </c>
      <c r="N1375" s="6" t="s">
        <v>6183</v>
      </c>
      <c r="O1375" s="6" t="s">
        <v>6901</v>
      </c>
      <c r="P1375" s="6" t="s">
        <v>6902</v>
      </c>
      <c r="Q1375" s="8">
        <v>85</v>
      </c>
      <c r="R1375" s="8">
        <v>85.254999999999995</v>
      </c>
      <c r="S1375" s="8">
        <v>169.9</v>
      </c>
      <c r="T1375" s="8">
        <v>16</v>
      </c>
      <c r="U1375" s="8"/>
      <c r="V1375" s="8">
        <v>0</v>
      </c>
      <c r="W1375" s="12">
        <v>0</v>
      </c>
      <c r="Y1375">
        <v>0</v>
      </c>
    </row>
    <row r="1376" spans="1:25" ht="40" customHeight="1">
      <c r="A1376" s="6" t="s">
        <v>6914</v>
      </c>
      <c r="B1376" s="6" t="s">
        <v>6915</v>
      </c>
      <c r="C1376" s="6" t="s">
        <v>6916</v>
      </c>
      <c r="D1376" s="6" t="s">
        <v>4451</v>
      </c>
      <c r="E1376" s="6" t="s">
        <v>6917</v>
      </c>
      <c r="F1376" s="6"/>
      <c r="G1376" s="6" t="s">
        <v>1021</v>
      </c>
      <c r="H1376" s="6" t="s">
        <v>215</v>
      </c>
      <c r="I1376" s="6" t="s">
        <v>6196</v>
      </c>
      <c r="J1376" s="6" t="s">
        <v>6918</v>
      </c>
      <c r="K1376" s="6" t="s">
        <v>6460</v>
      </c>
      <c r="L1376" s="6" t="s">
        <v>6515</v>
      </c>
      <c r="M1376" s="6" t="s">
        <v>6919</v>
      </c>
      <c r="N1376" s="6" t="s">
        <v>6183</v>
      </c>
      <c r="O1376" s="6" t="s">
        <v>6920</v>
      </c>
      <c r="P1376" s="6"/>
      <c r="Q1376" s="8">
        <v>90</v>
      </c>
      <c r="R1376" s="8">
        <v>90.27</v>
      </c>
      <c r="S1376" s="8">
        <v>179.9</v>
      </c>
      <c r="T1376" s="8">
        <v>16</v>
      </c>
      <c r="U1376" s="8"/>
      <c r="V1376" s="8">
        <v>0</v>
      </c>
      <c r="W1376" s="12">
        <v>0</v>
      </c>
      <c r="Y1376">
        <v>0</v>
      </c>
    </row>
    <row r="1377" spans="1:25" ht="40" customHeight="1">
      <c r="A1377" s="6" t="s">
        <v>6921</v>
      </c>
      <c r="B1377" s="18" t="s">
        <v>6922</v>
      </c>
      <c r="C1377" s="18" t="s">
        <v>6916</v>
      </c>
      <c r="D1377" s="18" t="s">
        <v>1136</v>
      </c>
      <c r="E1377" s="6" t="s">
        <v>6923</v>
      </c>
      <c r="F1377" s="6"/>
      <c r="G1377" s="6" t="s">
        <v>1021</v>
      </c>
      <c r="H1377" s="6" t="s">
        <v>215</v>
      </c>
      <c r="I1377" s="6" t="s">
        <v>6196</v>
      </c>
      <c r="J1377" s="6" t="s">
        <v>6918</v>
      </c>
      <c r="K1377" s="6" t="s">
        <v>6924</v>
      </c>
      <c r="L1377" s="6" t="s">
        <v>6515</v>
      </c>
      <c r="M1377" s="6" t="s">
        <v>6919</v>
      </c>
      <c r="N1377" s="6" t="s">
        <v>6183</v>
      </c>
      <c r="O1377" s="6" t="s">
        <v>6920</v>
      </c>
      <c r="P1377" s="6"/>
      <c r="Q1377" s="8">
        <v>90</v>
      </c>
      <c r="R1377" s="8">
        <v>90.27</v>
      </c>
      <c r="S1377" s="8">
        <v>179.9</v>
      </c>
      <c r="T1377" s="8">
        <v>16</v>
      </c>
      <c r="U1377" s="8"/>
      <c r="V1377" s="8">
        <v>0</v>
      </c>
      <c r="W1377" s="12">
        <v>0</v>
      </c>
      <c r="Y1377">
        <v>0</v>
      </c>
    </row>
    <row r="1378" spans="1:25" ht="43.5" customHeight="1">
      <c r="A1378" s="6" t="s">
        <v>6925</v>
      </c>
      <c r="B1378" s="6" t="s">
        <v>6926</v>
      </c>
      <c r="C1378" s="6" t="s">
        <v>6916</v>
      </c>
      <c r="D1378" s="6" t="s">
        <v>4327</v>
      </c>
      <c r="E1378" s="6" t="s">
        <v>6927</v>
      </c>
      <c r="F1378" s="6"/>
      <c r="G1378" s="6" t="s">
        <v>1021</v>
      </c>
      <c r="H1378" s="6" t="s">
        <v>215</v>
      </c>
      <c r="I1378" s="6" t="s">
        <v>6196</v>
      </c>
      <c r="J1378" s="6" t="s">
        <v>6918</v>
      </c>
      <c r="K1378" s="6" t="s">
        <v>6928</v>
      </c>
      <c r="L1378" s="6" t="s">
        <v>6515</v>
      </c>
      <c r="M1378" s="6" t="s">
        <v>6919</v>
      </c>
      <c r="N1378" s="6" t="s">
        <v>6183</v>
      </c>
      <c r="O1378" s="6" t="s">
        <v>6920</v>
      </c>
      <c r="P1378" s="6"/>
      <c r="Q1378" s="8">
        <v>90</v>
      </c>
      <c r="R1378" s="8">
        <v>90.27</v>
      </c>
      <c r="S1378" s="8">
        <v>179.9</v>
      </c>
      <c r="T1378" s="8">
        <v>16</v>
      </c>
      <c r="U1378" s="8"/>
      <c r="V1378" s="8">
        <v>0</v>
      </c>
      <c r="W1378" s="12">
        <v>0</v>
      </c>
      <c r="Y1378">
        <v>0</v>
      </c>
    </row>
    <row r="1379" spans="1:25" ht="40" customHeight="1">
      <c r="A1379" s="6" t="s">
        <v>6929</v>
      </c>
      <c r="B1379" s="6" t="s">
        <v>6930</v>
      </c>
      <c r="C1379" s="6" t="s">
        <v>6931</v>
      </c>
      <c r="D1379" s="6" t="s">
        <v>27</v>
      </c>
      <c r="E1379" s="6" t="s">
        <v>6932</v>
      </c>
      <c r="F1379" s="6"/>
      <c r="G1379" s="6" t="s">
        <v>6933</v>
      </c>
      <c r="H1379" s="6" t="s">
        <v>215</v>
      </c>
      <c r="I1379" s="6" t="s">
        <v>6365</v>
      </c>
      <c r="J1379" s="6" t="s">
        <v>6934</v>
      </c>
      <c r="K1379" s="6" t="s">
        <v>6845</v>
      </c>
      <c r="L1379" s="6" t="s">
        <v>54</v>
      </c>
      <c r="M1379" s="6" t="s">
        <v>54</v>
      </c>
      <c r="N1379" s="6" t="s">
        <v>6183</v>
      </c>
      <c r="O1379" s="6" t="s">
        <v>6935</v>
      </c>
      <c r="P1379" s="6"/>
      <c r="Q1379" s="8">
        <v>90</v>
      </c>
      <c r="R1379" s="8">
        <v>90.27</v>
      </c>
      <c r="S1379" s="8">
        <v>179.9</v>
      </c>
      <c r="T1379" s="8">
        <v>14</v>
      </c>
      <c r="U1379" s="8"/>
      <c r="V1379" s="8">
        <v>0</v>
      </c>
      <c r="W1379" s="12">
        <v>0</v>
      </c>
      <c r="Y1379">
        <v>0</v>
      </c>
    </row>
    <row r="1380" spans="1:25" ht="40" customHeight="1">
      <c r="A1380" s="6" t="s">
        <v>6936</v>
      </c>
      <c r="B1380" s="6" t="s">
        <v>6937</v>
      </c>
      <c r="C1380" s="6" t="s">
        <v>6938</v>
      </c>
      <c r="D1380" s="6" t="s">
        <v>27</v>
      </c>
      <c r="E1380" s="6" t="s">
        <v>6939</v>
      </c>
      <c r="F1380" s="6"/>
      <c r="G1380" s="6" t="s">
        <v>5289</v>
      </c>
      <c r="H1380" s="6" t="s">
        <v>215</v>
      </c>
      <c r="I1380" s="6" t="s">
        <v>6365</v>
      </c>
      <c r="J1380" s="6" t="s">
        <v>6940</v>
      </c>
      <c r="K1380" s="6" t="s">
        <v>6343</v>
      </c>
      <c r="L1380" s="6" t="s">
        <v>6941</v>
      </c>
      <c r="M1380" s="6" t="s">
        <v>6942</v>
      </c>
      <c r="N1380" s="6" t="s">
        <v>6183</v>
      </c>
      <c r="O1380" s="6" t="s">
        <v>6409</v>
      </c>
      <c r="P1380" s="6" t="s">
        <v>6943</v>
      </c>
      <c r="Q1380" s="8">
        <v>90</v>
      </c>
      <c r="R1380" s="8">
        <v>90.27</v>
      </c>
      <c r="S1380" s="8">
        <v>179.9</v>
      </c>
      <c r="T1380" s="8">
        <v>14</v>
      </c>
      <c r="U1380" s="8"/>
      <c r="V1380" s="8">
        <v>0</v>
      </c>
      <c r="W1380" s="12">
        <v>0</v>
      </c>
      <c r="Y1380">
        <v>0</v>
      </c>
    </row>
    <row r="1381" spans="1:25" ht="40" customHeight="1">
      <c r="A1381" s="6" t="s">
        <v>6944</v>
      </c>
      <c r="B1381" s="6" t="s">
        <v>6945</v>
      </c>
      <c r="C1381" s="6" t="s">
        <v>6946</v>
      </c>
      <c r="D1381" s="6" t="s">
        <v>2380</v>
      </c>
      <c r="E1381" s="6" t="s">
        <v>6947</v>
      </c>
      <c r="F1381" s="6"/>
      <c r="G1381" s="6" t="s">
        <v>5803</v>
      </c>
      <c r="H1381" s="6" t="s">
        <v>215</v>
      </c>
      <c r="I1381" s="6" t="s">
        <v>6196</v>
      </c>
      <c r="J1381" s="6" t="s">
        <v>6948</v>
      </c>
      <c r="K1381" s="6" t="s">
        <v>6343</v>
      </c>
      <c r="L1381" s="6" t="s">
        <v>5144</v>
      </c>
      <c r="M1381" s="6" t="s">
        <v>6949</v>
      </c>
      <c r="N1381" s="6" t="s">
        <v>6345</v>
      </c>
      <c r="O1381" s="6" t="s">
        <v>5203</v>
      </c>
      <c r="P1381" s="6"/>
      <c r="Q1381" s="8">
        <v>85</v>
      </c>
      <c r="R1381" s="8">
        <v>85.254999999999995</v>
      </c>
      <c r="S1381" s="8">
        <v>169.9</v>
      </c>
      <c r="T1381" s="8">
        <v>16</v>
      </c>
      <c r="U1381" s="8"/>
      <c r="V1381" s="8">
        <v>0</v>
      </c>
      <c r="W1381" s="12">
        <v>0</v>
      </c>
      <c r="Y1381">
        <v>0</v>
      </c>
    </row>
    <row r="1382" spans="1:25" ht="40" customHeight="1">
      <c r="A1382" s="6" t="s">
        <v>6950</v>
      </c>
      <c r="B1382" s="6" t="s">
        <v>6951</v>
      </c>
      <c r="C1382" s="6" t="s">
        <v>6946</v>
      </c>
      <c r="D1382" s="6" t="s">
        <v>27</v>
      </c>
      <c r="E1382" s="6" t="s">
        <v>6952</v>
      </c>
      <c r="F1382" s="6"/>
      <c r="G1382" s="6" t="s">
        <v>5803</v>
      </c>
      <c r="H1382" s="6" t="s">
        <v>215</v>
      </c>
      <c r="I1382" s="6" t="s">
        <v>6196</v>
      </c>
      <c r="J1382" s="6" t="s">
        <v>6948</v>
      </c>
      <c r="K1382" s="6" t="s">
        <v>6343</v>
      </c>
      <c r="L1382" s="6" t="s">
        <v>5144</v>
      </c>
      <c r="M1382" s="6" t="s">
        <v>6949</v>
      </c>
      <c r="N1382" s="6" t="s">
        <v>6345</v>
      </c>
      <c r="O1382" s="6" t="s">
        <v>5203</v>
      </c>
      <c r="P1382" s="6"/>
      <c r="Q1382" s="8">
        <v>85</v>
      </c>
      <c r="R1382" s="8">
        <v>85.254999999999995</v>
      </c>
      <c r="S1382" s="8">
        <v>169.9</v>
      </c>
      <c r="T1382" s="8">
        <v>16</v>
      </c>
      <c r="U1382" s="8"/>
      <c r="V1382" s="8">
        <v>0</v>
      </c>
      <c r="W1382" s="12">
        <v>0</v>
      </c>
      <c r="Y1382">
        <v>0</v>
      </c>
    </row>
    <row r="1383" spans="1:25" ht="40" customHeight="1">
      <c r="A1383" s="6" t="s">
        <v>6953</v>
      </c>
      <c r="B1383" s="6" t="s">
        <v>6954</v>
      </c>
      <c r="C1383" s="6" t="s">
        <v>6946</v>
      </c>
      <c r="D1383" s="6" t="s">
        <v>6955</v>
      </c>
      <c r="E1383" s="6" t="s">
        <v>6956</v>
      </c>
      <c r="F1383" s="6"/>
      <c r="G1383" s="6" t="s">
        <v>5803</v>
      </c>
      <c r="H1383" s="6" t="s">
        <v>215</v>
      </c>
      <c r="I1383" s="6" t="s">
        <v>6196</v>
      </c>
      <c r="J1383" s="6" t="s">
        <v>6948</v>
      </c>
      <c r="K1383" s="6" t="s">
        <v>6957</v>
      </c>
      <c r="L1383" s="6" t="s">
        <v>5144</v>
      </c>
      <c r="M1383" s="6" t="s">
        <v>6949</v>
      </c>
      <c r="N1383" s="6" t="s">
        <v>6345</v>
      </c>
      <c r="O1383" s="6" t="s">
        <v>5203</v>
      </c>
      <c r="P1383" s="6"/>
      <c r="Q1383" s="8">
        <v>85</v>
      </c>
      <c r="R1383" s="8">
        <v>85.254999999999995</v>
      </c>
      <c r="S1383" s="8">
        <v>169.9</v>
      </c>
      <c r="T1383" s="8">
        <v>16</v>
      </c>
      <c r="U1383" s="8"/>
      <c r="V1383" s="8">
        <v>0</v>
      </c>
      <c r="W1383" s="12">
        <v>0</v>
      </c>
      <c r="Y1383">
        <v>0</v>
      </c>
    </row>
    <row r="1384" spans="1:25" ht="40" customHeight="1">
      <c r="A1384" s="6" t="s">
        <v>6958</v>
      </c>
      <c r="B1384" s="6" t="s">
        <v>6959</v>
      </c>
      <c r="C1384" s="6" t="s">
        <v>6946</v>
      </c>
      <c r="D1384" s="6" t="s">
        <v>862</v>
      </c>
      <c r="E1384" s="6" t="s">
        <v>6960</v>
      </c>
      <c r="F1384" s="6"/>
      <c r="G1384" s="6" t="s">
        <v>5803</v>
      </c>
      <c r="H1384" s="6" t="s">
        <v>215</v>
      </c>
      <c r="I1384" s="6" t="s">
        <v>6196</v>
      </c>
      <c r="J1384" s="6" t="s">
        <v>6948</v>
      </c>
      <c r="K1384" s="6" t="s">
        <v>6961</v>
      </c>
      <c r="L1384" s="6" t="s">
        <v>5144</v>
      </c>
      <c r="M1384" s="6" t="s">
        <v>6949</v>
      </c>
      <c r="N1384" s="6" t="s">
        <v>6345</v>
      </c>
      <c r="O1384" s="6" t="s">
        <v>5203</v>
      </c>
      <c r="P1384" s="6"/>
      <c r="Q1384" s="8">
        <v>85</v>
      </c>
      <c r="R1384" s="8">
        <v>85.254999999999995</v>
      </c>
      <c r="S1384" s="8">
        <v>169.9</v>
      </c>
      <c r="T1384" s="8">
        <v>16</v>
      </c>
      <c r="U1384" s="8"/>
      <c r="V1384" s="8">
        <v>0</v>
      </c>
      <c r="W1384" s="12">
        <v>0</v>
      </c>
      <c r="Y1384">
        <v>0</v>
      </c>
    </row>
    <row r="1385" spans="1:25" ht="40" customHeight="1">
      <c r="A1385" s="6" t="s">
        <v>6962</v>
      </c>
      <c r="B1385" s="6" t="s">
        <v>6963</v>
      </c>
      <c r="C1385" s="6" t="s">
        <v>6946</v>
      </c>
      <c r="D1385" s="6" t="s">
        <v>126</v>
      </c>
      <c r="E1385" s="6" t="s">
        <v>6964</v>
      </c>
      <c r="F1385" s="6"/>
      <c r="G1385" s="6" t="s">
        <v>5803</v>
      </c>
      <c r="H1385" s="6" t="s">
        <v>215</v>
      </c>
      <c r="I1385" s="6" t="s">
        <v>6196</v>
      </c>
      <c r="J1385" s="6" t="s">
        <v>6948</v>
      </c>
      <c r="K1385" s="6" t="s">
        <v>6359</v>
      </c>
      <c r="L1385" s="6" t="s">
        <v>5144</v>
      </c>
      <c r="M1385" s="6" t="s">
        <v>6949</v>
      </c>
      <c r="N1385" s="6" t="s">
        <v>6345</v>
      </c>
      <c r="O1385" s="6" t="s">
        <v>5203</v>
      </c>
      <c r="P1385" s="6"/>
      <c r="Q1385" s="8">
        <v>85</v>
      </c>
      <c r="R1385" s="8">
        <v>85.254999999999995</v>
      </c>
      <c r="S1385" s="8">
        <v>169.9</v>
      </c>
      <c r="T1385" s="8">
        <v>16</v>
      </c>
      <c r="U1385" s="8"/>
      <c r="V1385" s="8">
        <v>0</v>
      </c>
      <c r="W1385" s="12">
        <v>0</v>
      </c>
      <c r="Y1385">
        <v>0</v>
      </c>
    </row>
    <row r="1386" spans="1:25" ht="40" customHeight="1">
      <c r="A1386" s="6" t="s">
        <v>6965</v>
      </c>
      <c r="B1386" s="6" t="s">
        <v>6966</v>
      </c>
      <c r="C1386" s="6" t="s">
        <v>6967</v>
      </c>
      <c r="D1386" s="6" t="s">
        <v>2380</v>
      </c>
      <c r="E1386" s="6" t="s">
        <v>6968</v>
      </c>
      <c r="F1386" s="6"/>
      <c r="G1386" s="6" t="s">
        <v>5803</v>
      </c>
      <c r="H1386" s="6" t="s">
        <v>215</v>
      </c>
      <c r="I1386" s="6" t="s">
        <v>6178</v>
      </c>
      <c r="J1386" s="6" t="s">
        <v>6969</v>
      </c>
      <c r="K1386" s="6" t="s">
        <v>6343</v>
      </c>
      <c r="L1386" s="6" t="s">
        <v>5144</v>
      </c>
      <c r="M1386" s="6" t="s">
        <v>6970</v>
      </c>
      <c r="N1386" s="6" t="s">
        <v>6345</v>
      </c>
      <c r="O1386" s="6" t="s">
        <v>5203</v>
      </c>
      <c r="P1386" s="6"/>
      <c r="Q1386" s="8">
        <v>75</v>
      </c>
      <c r="R1386" s="8">
        <v>75.224999999999994</v>
      </c>
      <c r="S1386" s="8">
        <v>149.9</v>
      </c>
      <c r="T1386" s="8">
        <v>14</v>
      </c>
      <c r="U1386" s="8"/>
      <c r="V1386" s="8">
        <v>0</v>
      </c>
      <c r="W1386" s="12">
        <v>0</v>
      </c>
      <c r="Y1386">
        <v>0</v>
      </c>
    </row>
    <row r="1387" spans="1:25" ht="40" customHeight="1">
      <c r="A1387" s="6" t="s">
        <v>6971</v>
      </c>
      <c r="B1387" s="6" t="s">
        <v>6972</v>
      </c>
      <c r="C1387" s="6" t="s">
        <v>6967</v>
      </c>
      <c r="D1387" s="6" t="s">
        <v>862</v>
      </c>
      <c r="E1387" s="6" t="s">
        <v>6973</v>
      </c>
      <c r="F1387" s="6"/>
      <c r="G1387" s="6" t="s">
        <v>5803</v>
      </c>
      <c r="H1387" s="6" t="s">
        <v>215</v>
      </c>
      <c r="I1387" s="6" t="s">
        <v>6178</v>
      </c>
      <c r="J1387" s="6" t="s">
        <v>6969</v>
      </c>
      <c r="K1387" s="6" t="s">
        <v>6961</v>
      </c>
      <c r="L1387" s="6" t="s">
        <v>5144</v>
      </c>
      <c r="M1387" s="6" t="s">
        <v>6970</v>
      </c>
      <c r="N1387" s="6" t="s">
        <v>6345</v>
      </c>
      <c r="O1387" s="6" t="s">
        <v>5203</v>
      </c>
      <c r="P1387" s="6"/>
      <c r="Q1387" s="8">
        <v>75</v>
      </c>
      <c r="R1387" s="8">
        <v>75.224999999999994</v>
      </c>
      <c r="S1387" s="8">
        <v>149.9</v>
      </c>
      <c r="T1387" s="8">
        <v>14</v>
      </c>
      <c r="U1387" s="8"/>
      <c r="V1387" s="8">
        <v>0</v>
      </c>
      <c r="W1387" s="12">
        <v>0</v>
      </c>
      <c r="Y1387">
        <v>0</v>
      </c>
    </row>
    <row r="1388" spans="1:25" ht="40" customHeight="1">
      <c r="A1388" s="6" t="s">
        <v>6974</v>
      </c>
      <c r="B1388" s="6" t="s">
        <v>6975</v>
      </c>
      <c r="C1388" s="6" t="s">
        <v>6967</v>
      </c>
      <c r="D1388" s="6" t="s">
        <v>126</v>
      </c>
      <c r="E1388" s="6" t="s">
        <v>6976</v>
      </c>
      <c r="F1388" s="6"/>
      <c r="G1388" s="6" t="s">
        <v>5803</v>
      </c>
      <c r="H1388" s="6" t="s">
        <v>215</v>
      </c>
      <c r="I1388" s="6" t="s">
        <v>6178</v>
      </c>
      <c r="J1388" s="6" t="s">
        <v>6969</v>
      </c>
      <c r="K1388" s="6" t="s">
        <v>6359</v>
      </c>
      <c r="L1388" s="6" t="s">
        <v>5144</v>
      </c>
      <c r="M1388" s="6" t="s">
        <v>6970</v>
      </c>
      <c r="N1388" s="6" t="s">
        <v>6345</v>
      </c>
      <c r="O1388" s="6" t="s">
        <v>5203</v>
      </c>
      <c r="P1388" s="6"/>
      <c r="Q1388" s="8">
        <v>75</v>
      </c>
      <c r="R1388" s="8">
        <v>75.224999999999994</v>
      </c>
      <c r="S1388" s="8">
        <v>149.9</v>
      </c>
      <c r="T1388" s="8">
        <v>14</v>
      </c>
      <c r="U1388" s="8"/>
      <c r="V1388" s="8">
        <v>0</v>
      </c>
      <c r="W1388" s="12">
        <v>0</v>
      </c>
      <c r="Y1388">
        <v>0</v>
      </c>
    </row>
    <row r="1389" spans="1:25" ht="40" customHeight="1">
      <c r="A1389" s="6" t="s">
        <v>6977</v>
      </c>
      <c r="B1389" s="6" t="s">
        <v>6978</v>
      </c>
      <c r="C1389" s="6" t="s">
        <v>6979</v>
      </c>
      <c r="D1389" s="6" t="s">
        <v>2380</v>
      </c>
      <c r="E1389" s="6" t="s">
        <v>6980</v>
      </c>
      <c r="F1389" s="6"/>
      <c r="G1389" s="6" t="s">
        <v>5803</v>
      </c>
      <c r="H1389" s="6" t="s">
        <v>6981</v>
      </c>
      <c r="I1389" s="6" t="s">
        <v>6365</v>
      </c>
      <c r="J1389" s="6" t="s">
        <v>6982</v>
      </c>
      <c r="K1389" s="6" t="s">
        <v>6343</v>
      </c>
      <c r="L1389" s="6" t="s">
        <v>6773</v>
      </c>
      <c r="M1389" s="6" t="s">
        <v>6983</v>
      </c>
      <c r="N1389" s="6" t="s">
        <v>6345</v>
      </c>
      <c r="O1389" s="6" t="s">
        <v>6014</v>
      </c>
      <c r="P1389" s="6"/>
      <c r="Q1389" s="8">
        <v>90</v>
      </c>
      <c r="R1389" s="8">
        <v>90.27</v>
      </c>
      <c r="S1389" s="8">
        <v>179.9</v>
      </c>
      <c r="T1389" s="8">
        <v>14</v>
      </c>
      <c r="U1389" s="8"/>
      <c r="V1389" s="8">
        <v>0</v>
      </c>
      <c r="W1389" s="12">
        <v>0</v>
      </c>
      <c r="Y1389">
        <v>0</v>
      </c>
    </row>
    <row r="1390" spans="1:25" ht="40" customHeight="1">
      <c r="A1390" s="6" t="s">
        <v>6984</v>
      </c>
      <c r="B1390" s="6" t="s">
        <v>6985</v>
      </c>
      <c r="C1390" s="6" t="s">
        <v>6979</v>
      </c>
      <c r="D1390" s="6" t="s">
        <v>126</v>
      </c>
      <c r="E1390" s="6" t="s">
        <v>6986</v>
      </c>
      <c r="F1390" s="6"/>
      <c r="G1390" s="6" t="s">
        <v>5803</v>
      </c>
      <c r="H1390" s="6" t="s">
        <v>6981</v>
      </c>
      <c r="I1390" s="6" t="s">
        <v>6365</v>
      </c>
      <c r="J1390" s="6" t="s">
        <v>6982</v>
      </c>
      <c r="K1390" s="6" t="s">
        <v>6359</v>
      </c>
      <c r="L1390" s="6" t="s">
        <v>6773</v>
      </c>
      <c r="M1390" s="6" t="s">
        <v>6983</v>
      </c>
      <c r="N1390" s="6" t="s">
        <v>6345</v>
      </c>
      <c r="O1390" s="6" t="s">
        <v>6014</v>
      </c>
      <c r="P1390" s="6"/>
      <c r="Q1390" s="8">
        <v>90</v>
      </c>
      <c r="R1390" s="8">
        <v>90.27</v>
      </c>
      <c r="S1390" s="8">
        <v>179.9</v>
      </c>
      <c r="T1390" s="8">
        <v>14</v>
      </c>
      <c r="U1390" s="8"/>
      <c r="V1390" s="8">
        <v>0</v>
      </c>
      <c r="W1390" s="12">
        <v>0</v>
      </c>
      <c r="Y1390">
        <v>0</v>
      </c>
    </row>
    <row r="1391" spans="1:25" ht="40" customHeight="1">
      <c r="A1391" s="6" t="s">
        <v>6987</v>
      </c>
      <c r="B1391" s="6" t="s">
        <v>6988</v>
      </c>
      <c r="C1391" s="6" t="s">
        <v>6989</v>
      </c>
      <c r="D1391" s="6" t="s">
        <v>1186</v>
      </c>
      <c r="E1391" s="6" t="s">
        <v>6990</v>
      </c>
      <c r="F1391" s="6"/>
      <c r="G1391" s="6" t="s">
        <v>6991</v>
      </c>
      <c r="H1391" s="6" t="s">
        <v>6992</v>
      </c>
      <c r="I1391" s="6" t="s">
        <v>6178</v>
      </c>
      <c r="J1391" s="6" t="s">
        <v>6993</v>
      </c>
      <c r="K1391" s="6" t="s">
        <v>6994</v>
      </c>
      <c r="L1391" s="6" t="s">
        <v>54</v>
      </c>
      <c r="M1391" s="6" t="s">
        <v>54</v>
      </c>
      <c r="N1391" s="6" t="s">
        <v>6183</v>
      </c>
      <c r="O1391" s="6" t="s">
        <v>6995</v>
      </c>
      <c r="P1391" s="6"/>
      <c r="Q1391" s="8">
        <v>95</v>
      </c>
      <c r="R1391" s="8">
        <v>95.284999999999997</v>
      </c>
      <c r="S1391" s="8">
        <v>189.9</v>
      </c>
      <c r="T1391" s="8">
        <v>14</v>
      </c>
      <c r="U1391" s="8"/>
      <c r="V1391" s="8">
        <v>0</v>
      </c>
      <c r="W1391" s="12">
        <v>0</v>
      </c>
      <c r="Y1391">
        <v>0</v>
      </c>
    </row>
    <row r="1392" spans="1:25" ht="40" customHeight="1">
      <c r="A1392" s="6" t="s">
        <v>6996</v>
      </c>
      <c r="B1392" s="6" t="s">
        <v>6997</v>
      </c>
      <c r="C1392" s="6" t="s">
        <v>6998</v>
      </c>
      <c r="D1392" s="6" t="s">
        <v>27</v>
      </c>
      <c r="E1392" s="6" t="s">
        <v>6999</v>
      </c>
      <c r="F1392" s="6"/>
      <c r="G1392" s="6" t="s">
        <v>5844</v>
      </c>
      <c r="H1392" s="6" t="s">
        <v>7000</v>
      </c>
      <c r="I1392" s="6" t="s">
        <v>6365</v>
      </c>
      <c r="J1392" s="6" t="s">
        <v>7001</v>
      </c>
      <c r="K1392" s="6" t="s">
        <v>2825</v>
      </c>
      <c r="L1392" s="6" t="s">
        <v>2229</v>
      </c>
      <c r="M1392" s="6" t="s">
        <v>7002</v>
      </c>
      <c r="N1392" s="6" t="s">
        <v>6345</v>
      </c>
      <c r="O1392" s="6" t="s">
        <v>2231</v>
      </c>
      <c r="P1392" s="6"/>
      <c r="Q1392" s="8">
        <v>135</v>
      </c>
      <c r="R1392" s="8">
        <v>135.405</v>
      </c>
      <c r="S1392" s="8">
        <v>269.89999999999998</v>
      </c>
      <c r="T1392" s="8">
        <v>14</v>
      </c>
      <c r="U1392" s="8"/>
      <c r="V1392" s="8">
        <v>0</v>
      </c>
      <c r="W1392" s="12">
        <v>0</v>
      </c>
      <c r="Y1392">
        <v>0</v>
      </c>
    </row>
    <row r="1393" spans="1:25" ht="40" customHeight="1">
      <c r="A1393" s="6" t="s">
        <v>7003</v>
      </c>
      <c r="B1393" s="6" t="s">
        <v>7004</v>
      </c>
      <c r="C1393" s="6" t="s">
        <v>6998</v>
      </c>
      <c r="D1393" s="6" t="s">
        <v>40</v>
      </c>
      <c r="E1393" s="6" t="s">
        <v>7005</v>
      </c>
      <c r="F1393" s="6"/>
      <c r="G1393" s="6" t="s">
        <v>5844</v>
      </c>
      <c r="H1393" s="6" t="s">
        <v>7000</v>
      </c>
      <c r="I1393" s="6" t="s">
        <v>6365</v>
      </c>
      <c r="J1393" s="6" t="s">
        <v>7001</v>
      </c>
      <c r="K1393" s="6" t="s">
        <v>7006</v>
      </c>
      <c r="L1393" s="6" t="s">
        <v>2229</v>
      </c>
      <c r="M1393" s="6" t="s">
        <v>7002</v>
      </c>
      <c r="N1393" s="6" t="s">
        <v>6345</v>
      </c>
      <c r="O1393" s="6" t="s">
        <v>2231</v>
      </c>
      <c r="P1393" s="6"/>
      <c r="Q1393" s="8">
        <v>135</v>
      </c>
      <c r="R1393" s="8">
        <v>135.405</v>
      </c>
      <c r="S1393" s="8">
        <v>269.89999999999998</v>
      </c>
      <c r="T1393" s="8">
        <v>14</v>
      </c>
      <c r="U1393" s="8"/>
      <c r="V1393" s="8">
        <v>0</v>
      </c>
      <c r="W1393" s="12">
        <v>0</v>
      </c>
      <c r="Y1393">
        <v>0</v>
      </c>
    </row>
    <row r="1394" spans="1:25" ht="40" customHeight="1">
      <c r="A1394" s="6" t="s">
        <v>7007</v>
      </c>
      <c r="B1394" s="6" t="s">
        <v>7008</v>
      </c>
      <c r="C1394" s="6" t="s">
        <v>7009</v>
      </c>
      <c r="D1394" s="6" t="s">
        <v>64</v>
      </c>
      <c r="E1394" s="6" t="s">
        <v>7010</v>
      </c>
      <c r="F1394" s="6"/>
      <c r="G1394" s="6" t="s">
        <v>5977</v>
      </c>
      <c r="H1394" s="6" t="s">
        <v>7011</v>
      </c>
      <c r="I1394" s="6" t="s">
        <v>6196</v>
      </c>
      <c r="J1394" s="6" t="s">
        <v>6948</v>
      </c>
      <c r="K1394" s="6" t="s">
        <v>6343</v>
      </c>
      <c r="L1394" s="6" t="s">
        <v>5896</v>
      </c>
      <c r="M1394" s="6" t="s">
        <v>7012</v>
      </c>
      <c r="N1394" s="6" t="s">
        <v>6345</v>
      </c>
      <c r="O1394" s="6" t="s">
        <v>5982</v>
      </c>
      <c r="P1394" s="6"/>
      <c r="Q1394" s="8">
        <v>115</v>
      </c>
      <c r="R1394" s="8">
        <v>115.345</v>
      </c>
      <c r="S1394" s="8">
        <v>229.9</v>
      </c>
      <c r="T1394" s="8">
        <v>16</v>
      </c>
      <c r="U1394" s="8"/>
      <c r="V1394" s="8">
        <v>0</v>
      </c>
      <c r="W1394" s="12">
        <v>0</v>
      </c>
      <c r="Y1394">
        <v>0</v>
      </c>
    </row>
    <row r="1395" spans="1:25" ht="40" customHeight="1">
      <c r="A1395" s="6" t="s">
        <v>7013</v>
      </c>
      <c r="B1395" s="6" t="s">
        <v>7014</v>
      </c>
      <c r="C1395" s="6" t="s">
        <v>7009</v>
      </c>
      <c r="D1395" s="6" t="s">
        <v>561</v>
      </c>
      <c r="E1395" s="6" t="s">
        <v>7015</v>
      </c>
      <c r="F1395" s="6"/>
      <c r="G1395" s="6" t="s">
        <v>5977</v>
      </c>
      <c r="H1395" s="6" t="s">
        <v>7011</v>
      </c>
      <c r="I1395" s="6" t="s">
        <v>6196</v>
      </c>
      <c r="J1395" s="6" t="s">
        <v>6948</v>
      </c>
      <c r="K1395" s="6" t="s">
        <v>7016</v>
      </c>
      <c r="L1395" s="6" t="s">
        <v>5896</v>
      </c>
      <c r="M1395" s="6" t="s">
        <v>7012</v>
      </c>
      <c r="N1395" s="6" t="s">
        <v>6345</v>
      </c>
      <c r="O1395" s="6" t="s">
        <v>5982</v>
      </c>
      <c r="P1395" s="6"/>
      <c r="Q1395" s="8">
        <v>115</v>
      </c>
      <c r="R1395" s="8">
        <v>115.345</v>
      </c>
      <c r="S1395" s="8">
        <v>229.9</v>
      </c>
      <c r="T1395" s="8">
        <v>16</v>
      </c>
      <c r="U1395" s="8"/>
      <c r="V1395" s="8">
        <v>0</v>
      </c>
      <c r="W1395" s="12">
        <v>0</v>
      </c>
      <c r="Y1395">
        <v>0</v>
      </c>
    </row>
    <row r="1396" spans="1:25" ht="40" customHeight="1">
      <c r="A1396" s="6" t="s">
        <v>7017</v>
      </c>
      <c r="B1396" s="6" t="s">
        <v>7018</v>
      </c>
      <c r="C1396" s="6" t="s">
        <v>7019</v>
      </c>
      <c r="D1396" s="6" t="s">
        <v>64</v>
      </c>
      <c r="E1396" s="6" t="s">
        <v>7020</v>
      </c>
      <c r="F1396" s="6"/>
      <c r="G1396" s="6" t="s">
        <v>2246</v>
      </c>
      <c r="H1396" s="6" t="s">
        <v>7021</v>
      </c>
      <c r="I1396" s="6" t="s">
        <v>6196</v>
      </c>
      <c r="J1396" s="6" t="s">
        <v>7022</v>
      </c>
      <c r="K1396" s="6" t="s">
        <v>7023</v>
      </c>
      <c r="L1396" s="6" t="s">
        <v>54</v>
      </c>
      <c r="M1396" s="6" t="s">
        <v>54</v>
      </c>
      <c r="N1396" s="6" t="s">
        <v>6345</v>
      </c>
      <c r="O1396" s="6" t="s">
        <v>7024</v>
      </c>
      <c r="P1396" s="6"/>
      <c r="Q1396" s="8">
        <v>110</v>
      </c>
      <c r="R1396" s="8">
        <v>110.33</v>
      </c>
      <c r="S1396" s="8">
        <v>219.9</v>
      </c>
      <c r="T1396" s="8">
        <v>16</v>
      </c>
      <c r="U1396" s="8"/>
      <c r="V1396" s="8">
        <v>0</v>
      </c>
      <c r="W1396" s="12">
        <v>0</v>
      </c>
      <c r="Y1396">
        <v>0</v>
      </c>
    </row>
    <row r="1397" spans="1:25" ht="40" customHeight="1">
      <c r="A1397" s="6" t="s">
        <v>7025</v>
      </c>
      <c r="B1397" s="6" t="s">
        <v>7026</v>
      </c>
      <c r="C1397" s="6" t="s">
        <v>7019</v>
      </c>
      <c r="D1397" s="6" t="s">
        <v>6216</v>
      </c>
      <c r="E1397" s="6" t="s">
        <v>7027</v>
      </c>
      <c r="F1397" s="6"/>
      <c r="G1397" s="6" t="s">
        <v>2246</v>
      </c>
      <c r="H1397" s="6" t="s">
        <v>7021</v>
      </c>
      <c r="I1397" s="6" t="s">
        <v>6196</v>
      </c>
      <c r="J1397" s="6" t="s">
        <v>7022</v>
      </c>
      <c r="K1397" s="6" t="s">
        <v>7028</v>
      </c>
      <c r="L1397" s="6" t="s">
        <v>54</v>
      </c>
      <c r="M1397" s="6" t="s">
        <v>54</v>
      </c>
      <c r="N1397" s="6" t="s">
        <v>6345</v>
      </c>
      <c r="O1397" s="6" t="s">
        <v>7024</v>
      </c>
      <c r="P1397" s="6"/>
      <c r="Q1397" s="8">
        <v>110</v>
      </c>
      <c r="R1397" s="8">
        <v>110.33</v>
      </c>
      <c r="S1397" s="8">
        <v>219.9</v>
      </c>
      <c r="T1397" s="8">
        <v>16</v>
      </c>
      <c r="U1397" s="8"/>
      <c r="V1397" s="8">
        <v>0</v>
      </c>
      <c r="W1397" s="12">
        <v>0</v>
      </c>
      <c r="Y1397">
        <v>0</v>
      </c>
    </row>
    <row r="1398" spans="1:25" ht="40" customHeight="1">
      <c r="A1398" s="6" t="s">
        <v>7029</v>
      </c>
      <c r="B1398" s="6" t="s">
        <v>7030</v>
      </c>
      <c r="C1398" s="6" t="s">
        <v>7019</v>
      </c>
      <c r="D1398" s="6" t="s">
        <v>109</v>
      </c>
      <c r="E1398" s="6" t="s">
        <v>7031</v>
      </c>
      <c r="F1398" s="6"/>
      <c r="G1398" s="6" t="s">
        <v>2246</v>
      </c>
      <c r="H1398" s="6" t="s">
        <v>7021</v>
      </c>
      <c r="I1398" s="6" t="s">
        <v>6196</v>
      </c>
      <c r="J1398" s="6" t="s">
        <v>7022</v>
      </c>
      <c r="K1398" s="6" t="s">
        <v>7032</v>
      </c>
      <c r="L1398" s="6" t="s">
        <v>54</v>
      </c>
      <c r="M1398" s="6" t="s">
        <v>54</v>
      </c>
      <c r="N1398" s="6" t="s">
        <v>6345</v>
      </c>
      <c r="O1398" s="6" t="s">
        <v>7024</v>
      </c>
      <c r="P1398" s="6"/>
      <c r="Q1398" s="8">
        <v>110</v>
      </c>
      <c r="R1398" s="8">
        <v>110.33</v>
      </c>
      <c r="S1398" s="8">
        <v>219.9</v>
      </c>
      <c r="T1398" s="8">
        <v>16</v>
      </c>
      <c r="U1398" s="8"/>
      <c r="V1398" s="8">
        <v>0</v>
      </c>
      <c r="W1398" s="12">
        <v>0</v>
      </c>
      <c r="Y1398">
        <v>0</v>
      </c>
    </row>
    <row r="1399" spans="1:25" ht="40" customHeight="1">
      <c r="A1399" s="6" t="s">
        <v>7033</v>
      </c>
      <c r="B1399" s="6" t="s">
        <v>7034</v>
      </c>
      <c r="C1399" s="6" t="s">
        <v>7019</v>
      </c>
      <c r="D1399" s="6" t="s">
        <v>376</v>
      </c>
      <c r="E1399" s="6" t="s">
        <v>7035</v>
      </c>
      <c r="F1399" s="6"/>
      <c r="G1399" s="6" t="s">
        <v>2246</v>
      </c>
      <c r="H1399" s="6" t="s">
        <v>7021</v>
      </c>
      <c r="I1399" s="6" t="s">
        <v>6196</v>
      </c>
      <c r="J1399" s="6" t="s">
        <v>7022</v>
      </c>
      <c r="K1399" s="6" t="s">
        <v>7036</v>
      </c>
      <c r="L1399" s="6" t="s">
        <v>54</v>
      </c>
      <c r="M1399" s="6" t="s">
        <v>54</v>
      </c>
      <c r="N1399" s="6" t="s">
        <v>6345</v>
      </c>
      <c r="O1399" s="6" t="s">
        <v>7024</v>
      </c>
      <c r="P1399" s="6"/>
      <c r="Q1399" s="8">
        <v>110</v>
      </c>
      <c r="R1399" s="8">
        <v>110.33</v>
      </c>
      <c r="S1399" s="8">
        <v>219.9</v>
      </c>
      <c r="T1399" s="8">
        <v>16</v>
      </c>
      <c r="U1399" s="8"/>
      <c r="V1399" s="8">
        <v>0</v>
      </c>
      <c r="W1399" s="12">
        <v>0</v>
      </c>
      <c r="Y1399">
        <v>0</v>
      </c>
    </row>
    <row r="1400" spans="1:25" ht="40" customHeight="1">
      <c r="A1400" s="6" t="s">
        <v>7037</v>
      </c>
      <c r="B1400" s="6" t="s">
        <v>7038</v>
      </c>
      <c r="C1400" s="6" t="s">
        <v>7019</v>
      </c>
      <c r="D1400" s="6" t="s">
        <v>7039</v>
      </c>
      <c r="E1400" s="6" t="s">
        <v>7040</v>
      </c>
      <c r="F1400" s="6"/>
      <c r="G1400" s="6" t="s">
        <v>2246</v>
      </c>
      <c r="H1400" s="6" t="s">
        <v>7021</v>
      </c>
      <c r="I1400" s="6" t="s">
        <v>6196</v>
      </c>
      <c r="J1400" s="6" t="s">
        <v>7022</v>
      </c>
      <c r="K1400" s="6" t="s">
        <v>7041</v>
      </c>
      <c r="L1400" s="6" t="s">
        <v>54</v>
      </c>
      <c r="M1400" s="6" t="s">
        <v>54</v>
      </c>
      <c r="N1400" s="6" t="s">
        <v>6345</v>
      </c>
      <c r="O1400" s="6" t="s">
        <v>7024</v>
      </c>
      <c r="P1400" s="6"/>
      <c r="Q1400" s="8">
        <v>110</v>
      </c>
      <c r="R1400" s="8">
        <v>110.33</v>
      </c>
      <c r="S1400" s="8">
        <v>219.9</v>
      </c>
      <c r="T1400" s="8">
        <v>16</v>
      </c>
      <c r="U1400" s="8"/>
      <c r="V1400" s="8">
        <v>0</v>
      </c>
      <c r="W1400" s="12">
        <v>0</v>
      </c>
      <c r="Y1400">
        <v>0</v>
      </c>
    </row>
    <row r="1401" spans="1:25" ht="40" customHeight="1">
      <c r="A1401" s="6" t="s">
        <v>7042</v>
      </c>
      <c r="B1401" s="6" t="s">
        <v>7043</v>
      </c>
      <c r="C1401" s="6" t="s">
        <v>7044</v>
      </c>
      <c r="D1401" s="6" t="s">
        <v>64</v>
      </c>
      <c r="E1401" s="6" t="s">
        <v>7045</v>
      </c>
      <c r="F1401" s="6"/>
      <c r="G1401" s="6" t="s">
        <v>2564</v>
      </c>
      <c r="H1401" s="6" t="s">
        <v>7046</v>
      </c>
      <c r="I1401" s="6" t="s">
        <v>6196</v>
      </c>
      <c r="J1401" s="6" t="s">
        <v>7047</v>
      </c>
      <c r="K1401" s="6" t="s">
        <v>7048</v>
      </c>
      <c r="L1401" s="6" t="s">
        <v>54</v>
      </c>
      <c r="M1401" s="6" t="s">
        <v>54</v>
      </c>
      <c r="N1401" s="6" t="s">
        <v>6345</v>
      </c>
      <c r="O1401" s="6" t="s">
        <v>7049</v>
      </c>
      <c r="P1401" s="6"/>
      <c r="Q1401" s="8">
        <v>100</v>
      </c>
      <c r="R1401" s="8">
        <v>100.3</v>
      </c>
      <c r="S1401" s="8">
        <v>199.9</v>
      </c>
      <c r="T1401" s="8">
        <v>16</v>
      </c>
      <c r="U1401" s="8"/>
      <c r="V1401" s="8">
        <v>0</v>
      </c>
      <c r="W1401" s="12">
        <v>0</v>
      </c>
      <c r="Y1401">
        <v>0</v>
      </c>
    </row>
    <row r="1402" spans="1:25" ht="40" customHeight="1">
      <c r="A1402" s="6" t="s">
        <v>7050</v>
      </c>
      <c r="B1402" s="6" t="s">
        <v>7051</v>
      </c>
      <c r="C1402" s="6" t="s">
        <v>7044</v>
      </c>
      <c r="D1402" s="6" t="s">
        <v>94</v>
      </c>
      <c r="E1402" s="6" t="s">
        <v>7052</v>
      </c>
      <c r="F1402" s="6"/>
      <c r="G1402" s="6" t="s">
        <v>2564</v>
      </c>
      <c r="H1402" s="6" t="s">
        <v>7046</v>
      </c>
      <c r="I1402" s="6" t="s">
        <v>6196</v>
      </c>
      <c r="J1402" s="6" t="s">
        <v>7047</v>
      </c>
      <c r="K1402" s="6" t="s">
        <v>7053</v>
      </c>
      <c r="L1402" s="6" t="s">
        <v>54</v>
      </c>
      <c r="M1402" s="6" t="s">
        <v>54</v>
      </c>
      <c r="N1402" s="6" t="s">
        <v>6345</v>
      </c>
      <c r="O1402" s="6" t="s">
        <v>7049</v>
      </c>
      <c r="P1402" s="6"/>
      <c r="Q1402" s="8">
        <v>100</v>
      </c>
      <c r="R1402" s="8">
        <v>100.3</v>
      </c>
      <c r="S1402" s="8">
        <v>199.9</v>
      </c>
      <c r="T1402" s="8">
        <v>16</v>
      </c>
      <c r="U1402" s="8"/>
      <c r="V1402" s="8">
        <v>0</v>
      </c>
      <c r="W1402" s="12">
        <v>0</v>
      </c>
      <c r="Y1402">
        <v>0</v>
      </c>
    </row>
    <row r="1403" spans="1:25" ht="40" customHeight="1">
      <c r="A1403" s="6" t="s">
        <v>7054</v>
      </c>
      <c r="B1403" s="6" t="s">
        <v>7055</v>
      </c>
      <c r="C1403" s="6" t="s">
        <v>7056</v>
      </c>
      <c r="D1403" s="6" t="s">
        <v>64</v>
      </c>
      <c r="E1403" s="6" t="s">
        <v>7057</v>
      </c>
      <c r="F1403" s="6"/>
      <c r="G1403" s="6" t="s">
        <v>7058</v>
      </c>
      <c r="H1403" s="6" t="s">
        <v>215</v>
      </c>
      <c r="I1403" s="6" t="s">
        <v>6196</v>
      </c>
      <c r="J1403" s="6" t="s">
        <v>7059</v>
      </c>
      <c r="K1403" s="6" t="s">
        <v>7060</v>
      </c>
      <c r="L1403" s="6" t="s">
        <v>54</v>
      </c>
      <c r="M1403" s="6" t="s">
        <v>54</v>
      </c>
      <c r="N1403" s="6" t="s">
        <v>6345</v>
      </c>
      <c r="O1403" s="6" t="s">
        <v>6355</v>
      </c>
      <c r="P1403" s="6"/>
      <c r="Q1403" s="8">
        <v>85</v>
      </c>
      <c r="R1403" s="8">
        <v>85.254999999999995</v>
      </c>
      <c r="S1403" s="8">
        <v>169.9</v>
      </c>
      <c r="T1403" s="8">
        <v>16</v>
      </c>
      <c r="U1403" s="8"/>
      <c r="V1403" s="8">
        <v>0</v>
      </c>
      <c r="W1403" s="12">
        <v>0</v>
      </c>
      <c r="Y1403">
        <v>0</v>
      </c>
    </row>
    <row r="1404" spans="1:25" ht="40" customHeight="1">
      <c r="A1404" s="6" t="s">
        <v>7061</v>
      </c>
      <c r="B1404" s="6" t="s">
        <v>7062</v>
      </c>
      <c r="C1404" s="6" t="s">
        <v>7056</v>
      </c>
      <c r="D1404" s="6" t="s">
        <v>89</v>
      </c>
      <c r="E1404" s="6" t="s">
        <v>7063</v>
      </c>
      <c r="F1404" s="6"/>
      <c r="G1404" s="6" t="s">
        <v>7058</v>
      </c>
      <c r="H1404" s="6" t="s">
        <v>215</v>
      </c>
      <c r="I1404" s="6" t="s">
        <v>6196</v>
      </c>
      <c r="J1404" s="6" t="s">
        <v>7059</v>
      </c>
      <c r="K1404" s="6" t="s">
        <v>7064</v>
      </c>
      <c r="L1404" s="6" t="s">
        <v>54</v>
      </c>
      <c r="M1404" s="6" t="s">
        <v>54</v>
      </c>
      <c r="N1404" s="6" t="s">
        <v>6345</v>
      </c>
      <c r="O1404" s="6" t="s">
        <v>6355</v>
      </c>
      <c r="P1404" s="6"/>
      <c r="Q1404" s="8">
        <v>85</v>
      </c>
      <c r="R1404" s="8">
        <v>85.254999999999995</v>
      </c>
      <c r="S1404" s="8">
        <v>169.9</v>
      </c>
      <c r="T1404" s="8">
        <v>16</v>
      </c>
      <c r="U1404" s="8"/>
      <c r="V1404" s="8">
        <v>0</v>
      </c>
      <c r="W1404" s="12">
        <v>0</v>
      </c>
      <c r="Y1404">
        <v>0</v>
      </c>
    </row>
    <row r="1405" spans="1:25" ht="40" customHeight="1">
      <c r="A1405" s="6" t="s">
        <v>7065</v>
      </c>
      <c r="B1405" s="6" t="s">
        <v>7066</v>
      </c>
      <c r="C1405" s="6" t="s">
        <v>7056</v>
      </c>
      <c r="D1405" s="6" t="s">
        <v>126</v>
      </c>
      <c r="E1405" s="6" t="s">
        <v>7067</v>
      </c>
      <c r="F1405" s="6"/>
      <c r="G1405" s="6" t="s">
        <v>7058</v>
      </c>
      <c r="H1405" s="6" t="s">
        <v>215</v>
      </c>
      <c r="I1405" s="6" t="s">
        <v>6196</v>
      </c>
      <c r="J1405" s="6" t="s">
        <v>7059</v>
      </c>
      <c r="K1405" s="6" t="s">
        <v>7068</v>
      </c>
      <c r="L1405" s="6" t="s">
        <v>54</v>
      </c>
      <c r="M1405" s="6" t="s">
        <v>54</v>
      </c>
      <c r="N1405" s="6" t="s">
        <v>6345</v>
      </c>
      <c r="O1405" s="6" t="s">
        <v>6355</v>
      </c>
      <c r="P1405" s="6"/>
      <c r="Q1405" s="8">
        <v>85</v>
      </c>
      <c r="R1405" s="8">
        <v>85.254999999999995</v>
      </c>
      <c r="S1405" s="8">
        <v>169.9</v>
      </c>
      <c r="T1405" s="8">
        <v>16</v>
      </c>
      <c r="U1405" s="8"/>
      <c r="V1405" s="8">
        <v>0</v>
      </c>
      <c r="W1405" s="12">
        <v>0</v>
      </c>
      <c r="Y1405">
        <v>0</v>
      </c>
    </row>
    <row r="1406" spans="1:25" ht="40" customHeight="1">
      <c r="A1406" s="6" t="s">
        <v>7069</v>
      </c>
      <c r="B1406" s="6" t="s">
        <v>7070</v>
      </c>
      <c r="C1406" s="7" t="s">
        <v>7071</v>
      </c>
      <c r="D1406" s="6" t="s">
        <v>27</v>
      </c>
      <c r="E1406" s="7" t="s">
        <v>7072</v>
      </c>
      <c r="F1406" s="6"/>
      <c r="G1406" s="6" t="s">
        <v>7073</v>
      </c>
      <c r="H1406" s="6" t="s">
        <v>215</v>
      </c>
      <c r="I1406" s="6" t="s">
        <v>6196</v>
      </c>
      <c r="J1406" s="6" t="s">
        <v>7074</v>
      </c>
      <c r="K1406" s="6" t="s">
        <v>2825</v>
      </c>
      <c r="L1406" s="6" t="s">
        <v>54</v>
      </c>
      <c r="M1406" s="6" t="s">
        <v>54</v>
      </c>
      <c r="N1406" s="6" t="s">
        <v>6345</v>
      </c>
      <c r="O1406" s="6" t="s">
        <v>6355</v>
      </c>
      <c r="P1406" s="6"/>
      <c r="Q1406" s="8">
        <v>100</v>
      </c>
      <c r="R1406" s="8">
        <v>100.3</v>
      </c>
      <c r="S1406" s="8">
        <v>199.9</v>
      </c>
      <c r="T1406" s="8">
        <v>16</v>
      </c>
      <c r="U1406" s="8"/>
      <c r="V1406" s="8">
        <v>0</v>
      </c>
      <c r="W1406" s="12">
        <v>0</v>
      </c>
      <c r="Y1406">
        <v>0</v>
      </c>
    </row>
    <row r="1407" spans="1:25" ht="40" customHeight="1">
      <c r="A1407" s="6" t="s">
        <v>7075</v>
      </c>
      <c r="B1407" s="18" t="s">
        <v>7076</v>
      </c>
      <c r="C1407" s="7">
        <v>52458</v>
      </c>
      <c r="D1407" s="18" t="s">
        <v>561</v>
      </c>
      <c r="E1407" s="7" t="s">
        <v>7077</v>
      </c>
      <c r="F1407" s="18"/>
      <c r="G1407" s="6" t="s">
        <v>2133</v>
      </c>
      <c r="H1407" s="6" t="s">
        <v>7078</v>
      </c>
      <c r="I1407" s="6" t="s">
        <v>417</v>
      </c>
      <c r="J1407" s="6" t="s">
        <v>7079</v>
      </c>
      <c r="K1407" s="6" t="s">
        <v>7080</v>
      </c>
      <c r="L1407" s="6" t="s">
        <v>2229</v>
      </c>
      <c r="M1407" s="6" t="s">
        <v>7081</v>
      </c>
      <c r="N1407" s="6" t="s">
        <v>2387</v>
      </c>
      <c r="O1407" s="6" t="s">
        <v>2231</v>
      </c>
      <c r="P1407" s="6" t="s">
        <v>2388</v>
      </c>
      <c r="Q1407" s="8">
        <v>175</v>
      </c>
      <c r="R1407" s="8">
        <v>175.52500000000001</v>
      </c>
      <c r="S1407" s="8">
        <v>349.9</v>
      </c>
      <c r="T1407" s="8">
        <v>14</v>
      </c>
      <c r="U1407" s="8"/>
      <c r="V1407" s="8">
        <f t="shared" ref="V1407:V1415" si="20">T1407*U1407</f>
        <v>0</v>
      </c>
      <c r="W1407" s="12">
        <f t="shared" ref="W1407:W1415" si="21">R1407*V1407</f>
        <v>0</v>
      </c>
      <c r="Y1407">
        <v>0</v>
      </c>
    </row>
    <row r="1408" spans="1:25" ht="40" customHeight="1">
      <c r="A1408" s="6" t="s">
        <v>7082</v>
      </c>
      <c r="B1408" s="6" t="s">
        <v>7083</v>
      </c>
      <c r="C1408" s="6">
        <v>52458</v>
      </c>
      <c r="D1408" s="6" t="s">
        <v>89</v>
      </c>
      <c r="E1408" s="6" t="s">
        <v>7084</v>
      </c>
      <c r="F1408" s="6"/>
      <c r="G1408" s="6" t="s">
        <v>2133</v>
      </c>
      <c r="H1408" s="6" t="s">
        <v>7078</v>
      </c>
      <c r="I1408" s="6" t="s">
        <v>417</v>
      </c>
      <c r="J1408" s="6" t="s">
        <v>7079</v>
      </c>
      <c r="K1408" s="6" t="s">
        <v>7085</v>
      </c>
      <c r="L1408" s="6" t="s">
        <v>2229</v>
      </c>
      <c r="M1408" s="6" t="s">
        <v>7081</v>
      </c>
      <c r="N1408" s="6" t="s">
        <v>2387</v>
      </c>
      <c r="O1408" s="6" t="s">
        <v>2231</v>
      </c>
      <c r="P1408" s="6" t="s">
        <v>2388</v>
      </c>
      <c r="Q1408" s="8">
        <v>175</v>
      </c>
      <c r="R1408" s="8">
        <v>175.52500000000001</v>
      </c>
      <c r="S1408" s="8">
        <v>349.9</v>
      </c>
      <c r="T1408" s="8">
        <v>14</v>
      </c>
      <c r="U1408" s="8"/>
      <c r="V1408" s="8">
        <f t="shared" si="20"/>
        <v>0</v>
      </c>
      <c r="W1408" s="12">
        <f t="shared" si="21"/>
        <v>0</v>
      </c>
      <c r="Y1408">
        <v>0</v>
      </c>
    </row>
    <row r="1409" spans="1:25" ht="40" customHeight="1">
      <c r="A1409" s="6" t="s">
        <v>7086</v>
      </c>
      <c r="B1409" s="6" t="s">
        <v>7087</v>
      </c>
      <c r="C1409" s="6">
        <v>52458</v>
      </c>
      <c r="D1409" s="6" t="s">
        <v>200</v>
      </c>
      <c r="E1409" s="6" t="s">
        <v>7088</v>
      </c>
      <c r="F1409" s="6"/>
      <c r="G1409" s="6" t="s">
        <v>2133</v>
      </c>
      <c r="H1409" s="6" t="s">
        <v>7078</v>
      </c>
      <c r="I1409" s="6" t="s">
        <v>417</v>
      </c>
      <c r="J1409" s="6" t="s">
        <v>7079</v>
      </c>
      <c r="K1409" s="6" t="s">
        <v>7089</v>
      </c>
      <c r="L1409" s="6" t="s">
        <v>2229</v>
      </c>
      <c r="M1409" s="6" t="s">
        <v>7081</v>
      </c>
      <c r="N1409" s="6" t="s">
        <v>2387</v>
      </c>
      <c r="O1409" s="6" t="s">
        <v>2231</v>
      </c>
      <c r="P1409" s="6" t="s">
        <v>2388</v>
      </c>
      <c r="Q1409" s="8">
        <v>175</v>
      </c>
      <c r="R1409" s="8">
        <v>175.52500000000001</v>
      </c>
      <c r="S1409" s="8">
        <v>349.9</v>
      </c>
      <c r="T1409" s="8">
        <v>14</v>
      </c>
      <c r="U1409" s="8">
        <v>2</v>
      </c>
      <c r="V1409" s="8">
        <f t="shared" si="20"/>
        <v>28</v>
      </c>
      <c r="W1409" s="12">
        <f t="shared" si="21"/>
        <v>4914.7</v>
      </c>
      <c r="Y1409">
        <v>2</v>
      </c>
    </row>
    <row r="1410" spans="1:25" ht="40" customHeight="1">
      <c r="A1410" s="6" t="s">
        <v>7090</v>
      </c>
      <c r="B1410" s="6" t="s">
        <v>7091</v>
      </c>
      <c r="C1410" s="6">
        <v>52458</v>
      </c>
      <c r="D1410" s="6" t="s">
        <v>1759</v>
      </c>
      <c r="E1410" s="6" t="s">
        <v>7092</v>
      </c>
      <c r="F1410" s="6"/>
      <c r="G1410" s="6" t="s">
        <v>2133</v>
      </c>
      <c r="H1410" s="6" t="s">
        <v>7078</v>
      </c>
      <c r="I1410" s="6" t="s">
        <v>417</v>
      </c>
      <c r="J1410" s="6" t="s">
        <v>7079</v>
      </c>
      <c r="K1410" s="6" t="s">
        <v>7093</v>
      </c>
      <c r="L1410" s="6" t="s">
        <v>2229</v>
      </c>
      <c r="M1410" s="6" t="s">
        <v>7081</v>
      </c>
      <c r="N1410" s="6" t="s">
        <v>2387</v>
      </c>
      <c r="O1410" s="6" t="s">
        <v>2231</v>
      </c>
      <c r="P1410" s="6" t="s">
        <v>2388</v>
      </c>
      <c r="Q1410" s="8">
        <v>175</v>
      </c>
      <c r="R1410" s="8">
        <v>175.52500000000001</v>
      </c>
      <c r="S1410" s="8">
        <v>349.9</v>
      </c>
      <c r="T1410" s="8">
        <v>14</v>
      </c>
      <c r="U1410" s="8"/>
      <c r="V1410" s="8">
        <f t="shared" si="20"/>
        <v>0</v>
      </c>
      <c r="W1410" s="12">
        <f t="shared" si="21"/>
        <v>0</v>
      </c>
      <c r="Y1410">
        <v>0</v>
      </c>
    </row>
    <row r="1411" spans="1:25" ht="40" customHeight="1">
      <c r="A1411" s="6" t="s">
        <v>7094</v>
      </c>
      <c r="B1411" s="6" t="s">
        <v>7095</v>
      </c>
      <c r="C1411" s="6">
        <v>52458</v>
      </c>
      <c r="D1411" s="6" t="s">
        <v>551</v>
      </c>
      <c r="E1411" s="6" t="s">
        <v>7096</v>
      </c>
      <c r="F1411" s="6"/>
      <c r="G1411" s="6" t="s">
        <v>2133</v>
      </c>
      <c r="H1411" s="6" t="s">
        <v>7078</v>
      </c>
      <c r="I1411" s="6" t="s">
        <v>417</v>
      </c>
      <c r="J1411" s="6" t="s">
        <v>7079</v>
      </c>
      <c r="K1411" s="6" t="s">
        <v>7097</v>
      </c>
      <c r="L1411" s="6" t="s">
        <v>2229</v>
      </c>
      <c r="M1411" s="6" t="s">
        <v>7081</v>
      </c>
      <c r="N1411" s="6" t="s">
        <v>2387</v>
      </c>
      <c r="O1411" s="6" t="s">
        <v>2231</v>
      </c>
      <c r="P1411" s="6" t="s">
        <v>2388</v>
      </c>
      <c r="Q1411" s="8">
        <v>175</v>
      </c>
      <c r="R1411" s="8">
        <v>175.52500000000001</v>
      </c>
      <c r="S1411" s="8">
        <v>349.9</v>
      </c>
      <c r="T1411" s="8">
        <v>14</v>
      </c>
      <c r="U1411" s="8">
        <v>3</v>
      </c>
      <c r="V1411" s="8">
        <f t="shared" si="20"/>
        <v>42</v>
      </c>
      <c r="W1411" s="12">
        <f t="shared" si="21"/>
        <v>7372.05</v>
      </c>
      <c r="Y1411">
        <v>3</v>
      </c>
    </row>
    <row r="1412" spans="1:25" ht="40" customHeight="1">
      <c r="A1412" s="6" t="s">
        <v>7098</v>
      </c>
      <c r="B1412" s="8" t="s">
        <v>7099</v>
      </c>
      <c r="C1412" s="8" t="s">
        <v>7096</v>
      </c>
      <c r="D1412" s="6" t="s">
        <v>27</v>
      </c>
      <c r="E1412" s="8" t="s">
        <v>7100</v>
      </c>
      <c r="F1412" s="6" t="s">
        <v>5</v>
      </c>
      <c r="G1412" s="6" t="s">
        <v>2133</v>
      </c>
      <c r="H1412" s="6" t="s">
        <v>7078</v>
      </c>
      <c r="I1412" s="6" t="s">
        <v>417</v>
      </c>
      <c r="J1412" s="6" t="s">
        <v>7079</v>
      </c>
      <c r="K1412" s="6" t="s">
        <v>7101</v>
      </c>
      <c r="L1412" s="6" t="s">
        <v>2229</v>
      </c>
      <c r="M1412" s="6" t="s">
        <v>7081</v>
      </c>
      <c r="N1412" s="6" t="s">
        <v>2387</v>
      </c>
      <c r="O1412" s="6" t="s">
        <v>2231</v>
      </c>
      <c r="P1412" s="6" t="s">
        <v>2388</v>
      </c>
      <c r="Q1412" s="8">
        <v>175</v>
      </c>
      <c r="R1412" s="8">
        <v>175.52500000000001</v>
      </c>
      <c r="S1412" s="8">
        <v>349.9</v>
      </c>
      <c r="T1412" s="8">
        <v>14</v>
      </c>
      <c r="U1412" s="8"/>
      <c r="V1412" s="8">
        <f t="shared" si="20"/>
        <v>0</v>
      </c>
      <c r="W1412" s="12">
        <f t="shared" si="21"/>
        <v>0</v>
      </c>
      <c r="Y1412">
        <v>0</v>
      </c>
    </row>
    <row r="1413" spans="1:25" ht="40" customHeight="1">
      <c r="A1413" s="6" t="s">
        <v>7102</v>
      </c>
      <c r="B1413" s="8" t="s">
        <v>7103</v>
      </c>
      <c r="C1413" s="8" t="s">
        <v>7096</v>
      </c>
      <c r="D1413" s="6" t="s">
        <v>147</v>
      </c>
      <c r="E1413" s="8" t="s">
        <v>7104</v>
      </c>
      <c r="F1413" s="6" t="s">
        <v>5</v>
      </c>
      <c r="G1413" s="6" t="s">
        <v>2133</v>
      </c>
      <c r="H1413" s="6" t="s">
        <v>7078</v>
      </c>
      <c r="I1413" s="6" t="s">
        <v>417</v>
      </c>
      <c r="J1413" s="6" t="s">
        <v>7079</v>
      </c>
      <c r="K1413" s="6" t="s">
        <v>7101</v>
      </c>
      <c r="L1413" s="6" t="s">
        <v>2229</v>
      </c>
      <c r="M1413" s="6" t="s">
        <v>7081</v>
      </c>
      <c r="N1413" s="6" t="s">
        <v>2387</v>
      </c>
      <c r="O1413" s="6" t="s">
        <v>2231</v>
      </c>
      <c r="P1413" s="6" t="s">
        <v>2388</v>
      </c>
      <c r="Q1413" s="8">
        <v>175</v>
      </c>
      <c r="R1413" s="8">
        <v>175.52500000000001</v>
      </c>
      <c r="S1413" s="8">
        <v>349.9</v>
      </c>
      <c r="T1413" s="8">
        <v>14</v>
      </c>
      <c r="U1413" s="8"/>
      <c r="V1413" s="8">
        <f t="shared" si="20"/>
        <v>0</v>
      </c>
      <c r="W1413" s="12">
        <f t="shared" si="21"/>
        <v>0</v>
      </c>
      <c r="Y1413">
        <v>0</v>
      </c>
    </row>
    <row r="1414" spans="1:25" ht="40" customHeight="1">
      <c r="A1414" s="6" t="s">
        <v>7105</v>
      </c>
      <c r="B1414" s="18" t="s">
        <v>7106</v>
      </c>
      <c r="C1414" s="18">
        <v>52458</v>
      </c>
      <c r="D1414" s="18" t="s">
        <v>126</v>
      </c>
      <c r="E1414" s="18" t="s">
        <v>7107</v>
      </c>
      <c r="F1414" s="18"/>
      <c r="G1414" s="6" t="s">
        <v>2133</v>
      </c>
      <c r="H1414" s="6" t="s">
        <v>7078</v>
      </c>
      <c r="I1414" s="6" t="s">
        <v>417</v>
      </c>
      <c r="J1414" s="6" t="s">
        <v>7079</v>
      </c>
      <c r="K1414" s="6" t="s">
        <v>7108</v>
      </c>
      <c r="L1414" s="6" t="s">
        <v>2229</v>
      </c>
      <c r="M1414" s="6" t="s">
        <v>7081</v>
      </c>
      <c r="N1414" s="6" t="s">
        <v>2387</v>
      </c>
      <c r="O1414" s="6" t="s">
        <v>2231</v>
      </c>
      <c r="P1414" s="6" t="s">
        <v>2388</v>
      </c>
      <c r="Q1414" s="8">
        <v>175</v>
      </c>
      <c r="R1414" s="8">
        <v>175.52500000000001</v>
      </c>
      <c r="S1414" s="8">
        <v>349.9</v>
      </c>
      <c r="T1414" s="8">
        <v>14</v>
      </c>
      <c r="U1414" s="8">
        <v>3</v>
      </c>
      <c r="V1414" s="8">
        <f t="shared" si="20"/>
        <v>42</v>
      </c>
      <c r="W1414" s="12">
        <f t="shared" si="21"/>
        <v>7372.05</v>
      </c>
      <c r="Y1414">
        <v>3</v>
      </c>
    </row>
    <row r="1415" spans="1:25" ht="40" customHeight="1">
      <c r="A1415" s="6" t="s">
        <v>7109</v>
      </c>
      <c r="B1415" s="8" t="s">
        <v>7110</v>
      </c>
      <c r="C1415" s="8" t="s">
        <v>7096</v>
      </c>
      <c r="D1415" s="6" t="s">
        <v>3463</v>
      </c>
      <c r="E1415" s="8" t="s">
        <v>7111</v>
      </c>
      <c r="F1415" s="6" t="s">
        <v>5</v>
      </c>
      <c r="G1415" s="6" t="s">
        <v>2133</v>
      </c>
      <c r="H1415" s="6" t="s">
        <v>7078</v>
      </c>
      <c r="I1415" s="6" t="s">
        <v>417</v>
      </c>
      <c r="J1415" s="6" t="s">
        <v>7079</v>
      </c>
      <c r="K1415" s="6" t="s">
        <v>7112</v>
      </c>
      <c r="L1415" s="6" t="s">
        <v>2229</v>
      </c>
      <c r="M1415" s="6" t="s">
        <v>7081</v>
      </c>
      <c r="N1415" s="6" t="s">
        <v>2387</v>
      </c>
      <c r="O1415" s="6" t="s">
        <v>2231</v>
      </c>
      <c r="P1415" s="6" t="s">
        <v>2388</v>
      </c>
      <c r="Q1415" s="8">
        <v>175</v>
      </c>
      <c r="R1415" s="8">
        <v>175.52500000000001</v>
      </c>
      <c r="S1415" s="8">
        <v>349.9</v>
      </c>
      <c r="T1415" s="8">
        <v>14</v>
      </c>
      <c r="U1415" s="8"/>
      <c r="V1415" s="8">
        <f t="shared" si="20"/>
        <v>0</v>
      </c>
      <c r="W1415" s="12">
        <f t="shared" si="21"/>
        <v>0</v>
      </c>
      <c r="Y1415">
        <v>0</v>
      </c>
    </row>
    <row r="1416" spans="1:25" ht="40" customHeight="1">
      <c r="A1416" s="6" t="s">
        <v>7113</v>
      </c>
      <c r="B1416" s="6" t="s">
        <v>7114</v>
      </c>
      <c r="C1416" s="6">
        <v>73690</v>
      </c>
      <c r="D1416" s="6" t="s">
        <v>147</v>
      </c>
      <c r="E1416" s="6" t="s">
        <v>7115</v>
      </c>
      <c r="F1416" s="6"/>
      <c r="G1416" s="6" t="s">
        <v>2133</v>
      </c>
      <c r="H1416" s="6" t="s">
        <v>7078</v>
      </c>
      <c r="I1416" s="6" t="s">
        <v>31</v>
      </c>
      <c r="J1416" s="6" t="s">
        <v>7079</v>
      </c>
      <c r="K1416" s="6" t="s">
        <v>7116</v>
      </c>
      <c r="L1416" s="6" t="s">
        <v>2260</v>
      </c>
      <c r="M1416" s="6" t="s">
        <v>7117</v>
      </c>
      <c r="N1416" s="6" t="s">
        <v>2139</v>
      </c>
      <c r="O1416" s="6" t="s">
        <v>2231</v>
      </c>
      <c r="P1416" s="6" t="s">
        <v>2141</v>
      </c>
      <c r="Q1416" s="8">
        <v>175</v>
      </c>
      <c r="R1416" s="8">
        <v>175.52500000000001</v>
      </c>
      <c r="S1416" s="8">
        <v>349.9</v>
      </c>
      <c r="T1416" s="8">
        <v>14</v>
      </c>
      <c r="U1416" s="8"/>
      <c r="V1416" s="8">
        <v>0</v>
      </c>
      <c r="W1416" s="12">
        <v>0</v>
      </c>
      <c r="Y1416">
        <v>0</v>
      </c>
    </row>
    <row r="1417" spans="1:25" ht="40" customHeight="1">
      <c r="A1417" s="6" t="s">
        <v>7118</v>
      </c>
      <c r="B1417" s="6" t="s">
        <v>7119</v>
      </c>
      <c r="C1417" s="6">
        <v>73690</v>
      </c>
      <c r="D1417" s="6" t="s">
        <v>2736</v>
      </c>
      <c r="E1417" s="6" t="s">
        <v>7120</v>
      </c>
      <c r="F1417" s="6"/>
      <c r="G1417" s="6" t="s">
        <v>2133</v>
      </c>
      <c r="H1417" s="6" t="s">
        <v>7078</v>
      </c>
      <c r="I1417" s="6" t="s">
        <v>31</v>
      </c>
      <c r="J1417" s="6" t="s">
        <v>7079</v>
      </c>
      <c r="K1417" s="6" t="s">
        <v>7121</v>
      </c>
      <c r="L1417" s="6" t="s">
        <v>2260</v>
      </c>
      <c r="M1417" s="6" t="s">
        <v>7117</v>
      </c>
      <c r="N1417" s="6" t="s">
        <v>2139</v>
      </c>
      <c r="O1417" s="6" t="s">
        <v>2231</v>
      </c>
      <c r="P1417" s="6" t="s">
        <v>2141</v>
      </c>
      <c r="Q1417" s="8">
        <v>175</v>
      </c>
      <c r="R1417" s="8">
        <v>175.52500000000001</v>
      </c>
      <c r="S1417" s="8">
        <v>349.9</v>
      </c>
      <c r="T1417" s="8">
        <v>14</v>
      </c>
      <c r="U1417" s="8"/>
      <c r="V1417" s="8">
        <v>0</v>
      </c>
      <c r="W1417" s="12">
        <v>0</v>
      </c>
      <c r="Y1417">
        <v>0</v>
      </c>
    </row>
    <row r="1418" spans="1:25" ht="40" customHeight="1">
      <c r="A1418" s="6" t="s">
        <v>7122</v>
      </c>
      <c r="B1418" s="6" t="s">
        <v>7123</v>
      </c>
      <c r="C1418" s="6">
        <v>73690</v>
      </c>
      <c r="D1418" s="6" t="s">
        <v>7124</v>
      </c>
      <c r="E1418" s="6" t="s">
        <v>7125</v>
      </c>
      <c r="F1418" s="6"/>
      <c r="G1418" s="6" t="s">
        <v>2133</v>
      </c>
      <c r="H1418" s="6" t="s">
        <v>7078</v>
      </c>
      <c r="I1418" s="6" t="s">
        <v>31</v>
      </c>
      <c r="J1418" s="6" t="s">
        <v>7079</v>
      </c>
      <c r="K1418" s="6" t="s">
        <v>7126</v>
      </c>
      <c r="L1418" s="6" t="s">
        <v>2260</v>
      </c>
      <c r="M1418" s="6" t="s">
        <v>7117</v>
      </c>
      <c r="N1418" s="6" t="s">
        <v>2139</v>
      </c>
      <c r="O1418" s="6" t="s">
        <v>2231</v>
      </c>
      <c r="P1418" s="6" t="s">
        <v>2141</v>
      </c>
      <c r="Q1418" s="8">
        <v>175</v>
      </c>
      <c r="R1418" s="8">
        <v>175.52500000000001</v>
      </c>
      <c r="S1418" s="8">
        <v>349.9</v>
      </c>
      <c r="T1418" s="8">
        <v>14</v>
      </c>
      <c r="U1418" s="8"/>
      <c r="V1418" s="8">
        <v>0</v>
      </c>
      <c r="W1418" s="12">
        <v>0</v>
      </c>
      <c r="Y1418">
        <v>0</v>
      </c>
    </row>
    <row r="1419" spans="1:25" ht="40" customHeight="1">
      <c r="A1419" s="6" t="s">
        <v>7127</v>
      </c>
      <c r="B1419" s="6" t="s">
        <v>7128</v>
      </c>
      <c r="C1419" s="6">
        <v>73690</v>
      </c>
      <c r="D1419" s="6" t="s">
        <v>239</v>
      </c>
      <c r="E1419" s="6" t="s">
        <v>7129</v>
      </c>
      <c r="F1419" s="6"/>
      <c r="G1419" s="6" t="s">
        <v>2133</v>
      </c>
      <c r="H1419" s="6" t="s">
        <v>7078</v>
      </c>
      <c r="I1419" s="6" t="s">
        <v>31</v>
      </c>
      <c r="J1419" s="6" t="s">
        <v>7079</v>
      </c>
      <c r="K1419" s="6" t="s">
        <v>7130</v>
      </c>
      <c r="L1419" s="6" t="s">
        <v>2260</v>
      </c>
      <c r="M1419" s="6" t="s">
        <v>7117</v>
      </c>
      <c r="N1419" s="6" t="s">
        <v>2139</v>
      </c>
      <c r="O1419" s="6" t="s">
        <v>2231</v>
      </c>
      <c r="P1419" s="6" t="s">
        <v>2141</v>
      </c>
      <c r="Q1419" s="8">
        <v>175</v>
      </c>
      <c r="R1419" s="8">
        <v>175.52500000000001</v>
      </c>
      <c r="S1419" s="8">
        <v>349.9</v>
      </c>
      <c r="T1419" s="8">
        <v>14</v>
      </c>
      <c r="U1419" s="8"/>
      <c r="V1419" s="8">
        <v>0</v>
      </c>
      <c r="W1419" s="12">
        <v>0</v>
      </c>
      <c r="Y1419">
        <v>0</v>
      </c>
    </row>
    <row r="1420" spans="1:25" ht="40" customHeight="1">
      <c r="A1420" s="6" t="s">
        <v>7131</v>
      </c>
      <c r="B1420" s="6" t="s">
        <v>7132</v>
      </c>
      <c r="C1420" s="6">
        <v>73690</v>
      </c>
      <c r="D1420" s="6" t="s">
        <v>4022</v>
      </c>
      <c r="E1420" s="6" t="s">
        <v>7133</v>
      </c>
      <c r="F1420" s="6"/>
      <c r="G1420" s="6" t="s">
        <v>2133</v>
      </c>
      <c r="H1420" s="6" t="s">
        <v>7078</v>
      </c>
      <c r="I1420" s="6" t="s">
        <v>31</v>
      </c>
      <c r="J1420" s="6" t="s">
        <v>7079</v>
      </c>
      <c r="K1420" s="6" t="s">
        <v>7134</v>
      </c>
      <c r="L1420" s="6" t="s">
        <v>2260</v>
      </c>
      <c r="M1420" s="6" t="s">
        <v>7117</v>
      </c>
      <c r="N1420" s="6" t="s">
        <v>2139</v>
      </c>
      <c r="O1420" s="6" t="s">
        <v>2231</v>
      </c>
      <c r="P1420" s="6" t="s">
        <v>2141</v>
      </c>
      <c r="Q1420" s="8">
        <v>175</v>
      </c>
      <c r="R1420" s="8">
        <v>175.52500000000001</v>
      </c>
      <c r="S1420" s="8">
        <v>349.9</v>
      </c>
      <c r="T1420" s="8">
        <v>14</v>
      </c>
      <c r="U1420" s="8"/>
      <c r="V1420" s="8">
        <v>0</v>
      </c>
      <c r="W1420" s="12">
        <v>0</v>
      </c>
      <c r="Y1420">
        <v>0</v>
      </c>
    </row>
    <row r="1421" spans="1:25" ht="40" customHeight="1">
      <c r="A1421" s="6" t="s">
        <v>7135</v>
      </c>
      <c r="B1421" s="6" t="s">
        <v>7136</v>
      </c>
      <c r="C1421" s="6">
        <v>73690</v>
      </c>
      <c r="D1421" s="6" t="s">
        <v>200</v>
      </c>
      <c r="E1421" s="6" t="s">
        <v>7137</v>
      </c>
      <c r="F1421" s="6"/>
      <c r="G1421" s="6" t="s">
        <v>2133</v>
      </c>
      <c r="H1421" s="6" t="s">
        <v>7078</v>
      </c>
      <c r="I1421" s="6" t="s">
        <v>31</v>
      </c>
      <c r="J1421" s="6" t="s">
        <v>7079</v>
      </c>
      <c r="K1421" s="6" t="s">
        <v>7138</v>
      </c>
      <c r="L1421" s="6" t="s">
        <v>2260</v>
      </c>
      <c r="M1421" s="6" t="s">
        <v>7117</v>
      </c>
      <c r="N1421" s="6" t="s">
        <v>2139</v>
      </c>
      <c r="O1421" s="6" t="s">
        <v>2231</v>
      </c>
      <c r="P1421" s="6" t="s">
        <v>2141</v>
      </c>
      <c r="Q1421" s="8">
        <v>175</v>
      </c>
      <c r="R1421" s="8">
        <v>175.52500000000001</v>
      </c>
      <c r="S1421" s="8">
        <v>349.9</v>
      </c>
      <c r="T1421" s="8">
        <v>14</v>
      </c>
      <c r="U1421" s="8"/>
      <c r="V1421" s="8">
        <v>0</v>
      </c>
      <c r="W1421" s="12">
        <v>0</v>
      </c>
      <c r="Y1421">
        <v>0</v>
      </c>
    </row>
    <row r="1422" spans="1:25" ht="40" customHeight="1">
      <c r="A1422" s="6" t="s">
        <v>7139</v>
      </c>
      <c r="B1422" s="6" t="s">
        <v>7140</v>
      </c>
      <c r="C1422" s="6">
        <v>73690</v>
      </c>
      <c r="D1422" s="6" t="s">
        <v>7141</v>
      </c>
      <c r="E1422" s="6" t="s">
        <v>7142</v>
      </c>
      <c r="F1422" s="6"/>
      <c r="G1422" s="6" t="s">
        <v>2133</v>
      </c>
      <c r="H1422" s="6" t="s">
        <v>7078</v>
      </c>
      <c r="I1422" s="6" t="s">
        <v>31</v>
      </c>
      <c r="J1422" s="6" t="s">
        <v>7079</v>
      </c>
      <c r="K1422" s="6" t="s">
        <v>7143</v>
      </c>
      <c r="L1422" s="6" t="s">
        <v>2260</v>
      </c>
      <c r="M1422" s="6" t="s">
        <v>7117</v>
      </c>
      <c r="N1422" s="6" t="s">
        <v>2139</v>
      </c>
      <c r="O1422" s="6" t="s">
        <v>2231</v>
      </c>
      <c r="P1422" s="6" t="s">
        <v>2141</v>
      </c>
      <c r="Q1422" s="8">
        <v>175</v>
      </c>
      <c r="R1422" s="8">
        <v>175.52500000000001</v>
      </c>
      <c r="S1422" s="8">
        <v>349.9</v>
      </c>
      <c r="T1422" s="8">
        <v>14</v>
      </c>
      <c r="U1422" s="8"/>
      <c r="V1422" s="8">
        <v>0</v>
      </c>
      <c r="W1422" s="12">
        <v>0</v>
      </c>
      <c r="Y1422">
        <v>0</v>
      </c>
    </row>
    <row r="1423" spans="1:25" ht="40" customHeight="1">
      <c r="A1423" s="6" t="s">
        <v>7144</v>
      </c>
      <c r="B1423" s="6" t="s">
        <v>7145</v>
      </c>
      <c r="C1423" s="6">
        <v>73690</v>
      </c>
      <c r="D1423" s="6" t="s">
        <v>7146</v>
      </c>
      <c r="E1423" s="6" t="s">
        <v>7147</v>
      </c>
      <c r="F1423" s="6"/>
      <c r="G1423" s="6" t="s">
        <v>2133</v>
      </c>
      <c r="H1423" s="6" t="s">
        <v>7078</v>
      </c>
      <c r="I1423" s="6" t="s">
        <v>31</v>
      </c>
      <c r="J1423" s="6" t="s">
        <v>7079</v>
      </c>
      <c r="K1423" s="6" t="s">
        <v>7148</v>
      </c>
      <c r="L1423" s="6" t="s">
        <v>2260</v>
      </c>
      <c r="M1423" s="6" t="s">
        <v>7117</v>
      </c>
      <c r="N1423" s="6" t="s">
        <v>2139</v>
      </c>
      <c r="O1423" s="6" t="s">
        <v>2231</v>
      </c>
      <c r="P1423" s="6" t="s">
        <v>2141</v>
      </c>
      <c r="Q1423" s="8">
        <v>175</v>
      </c>
      <c r="R1423" s="8">
        <v>175.52500000000001</v>
      </c>
      <c r="S1423" s="8">
        <v>349.9</v>
      </c>
      <c r="T1423" s="8">
        <v>14</v>
      </c>
      <c r="U1423" s="8"/>
      <c r="V1423" s="8">
        <v>0</v>
      </c>
      <c r="W1423" s="12">
        <v>0</v>
      </c>
      <c r="Y1423">
        <v>0</v>
      </c>
    </row>
    <row r="1424" spans="1:25" ht="40" customHeight="1">
      <c r="A1424" s="6" t="s">
        <v>7149</v>
      </c>
      <c r="B1424" s="6" t="s">
        <v>7150</v>
      </c>
      <c r="C1424" s="6">
        <v>73690</v>
      </c>
      <c r="D1424" s="6" t="s">
        <v>862</v>
      </c>
      <c r="E1424" s="6" t="s">
        <v>7151</v>
      </c>
      <c r="F1424" s="6"/>
      <c r="G1424" s="6" t="s">
        <v>2133</v>
      </c>
      <c r="H1424" s="6" t="s">
        <v>7078</v>
      </c>
      <c r="I1424" s="6" t="s">
        <v>31</v>
      </c>
      <c r="J1424" s="6" t="s">
        <v>7079</v>
      </c>
      <c r="K1424" s="6" t="s">
        <v>7152</v>
      </c>
      <c r="L1424" s="6" t="s">
        <v>2260</v>
      </c>
      <c r="M1424" s="6" t="s">
        <v>7117</v>
      </c>
      <c r="N1424" s="6" t="s">
        <v>2139</v>
      </c>
      <c r="O1424" s="6" t="s">
        <v>2231</v>
      </c>
      <c r="P1424" s="6" t="s">
        <v>2141</v>
      </c>
      <c r="Q1424" s="8">
        <v>175</v>
      </c>
      <c r="R1424" s="8">
        <v>175.52500000000001</v>
      </c>
      <c r="S1424" s="8">
        <v>349.9</v>
      </c>
      <c r="T1424" s="8">
        <v>14</v>
      </c>
      <c r="U1424" s="8"/>
      <c r="V1424" s="8">
        <v>0</v>
      </c>
      <c r="W1424" s="12">
        <v>0</v>
      </c>
      <c r="Y1424">
        <v>0</v>
      </c>
    </row>
    <row r="1425" spans="1:25" ht="40" customHeight="1">
      <c r="A1425" s="6" t="s">
        <v>7153</v>
      </c>
      <c r="B1425" s="6" t="s">
        <v>7154</v>
      </c>
      <c r="C1425" s="6">
        <v>73690</v>
      </c>
      <c r="D1425" s="6" t="s">
        <v>7155</v>
      </c>
      <c r="E1425" s="6" t="s">
        <v>7156</v>
      </c>
      <c r="F1425" s="6"/>
      <c r="G1425" s="6" t="s">
        <v>2133</v>
      </c>
      <c r="H1425" s="6" t="s">
        <v>7078</v>
      </c>
      <c r="I1425" s="6" t="s">
        <v>31</v>
      </c>
      <c r="J1425" s="6" t="s">
        <v>7079</v>
      </c>
      <c r="K1425" s="8"/>
      <c r="L1425" s="8"/>
      <c r="M1425" s="8"/>
      <c r="N1425" s="8"/>
      <c r="O1425" s="8"/>
      <c r="P1425" s="8"/>
      <c r="Q1425" s="8">
        <v>175</v>
      </c>
      <c r="R1425" s="8">
        <v>175.52500000000001</v>
      </c>
      <c r="S1425" s="8">
        <v>349.9</v>
      </c>
      <c r="T1425" s="8">
        <v>14</v>
      </c>
      <c r="U1425" s="8"/>
      <c r="V1425" s="8">
        <v>0</v>
      </c>
      <c r="W1425" s="12">
        <v>0</v>
      </c>
      <c r="Y1425">
        <v>0</v>
      </c>
    </row>
    <row r="1426" spans="1:25" ht="40" customHeight="1">
      <c r="A1426" s="6" t="s">
        <v>7157</v>
      </c>
      <c r="B1426" s="6" t="s">
        <v>7158</v>
      </c>
      <c r="C1426" s="6">
        <v>73690</v>
      </c>
      <c r="D1426" s="6" t="s">
        <v>551</v>
      </c>
      <c r="E1426" s="6" t="s">
        <v>7159</v>
      </c>
      <c r="F1426" s="6"/>
      <c r="G1426" s="6" t="s">
        <v>2133</v>
      </c>
      <c r="H1426" s="6" t="s">
        <v>7078</v>
      </c>
      <c r="I1426" s="6" t="s">
        <v>31</v>
      </c>
      <c r="J1426" s="6" t="s">
        <v>7079</v>
      </c>
      <c r="K1426" s="6" t="s">
        <v>7160</v>
      </c>
      <c r="L1426" s="6" t="s">
        <v>2260</v>
      </c>
      <c r="M1426" s="6" t="s">
        <v>7117</v>
      </c>
      <c r="N1426" s="6" t="s">
        <v>2139</v>
      </c>
      <c r="O1426" s="6" t="s">
        <v>2231</v>
      </c>
      <c r="P1426" s="6" t="s">
        <v>2141</v>
      </c>
      <c r="Q1426" s="8">
        <v>175</v>
      </c>
      <c r="R1426" s="8">
        <v>175.52500000000001</v>
      </c>
      <c r="S1426" s="8">
        <v>349.9</v>
      </c>
      <c r="T1426" s="8">
        <v>14</v>
      </c>
      <c r="U1426" s="8"/>
      <c r="V1426" s="8">
        <v>0</v>
      </c>
      <c r="W1426" s="12">
        <v>0</v>
      </c>
      <c r="Y1426">
        <v>0</v>
      </c>
    </row>
    <row r="1427" spans="1:25" ht="40" customHeight="1">
      <c r="A1427" s="6" t="s">
        <v>7161</v>
      </c>
      <c r="B1427" s="8" t="s">
        <v>7162</v>
      </c>
      <c r="C1427" s="8" t="s">
        <v>7159</v>
      </c>
      <c r="D1427" s="6" t="s">
        <v>2380</v>
      </c>
      <c r="E1427" s="8" t="s">
        <v>7163</v>
      </c>
      <c r="F1427" s="6" t="s">
        <v>5</v>
      </c>
      <c r="G1427" s="6" t="s">
        <v>2133</v>
      </c>
      <c r="H1427" s="6" t="s">
        <v>7078</v>
      </c>
      <c r="I1427" s="6" t="s">
        <v>31</v>
      </c>
      <c r="J1427" s="6" t="s">
        <v>7079</v>
      </c>
      <c r="K1427" s="6" t="s">
        <v>4046</v>
      </c>
      <c r="L1427" s="6" t="s">
        <v>2260</v>
      </c>
      <c r="M1427" s="6" t="s">
        <v>7117</v>
      </c>
      <c r="N1427" s="6" t="s">
        <v>2139</v>
      </c>
      <c r="O1427" s="6" t="s">
        <v>2231</v>
      </c>
      <c r="P1427" s="6" t="s">
        <v>2141</v>
      </c>
      <c r="Q1427" s="8">
        <v>175</v>
      </c>
      <c r="R1427" s="8">
        <v>175.52500000000001</v>
      </c>
      <c r="S1427" s="8">
        <v>349.9</v>
      </c>
      <c r="T1427" s="8">
        <v>14</v>
      </c>
      <c r="U1427" s="8"/>
      <c r="V1427" s="8">
        <v>0</v>
      </c>
      <c r="W1427" s="12">
        <v>0</v>
      </c>
      <c r="Y1427">
        <v>0</v>
      </c>
    </row>
    <row r="1428" spans="1:25" ht="40" customHeight="1">
      <c r="A1428" s="6" t="s">
        <v>7164</v>
      </c>
      <c r="B1428" s="6" t="s">
        <v>7165</v>
      </c>
      <c r="C1428" s="6" t="s">
        <v>7159</v>
      </c>
      <c r="D1428" s="6" t="s">
        <v>27</v>
      </c>
      <c r="E1428" s="6" t="s">
        <v>7166</v>
      </c>
      <c r="F1428" s="6" t="s">
        <v>5</v>
      </c>
      <c r="G1428" s="6" t="s">
        <v>2133</v>
      </c>
      <c r="H1428" s="6" t="s">
        <v>7078</v>
      </c>
      <c r="I1428" s="6" t="s">
        <v>31</v>
      </c>
      <c r="J1428" s="6" t="s">
        <v>7167</v>
      </c>
      <c r="K1428" s="6" t="s">
        <v>7116</v>
      </c>
      <c r="L1428" s="6" t="s">
        <v>2260</v>
      </c>
      <c r="M1428" s="6" t="s">
        <v>7117</v>
      </c>
      <c r="N1428" s="6" t="s">
        <v>2139</v>
      </c>
      <c r="O1428" s="6" t="s">
        <v>7168</v>
      </c>
      <c r="P1428" s="6" t="s">
        <v>2141</v>
      </c>
      <c r="Q1428" s="8">
        <v>175</v>
      </c>
      <c r="R1428" s="8">
        <v>175.52500000000001</v>
      </c>
      <c r="S1428" s="8">
        <v>349.9</v>
      </c>
      <c r="T1428" s="8">
        <v>14</v>
      </c>
      <c r="U1428" s="8"/>
      <c r="V1428" s="8">
        <v>0</v>
      </c>
      <c r="W1428" s="12">
        <v>0</v>
      </c>
      <c r="Y1428">
        <v>0</v>
      </c>
    </row>
    <row r="1429" spans="1:25" ht="40" customHeight="1">
      <c r="A1429" s="6" t="s">
        <v>7169</v>
      </c>
      <c r="B1429" s="6" t="s">
        <v>7170</v>
      </c>
      <c r="C1429" s="6">
        <v>73690</v>
      </c>
      <c r="D1429" s="6" t="s">
        <v>126</v>
      </c>
      <c r="E1429" s="6" t="s">
        <v>7171</v>
      </c>
      <c r="F1429" s="6"/>
      <c r="G1429" s="6" t="s">
        <v>2133</v>
      </c>
      <c r="H1429" s="6" t="s">
        <v>7078</v>
      </c>
      <c r="I1429" s="6" t="s">
        <v>31</v>
      </c>
      <c r="J1429" s="6" t="s">
        <v>7079</v>
      </c>
      <c r="K1429" s="6" t="s">
        <v>7172</v>
      </c>
      <c r="L1429" s="6" t="s">
        <v>2260</v>
      </c>
      <c r="M1429" s="6" t="s">
        <v>7117</v>
      </c>
      <c r="N1429" s="6" t="s">
        <v>2139</v>
      </c>
      <c r="O1429" s="7" t="s">
        <v>2231</v>
      </c>
      <c r="P1429" s="7" t="s">
        <v>2141</v>
      </c>
      <c r="Q1429" s="8">
        <v>175</v>
      </c>
      <c r="R1429" s="8">
        <v>175.52500000000001</v>
      </c>
      <c r="S1429" s="8">
        <v>349.9</v>
      </c>
      <c r="T1429" s="8">
        <v>14</v>
      </c>
      <c r="U1429" s="8"/>
      <c r="V1429" s="8">
        <v>0</v>
      </c>
      <c r="W1429" s="12">
        <v>0</v>
      </c>
      <c r="Y1429">
        <v>0</v>
      </c>
    </row>
  </sheetData>
  <autoFilter ref="A1:X1429" xr:uid="{00000000-0009-0000-0000-000000000000}"/>
  <sortState xmlns:xlrd2="http://schemas.microsoft.com/office/spreadsheetml/2017/richdata2" ref="A3:X1430">
    <sortCondition ref="B1:B1430"/>
    <sortCondition ref="I1:I1430"/>
  </sortState>
  <conditionalFormatting sqref="B1:B1048576">
    <cfRule type="duplicateValues" dxfId="1" priority="1"/>
    <cfRule type="duplicateValues" dxfId="0" priority="2"/>
  </conditionalFormatting>
  <hyperlinks>
    <hyperlink ref="A1228" r:id="rId1" tooltip="https://image.skechers.com/img/productimages/xlarge/149693_ROS_A.jpg" xr:uid="{00000000-0004-0000-0000-000000000000}"/>
    <hyperlink ref="A1227" r:id="rId2" tooltip="https://image.skechers.com/img/productimages/xlarge/149693_ROS_A.jpg" xr:uid="{00000000-0004-0000-0000-000001000000}"/>
    <hyperlink ref="A1224" r:id="rId3" tooltip="https://image.skechers.com/img/productimages/xlarge/149693_ROS_A.jpg" xr:uid="{00000000-0004-0000-0000-000002000000}"/>
    <hyperlink ref="A1223" r:id="rId4" tooltip="https://image.skechers.com/img/productimages/xlarge/149693_ROS_A.jpg" xr:uid="{00000000-0004-0000-0000-000003000000}"/>
    <hyperlink ref="A1220" r:id="rId5" tooltip="https://image.skechers.com/img/productimages/xlarge/149693_ROS_A.jpg" xr:uid="{00000000-0004-0000-0000-000004000000}"/>
    <hyperlink ref="A1219" r:id="rId6" tooltip="https://image.skechers.com/img/productimages/xlarge/149693_ROS_A.jpg" xr:uid="{00000000-0004-0000-0000-000005000000}"/>
    <hyperlink ref="A1218" r:id="rId7" tooltip="https://image.skechers.com/img/productimages/xlarge/149693_ROS_A.jpg" xr:uid="{00000000-0004-0000-0000-000006000000}"/>
    <hyperlink ref="A1216" r:id="rId8" tooltip="https://image.skechers.com/img/productimages/xlarge/149693_ROS_A.jpg" xr:uid="{00000000-0004-0000-0000-000007000000}"/>
    <hyperlink ref="A1215" r:id="rId9" tooltip="https://image.skechers.com/img/productimages/xlarge/149693_ROS_A.jpg" xr:uid="{00000000-0004-0000-0000-000008000000}"/>
    <hyperlink ref="A1214" r:id="rId10" tooltip="https://image.skechers.com/img/productimages/xlarge/149693_ROS_A.jpg" xr:uid="{00000000-0004-0000-0000-000009000000}"/>
    <hyperlink ref="A1213" r:id="rId11" tooltip="https://image.skechers.com/img/productimages/xlarge/149693_ROS_A.jpg" xr:uid="{00000000-0004-0000-0000-00000A000000}"/>
    <hyperlink ref="A1212" r:id="rId12" tooltip="https://image.skechers.com/img/productimages/xlarge/149693_ROS_A.jpg" xr:uid="{00000000-0004-0000-0000-00000B000000}"/>
    <hyperlink ref="A1211" r:id="rId13" tooltip="https://image.skechers.com/img/productimages/xlarge/149693_ROS_A.jpg" xr:uid="{00000000-0004-0000-0000-00000C000000}"/>
    <hyperlink ref="A1210" r:id="rId14" tooltip="https://image.skechers.com/img/productimages/xlarge/149693_ROS_A.jpg" xr:uid="{00000000-0004-0000-0000-00000D000000}"/>
    <hyperlink ref="A1209" r:id="rId15" tooltip="https://image.skechers.com/img/productimages/xlarge/149693_ROS_A.jpg" xr:uid="{00000000-0004-0000-0000-00000E000000}"/>
    <hyperlink ref="A1208" r:id="rId16" tooltip="https://image.skechers.com/img/productimages/xlarge/149693_ROS_A.jpg" xr:uid="{00000000-0004-0000-0000-00000F000000}"/>
    <hyperlink ref="A1207" r:id="rId17" tooltip="https://image.skechers.com/img/productimages/xlarge/149693_ROS_A.jpg" xr:uid="{00000000-0004-0000-0000-000010000000}"/>
    <hyperlink ref="A1206" r:id="rId18" tooltip="https://image.skechers.com/img/productimages/xlarge/149693_ROS_A.jpg" xr:uid="{00000000-0004-0000-0000-000011000000}"/>
    <hyperlink ref="A1205" r:id="rId19" tooltip="https://image.skechers.com/img/productimages/xlarge/149693_ROS_A.jpg" xr:uid="{00000000-0004-0000-0000-000012000000}"/>
    <hyperlink ref="A1204" r:id="rId20" tooltip="https://image.skechers.com/img/productimages/xlarge/149693_ROS_A.jpg" xr:uid="{00000000-0004-0000-0000-000013000000}"/>
    <hyperlink ref="A1200" r:id="rId21" tooltip="https://image.skechers.com/img/productimages/xlarge/149693_ROS_A.jpg" xr:uid="{00000000-0004-0000-0000-000014000000}"/>
    <hyperlink ref="A1199" r:id="rId22" tooltip="https://image.skechers.com/img/productimages/xlarge/149693_ROS_A.jpg" xr:uid="{00000000-0004-0000-0000-000015000000}"/>
    <hyperlink ref="A1198" r:id="rId23" tooltip="https://image.skechers.com/img/productimages/xlarge/149693_ROS_A.jpg" xr:uid="{00000000-0004-0000-0000-000016000000}"/>
    <hyperlink ref="A1197" r:id="rId24" tooltip="https://image.skechers.com/img/productimages/xlarge/149693_ROS_A.jpg" xr:uid="{00000000-0004-0000-0000-000017000000}"/>
    <hyperlink ref="A1196" r:id="rId25" tooltip="https://image.skechers.com/img/productimages/xlarge/149693_ROS_A.jpg" xr:uid="{00000000-0004-0000-0000-000018000000}"/>
    <hyperlink ref="A1195" r:id="rId26" tooltip="https://image.skechers.com/img/productimages/xlarge/149693_ROS_A.jpg" xr:uid="{00000000-0004-0000-0000-000019000000}"/>
    <hyperlink ref="A1194" r:id="rId27" tooltip="https://image.skechers.com/img/productimages/xlarge/149693_ROS_A.jpg" xr:uid="{00000000-0004-0000-0000-00001A000000}"/>
    <hyperlink ref="A1193" r:id="rId28" tooltip="https://image.skechers.com/img/productimages/xlarge/149693_ROS_A.jpg" xr:uid="{00000000-0004-0000-0000-00001B000000}"/>
    <hyperlink ref="A1192" r:id="rId29" tooltip="https://image.skechers.com/img/productimages/xlarge/149693_ROS_A.jpg" xr:uid="{00000000-0004-0000-0000-00001C000000}"/>
    <hyperlink ref="A1191" r:id="rId30" tooltip="https://image.skechers.com/img/productimages/xlarge/149693_ROS_A.jpg" xr:uid="{00000000-0004-0000-0000-00001D000000}"/>
    <hyperlink ref="A1190" r:id="rId31" tooltip="https://image.skechers.com/img/productimages/xlarge/149693_ROS_A.jpg" xr:uid="{00000000-0004-0000-0000-00001E000000}"/>
    <hyperlink ref="A1189" r:id="rId32" tooltip="https://image.skechers.com/img/productimages/xlarge/149693_ROS_A.jpg" xr:uid="{00000000-0004-0000-0000-00001F000000}"/>
    <hyperlink ref="A1188" r:id="rId33" tooltip="https://image.skechers.com/img/productimages/xlarge/149693_ROS_A.jpg" xr:uid="{00000000-0004-0000-0000-000020000000}"/>
    <hyperlink ref="A1187" r:id="rId34" tooltip="https://image.skechers.com/img/productimages/xlarge/149693_ROS_A.jpg" xr:uid="{00000000-0004-0000-0000-000021000000}"/>
    <hyperlink ref="A1186" r:id="rId35" tooltip="https://image.skechers.com/img/productimages/xlarge/149693_ROS_A.jpg" xr:uid="{00000000-0004-0000-0000-000022000000}"/>
    <hyperlink ref="A1185" r:id="rId36" tooltip="https://image.skechers.com/img/productimages/xlarge/149693_ROS_A.jpg" xr:uid="{00000000-0004-0000-0000-000023000000}"/>
    <hyperlink ref="A1184" r:id="rId37" tooltip="https://image.skechers.com/img/productimages/xlarge/149693_ROS_A.jpg" xr:uid="{00000000-0004-0000-0000-000024000000}"/>
    <hyperlink ref="A1183" r:id="rId38" tooltip="https://image.skechers.com/img/productimages/xlarge/149693_ROS_A.jpg" xr:uid="{00000000-0004-0000-0000-000025000000}"/>
    <hyperlink ref="A1182" r:id="rId39" tooltip="https://image.skechers.com/img/productimages/xlarge/149693_ROS_A.jpg" xr:uid="{00000000-0004-0000-0000-000026000000}"/>
    <hyperlink ref="A1181" r:id="rId40" tooltip="https://image.skechers.com/img/productimages/xlarge/149693_ROS_A.jpg" xr:uid="{00000000-0004-0000-0000-000027000000}"/>
    <hyperlink ref="A1180" r:id="rId41" tooltip="https://image.skechers.com/img/productimages/xlarge/149693_ROS_A.jpg" xr:uid="{00000000-0004-0000-0000-000028000000}"/>
    <hyperlink ref="A1179" r:id="rId42" tooltip="https://image.skechers.com/img/productimages/xlarge/149693_ROS_A.jpg" xr:uid="{00000000-0004-0000-0000-000029000000}"/>
    <hyperlink ref="A1178" r:id="rId43" tooltip="https://image.skechers.com/img/productimages/xlarge/149693_ROS_A.jpg" xr:uid="{00000000-0004-0000-0000-00002A000000}"/>
    <hyperlink ref="A1177" r:id="rId44" tooltip="https://image.skechers.com/img/productimages/xlarge/149693_ROS_A.jpg" xr:uid="{00000000-0004-0000-0000-00002B000000}"/>
    <hyperlink ref="A1176" r:id="rId45" tooltip="https://image.skechers.com/img/productimages/xlarge/149693_ROS_A.jpg" xr:uid="{00000000-0004-0000-0000-00002C000000}"/>
    <hyperlink ref="A1173" r:id="rId46" tooltip="https://image.skechers.com/img/productimages/xlarge/149693_ROS_A.jpg" xr:uid="{00000000-0004-0000-0000-00002D000000}"/>
    <hyperlink ref="A1172" r:id="rId47" tooltip="https://image.skechers.com/img/productimages/xlarge/149693_ROS_A.jpg" xr:uid="{00000000-0004-0000-0000-00002E000000}"/>
    <hyperlink ref="A1171" r:id="rId48" tooltip="https://image.skechers.com/img/productimages/xlarge/149693_ROS_A.jpg" xr:uid="{00000000-0004-0000-0000-00002F000000}"/>
    <hyperlink ref="A1170" r:id="rId49" tooltip="https://image.skechers.com/img/productimages/xlarge/149693_ROS_A.jpg" xr:uid="{00000000-0004-0000-0000-000030000000}"/>
    <hyperlink ref="A1169" r:id="rId50" tooltip="https://image.skechers.com/img/productimages/xlarge/149693_ROS_A.jpg" xr:uid="{00000000-0004-0000-0000-000031000000}"/>
    <hyperlink ref="A1168" r:id="rId51" tooltip="https://image.skechers.com/img/productimages/xlarge/149693_ROS_A.jpg" xr:uid="{00000000-0004-0000-0000-000032000000}"/>
    <hyperlink ref="A1167" r:id="rId52" tooltip="https://image.skechers.com/img/productimages/xlarge/149693_ROS_A.jpg" xr:uid="{00000000-0004-0000-0000-000033000000}"/>
    <hyperlink ref="A1166" r:id="rId53" tooltip="https://image.skechers.com/img/productimages/xlarge/149693_ROS_A.jpg" xr:uid="{00000000-0004-0000-0000-000034000000}"/>
    <hyperlink ref="A1165" r:id="rId54" tooltip="https://image.skechers.com/img/productimages/xlarge/149693_ROS_A.jpg" xr:uid="{00000000-0004-0000-0000-000035000000}"/>
    <hyperlink ref="A1164" r:id="rId55" tooltip="https://image.skechers.com/img/productimages/xlarge/149693_ROS_A.jpg" xr:uid="{00000000-0004-0000-0000-000036000000}"/>
    <hyperlink ref="A1163" r:id="rId56" tooltip="https://image.skechers.com/img/productimages/xlarge/149693_ROS_A.jpg" xr:uid="{00000000-0004-0000-0000-000037000000}"/>
    <hyperlink ref="A1162" r:id="rId57" tooltip="https://image.skechers.com/img/productimages/xlarge/149693_ROS_A.jpg" xr:uid="{00000000-0004-0000-0000-000038000000}"/>
    <hyperlink ref="A1161" r:id="rId58" tooltip="https://image.skechers.com/img/productimages/xlarge/149693_ROS_A.jpg" xr:uid="{00000000-0004-0000-0000-000039000000}"/>
    <hyperlink ref="A1160" r:id="rId59" tooltip="https://image.skechers.com/img/productimages/xlarge/149693_ROS_A.jpg" xr:uid="{00000000-0004-0000-0000-00003A000000}"/>
    <hyperlink ref="A1159" r:id="rId60" tooltip="https://image.skechers.com/img/productimages/xlarge/149693_ROS_A.jpg" xr:uid="{00000000-0004-0000-0000-00003B000000}"/>
    <hyperlink ref="A1158" r:id="rId61" tooltip="https://image.skechers.com/img/productimages/xlarge/149693_ROS_A.jpg" xr:uid="{00000000-0004-0000-0000-00003C000000}"/>
    <hyperlink ref="A1157" r:id="rId62" tooltip="https://image.skechers.com/img/productimages/xlarge/149693_ROS_A.jpg" xr:uid="{00000000-0004-0000-0000-00003D000000}"/>
    <hyperlink ref="A1156" r:id="rId63" tooltip="https://image.skechers.com/img/productimages/xlarge/149693_ROS_A.jpg" xr:uid="{00000000-0004-0000-0000-00003E000000}"/>
    <hyperlink ref="A1155" r:id="rId64" tooltip="https://image.skechers.com/img/productimages/xlarge/149693_ROS_A.jpg" xr:uid="{00000000-0004-0000-0000-00003F000000}"/>
    <hyperlink ref="A1154" r:id="rId65" tooltip="https://image.skechers.com/img/productimages/xlarge/149693_ROS_A.jpg" xr:uid="{00000000-0004-0000-0000-000040000000}"/>
    <hyperlink ref="A1153" r:id="rId66" tooltip="https://image.skechers.com/img/productimages/xlarge/149693_ROS_A.jpg" xr:uid="{00000000-0004-0000-0000-000041000000}"/>
    <hyperlink ref="A1152" r:id="rId67" tooltip="https://image.skechers.com/img/productimages/xlarge/149693_ROS_A.jpg" xr:uid="{00000000-0004-0000-0000-000042000000}"/>
    <hyperlink ref="A1151" r:id="rId68" tooltip="https://image.skechers.com/img/productimages/xlarge/149693_ROS_A.jpg" xr:uid="{00000000-0004-0000-0000-000043000000}"/>
    <hyperlink ref="A1150" r:id="rId69" tooltip="https://image.skechers.com/img/productimages/xlarge/149693_ROS_A.jpg" xr:uid="{00000000-0004-0000-0000-000044000000}"/>
    <hyperlink ref="A1149" r:id="rId70" tooltip="https://image.skechers.com/img/productimages/xlarge/149693_ROS_A.jpg" xr:uid="{00000000-0004-0000-0000-000045000000}"/>
    <hyperlink ref="A1148" r:id="rId71" tooltip="https://image.skechers.com/img/productimages/xlarge/149693_ROS_A.jpg" xr:uid="{00000000-0004-0000-0000-000046000000}"/>
    <hyperlink ref="A1147" r:id="rId72" tooltip="https://image.skechers.com/img/productimages/xlarge/149693_ROS_A.jpg" xr:uid="{00000000-0004-0000-0000-000047000000}"/>
    <hyperlink ref="A1146" r:id="rId73" tooltip="https://image.skechers.com/img/productimages/xlarge/149693_ROS_A.jpg" xr:uid="{00000000-0004-0000-0000-000048000000}"/>
    <hyperlink ref="A1145" r:id="rId74" tooltip="https://image.skechers.com/img/productimages/xlarge/149693_ROS_A.jpg" xr:uid="{00000000-0004-0000-0000-000049000000}"/>
    <hyperlink ref="A1144" r:id="rId75" tooltip="https://image.skechers.com/img/productimages/xlarge/149693_ROS_A.jpg" xr:uid="{00000000-0004-0000-0000-00004A000000}"/>
    <hyperlink ref="A1143" r:id="rId76" tooltip="https://image.skechers.com/img/productimages/xlarge/149693_ROS_A.jpg" xr:uid="{00000000-0004-0000-0000-00004B000000}"/>
    <hyperlink ref="A1142" r:id="rId77" tooltip="https://image.skechers.com/img/productimages/xlarge/149693_ROS_A.jpg" xr:uid="{00000000-0004-0000-0000-00004C000000}"/>
    <hyperlink ref="A1141" r:id="rId78" tooltip="https://image.skechers.com/img/productimages/xlarge/149693_ROS_A.jpg" xr:uid="{00000000-0004-0000-0000-00004D000000}"/>
    <hyperlink ref="A1140" r:id="rId79" tooltip="https://image.skechers.com/img/productimages/xlarge/149693_ROS_A.jpg" xr:uid="{00000000-0004-0000-0000-00004E000000}"/>
    <hyperlink ref="A1139" r:id="rId80" tooltip="https://image.skechers.com/img/productimages/xlarge/149693_ROS_A.jpg" xr:uid="{00000000-0004-0000-0000-00004F000000}"/>
    <hyperlink ref="A1138" r:id="rId81" tooltip="https://image.skechers.com/img/productimages/xlarge/149693_ROS_A.jpg" xr:uid="{00000000-0004-0000-0000-000050000000}"/>
    <hyperlink ref="A1137" r:id="rId82" tooltip="https://image.skechers.com/img/productimages/xlarge/149693_ROS_A.jpg" xr:uid="{00000000-0004-0000-0000-000051000000}"/>
    <hyperlink ref="A1136" r:id="rId83" tooltip="https://image.skechers.com/img/productimages/xlarge/149693_ROS_A.jpg" xr:uid="{00000000-0004-0000-0000-000052000000}"/>
    <hyperlink ref="A1135" r:id="rId84" tooltip="https://image.skechers.com/img/productimages/xlarge/149693_ROS_A.jpg" xr:uid="{00000000-0004-0000-0000-000053000000}"/>
    <hyperlink ref="A1134" r:id="rId85" tooltip="https://image.skechers.com/img/productimages/xlarge/149693_ROS_A.jpg" xr:uid="{00000000-0004-0000-0000-000054000000}"/>
    <hyperlink ref="A1133" r:id="rId86" tooltip="https://image.skechers.com/img/productimages/xlarge/149693_ROS_A.jpg" xr:uid="{00000000-0004-0000-0000-000055000000}"/>
    <hyperlink ref="A1132" r:id="rId87" tooltip="https://image.skechers.com/img/productimages/xlarge/149693_ROS_A.jpg" xr:uid="{00000000-0004-0000-0000-000056000000}"/>
    <hyperlink ref="A1131" r:id="rId88" tooltip="https://image.skechers.com/img/productimages/xlarge/149693_ROS_A.jpg" xr:uid="{00000000-0004-0000-0000-000057000000}"/>
    <hyperlink ref="A1130" r:id="rId89" tooltip="https://image.skechers.com/img/productimages/xlarge/149693_ROS_A.jpg" xr:uid="{00000000-0004-0000-0000-000058000000}"/>
    <hyperlink ref="A1129" r:id="rId90" tooltip="https://image.skechers.com/img/productimages/xlarge/149693_ROS_A.jpg" xr:uid="{00000000-0004-0000-0000-000059000000}"/>
    <hyperlink ref="A1128" r:id="rId91" tooltip="https://image.skechers.com/img/productimages/xlarge/149693_ROS_A.jpg" xr:uid="{00000000-0004-0000-0000-00005A000000}"/>
    <hyperlink ref="A1127" r:id="rId92" tooltip="https://image.skechers.com/img/productimages/xlarge/149693_ROS_A.jpg" xr:uid="{00000000-0004-0000-0000-00005B000000}"/>
    <hyperlink ref="A1126" r:id="rId93" tooltip="https://image.skechers.com/img/productimages/xlarge/149693_ROS_A.jpg" xr:uid="{00000000-0004-0000-0000-00005C000000}"/>
    <hyperlink ref="A1125" r:id="rId94" tooltip="https://image.skechers.com/img/productimages/xlarge/149693_ROS_A.jpg" xr:uid="{00000000-0004-0000-0000-00005D000000}"/>
    <hyperlink ref="A1124" r:id="rId95" tooltip="https://image.skechers.com/img/productimages/xlarge/149693_ROS_A.jpg" xr:uid="{00000000-0004-0000-0000-00005E000000}"/>
    <hyperlink ref="A1121" r:id="rId96" tooltip="https://image.skechers.com/img/productimages/xlarge/149693_ROS_A.jpg" xr:uid="{00000000-0004-0000-0000-00005F000000}"/>
    <hyperlink ref="A1120" r:id="rId97" tooltip="https://image.skechers.com/img/productimages/xlarge/149693_ROS_A.jpg" xr:uid="{00000000-0004-0000-0000-000060000000}"/>
    <hyperlink ref="A1119" r:id="rId98" tooltip="https://image.skechers.com/img/productimages/xlarge/149693_ROS_A.jpg" xr:uid="{00000000-0004-0000-0000-000061000000}"/>
    <hyperlink ref="A1118" r:id="rId99" tooltip="https://image.skechers.com/img/productimages/xlarge/149693_ROS_A.jpg" xr:uid="{00000000-0004-0000-0000-000062000000}"/>
    <hyperlink ref="A1117" r:id="rId100" tooltip="https://image.skechers.com/img/productimages/xlarge/149693_ROS_A.jpg" xr:uid="{00000000-0004-0000-0000-000063000000}"/>
    <hyperlink ref="A1116" r:id="rId101" tooltip="https://image.skechers.com/img/productimages/xlarge/149693_ROS_A.jpg" xr:uid="{00000000-0004-0000-0000-000064000000}"/>
    <hyperlink ref="A1115" r:id="rId102" tooltip="https://image.skechers.com/img/productimages/xlarge/149693_ROS_A.jpg" xr:uid="{00000000-0004-0000-0000-000065000000}"/>
    <hyperlink ref="A1114" r:id="rId103" tooltip="https://image.skechers.com/img/productimages/xlarge/149693_ROS_A.jpg" xr:uid="{00000000-0004-0000-0000-000066000000}"/>
    <hyperlink ref="A1113" r:id="rId104" tooltip="https://image.skechers.com/img/productimages/xlarge/149693_ROS_A.jpg" xr:uid="{00000000-0004-0000-0000-000067000000}"/>
    <hyperlink ref="A1109" r:id="rId105" tooltip="https://image.skechers.com/img/productimages/xlarge/149693_ROS_A.jpg" xr:uid="{00000000-0004-0000-0000-000068000000}"/>
    <hyperlink ref="A1108" r:id="rId106" tooltip="https://image.skechers.com/img/productimages/xlarge/149693_ROS_A.jpg" xr:uid="{00000000-0004-0000-0000-000069000000}"/>
    <hyperlink ref="A1107" r:id="rId107" tooltip="https://image.skechers.com/img/productimages/xlarge/149693_ROS_A.jpg" xr:uid="{00000000-0004-0000-0000-00006A000000}"/>
    <hyperlink ref="A1106" r:id="rId108" tooltip="https://image.skechers.com/img/productimages/xlarge/149693_ROS_A.jpg" xr:uid="{00000000-0004-0000-0000-00006B000000}"/>
    <hyperlink ref="A1105" r:id="rId109" tooltip="https://image.skechers.com/img/productimages/xlarge/149693_ROS_A.jpg" xr:uid="{00000000-0004-0000-0000-00006C000000}"/>
    <hyperlink ref="A1104" r:id="rId110" tooltip="https://image.skechers.com/img/productimages/xlarge/149693_ROS_A.jpg" xr:uid="{00000000-0004-0000-0000-00006D000000}"/>
    <hyperlink ref="A1103" r:id="rId111" tooltip="https://image.skechers.com/img/productimages/xlarge/149693_ROS_A.jpg" xr:uid="{00000000-0004-0000-0000-00006E000000}"/>
    <hyperlink ref="A1100" r:id="rId112" tooltip="https://image.skechers.com/img/productimages/xlarge/149693_ROS_A.jpg" xr:uid="{00000000-0004-0000-0000-00006F000000}"/>
    <hyperlink ref="A1099" r:id="rId113" tooltip="https://image.skechers.com/img/productimages/xlarge/149693_ROS_A.jpg" xr:uid="{00000000-0004-0000-0000-000070000000}"/>
    <hyperlink ref="A1098" r:id="rId114" tooltip="https://image.skechers.com/img/productimages/xlarge/149693_ROS_A.jpg" xr:uid="{00000000-0004-0000-0000-000071000000}"/>
    <hyperlink ref="A1097" r:id="rId115" tooltip="https://image.skechers.com/img/productimages/xlarge/149693_ROS_A.jpg" xr:uid="{00000000-0004-0000-0000-000072000000}"/>
    <hyperlink ref="A1096" r:id="rId116" tooltip="https://image.skechers.com/img/productimages/xlarge/149693_ROS_A.jpg" xr:uid="{00000000-0004-0000-0000-000073000000}"/>
    <hyperlink ref="A1095" r:id="rId117" tooltip="https://image.skechers.com/img/productimages/xlarge/149693_ROS_A.jpg" xr:uid="{00000000-0004-0000-0000-000074000000}"/>
    <hyperlink ref="A1094" r:id="rId118" tooltip="https://image.skechers.com/img/productimages/xlarge/149693_ROS_A.jpg" xr:uid="{00000000-0004-0000-0000-000075000000}"/>
    <hyperlink ref="A1093" r:id="rId119" tooltip="https://image.skechers.com/img/productimages/xlarge/149693_ROS_A.jpg" xr:uid="{00000000-0004-0000-0000-000076000000}"/>
    <hyperlink ref="A1092" r:id="rId120" tooltip="https://image.skechers.com/img/productimages/xlarge/149693_ROS_A.jpg" xr:uid="{00000000-0004-0000-0000-000077000000}"/>
    <hyperlink ref="A1091" r:id="rId121" tooltip="https://image.skechers.com/img/productimages/xlarge/149693_ROS_A.jpg" xr:uid="{00000000-0004-0000-0000-000078000000}"/>
    <hyperlink ref="A1090" r:id="rId122" tooltip="https://image.skechers.com/img/productimages/xlarge/149693_ROS_A.jpg" xr:uid="{00000000-0004-0000-0000-000079000000}"/>
    <hyperlink ref="A1089" r:id="rId123" tooltip="https://image.skechers.com/img/productimages/xlarge/149693_ROS_A.jpg" xr:uid="{00000000-0004-0000-0000-00007A000000}"/>
    <hyperlink ref="A1088" r:id="rId124" tooltip="https://image.skechers.com/img/productimages/xlarge/149693_ROS_A.jpg" xr:uid="{00000000-0004-0000-0000-00007B000000}"/>
    <hyperlink ref="A1087" r:id="rId125" tooltip="https://image.skechers.com/img/productimages/xlarge/149693_ROS_A.jpg" xr:uid="{00000000-0004-0000-0000-00007C000000}"/>
    <hyperlink ref="A1086" r:id="rId126" tooltip="https://image.skechers.com/img/productimages/xlarge/149693_ROS_A.jpg" xr:uid="{00000000-0004-0000-0000-00007D000000}"/>
    <hyperlink ref="A1085" r:id="rId127" tooltip="https://image.skechers.com/img/productimages/xlarge/149693_ROS_A.jpg" xr:uid="{00000000-0004-0000-0000-00007E000000}"/>
    <hyperlink ref="A1084" r:id="rId128" tooltip="https://image.skechers.com/img/productimages/xlarge/149693_ROS_A.jpg" xr:uid="{00000000-0004-0000-0000-00007F000000}"/>
    <hyperlink ref="A1083" r:id="rId129" tooltip="https://image.skechers.com/img/productimages/xlarge/149693_ROS_A.jpg" xr:uid="{00000000-0004-0000-0000-000080000000}"/>
    <hyperlink ref="A1082" r:id="rId130" tooltip="https://image.skechers.com/img/productimages/xlarge/149693_ROS_A.jpg" xr:uid="{00000000-0004-0000-0000-000081000000}"/>
    <hyperlink ref="A1078" r:id="rId131" tooltip="https://image.skechers.com/img/productimages/xlarge/149693_ROS_A.jpg" xr:uid="{00000000-0004-0000-0000-000082000000}"/>
    <hyperlink ref="A1077" r:id="rId132" tooltip="https://image.skechers.com/img/productimages/xlarge/149693_ROS_A.jpg" xr:uid="{00000000-0004-0000-0000-000083000000}"/>
    <hyperlink ref="A1076" r:id="rId133" tooltip="https://image.skechers.com/img/productimages/xlarge/149693_ROS_A.jpg" xr:uid="{00000000-0004-0000-0000-000084000000}"/>
    <hyperlink ref="A1075" r:id="rId134" tooltip="https://image.skechers.com/img/productimages/xlarge/149693_ROS_A.jpg" xr:uid="{00000000-0004-0000-0000-000085000000}"/>
    <hyperlink ref="A1074" r:id="rId135" tooltip="https://image.skechers.com/img/productimages/xlarge/149693_ROS_A.jpg" xr:uid="{00000000-0004-0000-0000-000086000000}"/>
    <hyperlink ref="A1073" r:id="rId136" tooltip="https://image.skechers.com/img/productimages/xlarge/149693_ROS_A.jpg" xr:uid="{00000000-0004-0000-0000-000087000000}"/>
    <hyperlink ref="A1072" r:id="rId137" tooltip="https://image.skechers.com/img/productimages/xlarge/149693_ROS_A.jpg" xr:uid="{00000000-0004-0000-0000-000088000000}"/>
    <hyperlink ref="A1071" r:id="rId138" tooltip="https://image.skechers.com/img/productimages/xlarge/149693_ROS_A.jpg" xr:uid="{00000000-0004-0000-0000-000089000000}"/>
    <hyperlink ref="A1070" r:id="rId139" tooltip="https://image.skechers.com/img/productimages/xlarge/149693_ROS_A.jpg" xr:uid="{00000000-0004-0000-0000-00008A000000}"/>
    <hyperlink ref="A1069" r:id="rId140" tooltip="https://image.skechers.com/img/productimages/xlarge/149693_ROS_A.jpg" xr:uid="{00000000-0004-0000-0000-00008B000000}"/>
    <hyperlink ref="A1068" r:id="rId141" tooltip="https://image.skechers.com/img/productimages/xlarge/149693_ROS_A.jpg" xr:uid="{00000000-0004-0000-0000-00008C000000}"/>
    <hyperlink ref="A1067" r:id="rId142" tooltip="https://image.skechers.com/img/productimages/xlarge/149693_ROS_A.jpg" xr:uid="{00000000-0004-0000-0000-00008D000000}"/>
    <hyperlink ref="A1063" r:id="rId143" tooltip="https://image.skechers.com/img/productimages/xlarge/149693_ROS_A.jpg" xr:uid="{00000000-0004-0000-0000-00008E000000}"/>
    <hyperlink ref="A1062" r:id="rId144" tooltip="https://image.skechers.com/img/productimages/xlarge/149693_ROS_A.jpg" xr:uid="{00000000-0004-0000-0000-00008F000000}"/>
    <hyperlink ref="A1061" r:id="rId145" tooltip="https://image.skechers.com/img/productimages/xlarge/149693_ROS_A.jpg" xr:uid="{00000000-0004-0000-0000-000090000000}"/>
    <hyperlink ref="A1060" r:id="rId146" tooltip="https://image.skechers.com/img/productimages/xlarge/149693_ROS_A.jpg" xr:uid="{00000000-0004-0000-0000-000091000000}"/>
    <hyperlink ref="A1059" r:id="rId147" tooltip="https://image.skechers.com/img/productimages/xlarge/149693_ROS_A.jpg" xr:uid="{00000000-0004-0000-0000-000092000000}"/>
    <hyperlink ref="A1058" r:id="rId148" tooltip="https://image.skechers.com/img/productimages/xlarge/149693_ROS_A.jpg" xr:uid="{00000000-0004-0000-0000-000093000000}"/>
    <hyperlink ref="A1057" r:id="rId149" tooltip="https://image.skechers.com/img/productimages/xlarge/149693_ROS_A.jpg" xr:uid="{00000000-0004-0000-0000-000094000000}"/>
    <hyperlink ref="A1056" r:id="rId150" tooltip="https://image.skechers.com/img/productimages/xlarge/149693_ROS_A.jpg" xr:uid="{00000000-0004-0000-0000-000095000000}"/>
    <hyperlink ref="A1055" r:id="rId151" tooltip="https://image.skechers.com/img/productimages/xlarge/149693_ROS_A.jpg" xr:uid="{00000000-0004-0000-0000-000096000000}"/>
    <hyperlink ref="A1054" r:id="rId152" tooltip="https://image.skechers.com/img/productimages/xlarge/149693_ROS_A.jpg" xr:uid="{00000000-0004-0000-0000-000097000000}"/>
    <hyperlink ref="A1053" r:id="rId153" tooltip="https://image.skechers.com/img/productimages/xlarge/149693_ROS_A.jpg" xr:uid="{00000000-0004-0000-0000-000098000000}"/>
    <hyperlink ref="A1052" r:id="rId154" tooltip="https://image.skechers.com/img/productimages/xlarge/149693_ROS_A.jpg" xr:uid="{00000000-0004-0000-0000-000099000000}"/>
    <hyperlink ref="A1051" r:id="rId155" tooltip="https://image.skechers.com/img/productimages/xlarge/149693_ROS_A.jpg" xr:uid="{00000000-0004-0000-0000-00009A000000}"/>
    <hyperlink ref="A1050" r:id="rId156" tooltip="https://image.skechers.com/img/productimages/xlarge/149693_ROS_A.jpg" xr:uid="{00000000-0004-0000-0000-00009B000000}"/>
    <hyperlink ref="A1045" r:id="rId157" tooltip="https://image.skechers.com/img/productimages/xlarge/149693_ROS_A.jpg" xr:uid="{00000000-0004-0000-0000-00009C000000}"/>
    <hyperlink ref="A1044" r:id="rId158" tooltip="https://image.skechers.com/img/productimages/xlarge/149693_ROS_A.jpg" xr:uid="{00000000-0004-0000-0000-00009D000000}"/>
    <hyperlink ref="A1043" r:id="rId159" tooltip="https://image.skechers.com/img/productimages/xlarge/149693_ROS_A.jpg" xr:uid="{00000000-0004-0000-0000-00009E000000}"/>
    <hyperlink ref="A1042" r:id="rId160" tooltip="https://image.skechers.com/img/productimages/xlarge/303557L_BLK_A.jpg" xr:uid="{00000000-0004-0000-0000-00009F000000}"/>
    <hyperlink ref="A1041" r:id="rId161" tooltip="https://image.skechers.com/img/productimages/xlarge/149693_ROS_A.jpg" xr:uid="{00000000-0004-0000-0000-0000A0000000}"/>
    <hyperlink ref="A1040" r:id="rId162" tooltip="https://image.skechers.com/img/productimages/xlarge/149693_ROS_A.jpg" xr:uid="{00000000-0004-0000-0000-0000A1000000}"/>
    <hyperlink ref="A1229" r:id="rId163" tooltip="https://image.skechers.com/img/productimages/xlarge/149693_ROS_A.jpg" xr:uid="{00000000-0004-0000-0000-0000A2000000}"/>
    <hyperlink ref="A1230" r:id="rId164" tooltip="https://image.skechers.com/img/productimages/xlarge/149693_ROS_A.jpg" xr:uid="{00000000-0004-0000-0000-0000A3000000}"/>
    <hyperlink ref="A1231" r:id="rId165" tooltip="https://image.skechers.com/img/productimages/xlarge/149693_ROS_A.jpg" xr:uid="{00000000-0004-0000-0000-0000A4000000}"/>
    <hyperlink ref="A1232" r:id="rId166" tooltip="https://image.skechers.com/img/productimages/xlarge/149693_ROS_A.jpg" xr:uid="{00000000-0004-0000-0000-0000A5000000}"/>
    <hyperlink ref="A1235" r:id="rId167" tooltip="https://image.skechers.com/img/productimages/xlarge/149693_ROS_A.jpg" xr:uid="{00000000-0004-0000-0000-0000A6000000}"/>
    <hyperlink ref="A1236" r:id="rId168" tooltip="https://image.skechers.com/img/productimages/xlarge/149693_ROS_A.jpg" xr:uid="{00000000-0004-0000-0000-0000A7000000}"/>
    <hyperlink ref="A1237" r:id="rId169" tooltip="https://image.skechers.com/img/productimages/xlarge/149693_ROS_A.jpg" xr:uid="{00000000-0004-0000-0000-0000A8000000}"/>
    <hyperlink ref="A1238" r:id="rId170" tooltip="https://image.skechers.com/img/productimages/xlarge/149693_ROS_A.jpg" xr:uid="{00000000-0004-0000-0000-0000A9000000}"/>
    <hyperlink ref="A1239" r:id="rId171" tooltip="https://image.skechers.com/img/productimages/xlarge/149693_ROS_A.jpg" xr:uid="{00000000-0004-0000-0000-0000AA000000}"/>
    <hyperlink ref="A1240" r:id="rId172" tooltip="https://image.skechers.com/img/productimages/xlarge/149693_ROS_A.jpg" xr:uid="{00000000-0004-0000-0000-0000AB000000}"/>
    <hyperlink ref="A1241" r:id="rId173" tooltip="https://image.skechers.com/img/productimages/xlarge/149693_ROS_A.jpg" xr:uid="{00000000-0004-0000-0000-0000AC000000}"/>
    <hyperlink ref="A1242" r:id="rId174" tooltip="https://image.skechers.com/img/productimages/xlarge/149693_ROS_A.jpg" xr:uid="{00000000-0004-0000-0000-0000AD000000}"/>
    <hyperlink ref="A1244" r:id="rId175" tooltip="https://image.skechers.com/img/productimages/xlarge/149693_ROS_A.jpg" xr:uid="{00000000-0004-0000-0000-0000AE000000}"/>
    <hyperlink ref="A1245" r:id="rId176" tooltip="https://image.skechers.com/img/productimages/xlarge/149693_ROS_A.jpg" xr:uid="{00000000-0004-0000-0000-0000AF000000}"/>
    <hyperlink ref="A1249" r:id="rId177" tooltip="https://image.skechers.com/img/productimages/xlarge/149693_ROS_A.jpg" xr:uid="{00000000-0004-0000-0000-0000B0000000}"/>
    <hyperlink ref="A1250" r:id="rId178" tooltip="https://image.skechers.com/img/productimages/xlarge/149693_ROS_A.jpg" xr:uid="{00000000-0004-0000-0000-0000B1000000}"/>
    <hyperlink ref="A1252" r:id="rId179" tooltip="https://image.skechers.com/img/productimages/xlarge/149693_ROS_A.jpg" xr:uid="{00000000-0004-0000-0000-0000B2000000}"/>
    <hyperlink ref="A1253" r:id="rId180" tooltip="https://image.skechers.com/img/productimages/xlarge/149693_ROS_A.jpg" xr:uid="{00000000-0004-0000-0000-0000B3000000}"/>
    <hyperlink ref="A1254" r:id="rId181" tooltip="https://image.skechers.com/img/productimages/xlarge/149693_ROS_A.jpg" xr:uid="{00000000-0004-0000-0000-0000B4000000}"/>
    <hyperlink ref="A1255" r:id="rId182" tooltip="https://image.skechers.com/img/productimages/xlarge/149693_ROS_A.jpg" xr:uid="{00000000-0004-0000-0000-0000B5000000}"/>
    <hyperlink ref="A1256" r:id="rId183" tooltip="https://image.skechers.com/img/productimages/xlarge/149693_ROS_A.jpg" xr:uid="{00000000-0004-0000-0000-0000B6000000}"/>
    <hyperlink ref="A1257" r:id="rId184" tooltip="https://image.skechers.com/img/productimages/xlarge/149693_ROS_A.jpg" xr:uid="{00000000-0004-0000-0000-0000B7000000}"/>
    <hyperlink ref="A1258" r:id="rId185" tooltip="https://image.skechers.com/img/productimages/xlarge/149693_ROS_A.jpg" xr:uid="{00000000-0004-0000-0000-0000B8000000}"/>
    <hyperlink ref="A1259" r:id="rId186" tooltip="https://image.skechers.com/img/productimages/xlarge/149693_ROS_A.jpg" xr:uid="{00000000-0004-0000-0000-0000B9000000}"/>
    <hyperlink ref="A1266" r:id="rId187" tooltip="https://image.skechers.com/img/productimages/xlarge/149693_ROS_A.jpg" xr:uid="{00000000-0004-0000-0000-0000BA000000}"/>
    <hyperlink ref="A1267" r:id="rId188" tooltip="https://image.skechers.com/img/productimages/xlarge/149693_ROS_A.jpg" xr:uid="{00000000-0004-0000-0000-0000BB000000}"/>
    <hyperlink ref="A1268" r:id="rId189" tooltip="https://image.skechers.com/img/productimages/xlarge/149693_ROS_A.jpg" xr:uid="{00000000-0004-0000-0000-0000BC000000}"/>
    <hyperlink ref="A1269" r:id="rId190" tooltip="https://image.skechers.com/img/productimages/xlarge/149693_ROS_A.jpg" xr:uid="{00000000-0004-0000-0000-0000BD000000}"/>
    <hyperlink ref="A1270" r:id="rId191" tooltip="https://image.skechers.com/img/productimages/xlarge/149693_ROS_A.jpg" xr:uid="{00000000-0004-0000-0000-0000BE000000}"/>
    <hyperlink ref="A1271" r:id="rId192" tooltip="https://image.skechers.com/img/productimages/xlarge/149693_ROS_A.jpg" xr:uid="{00000000-0004-0000-0000-0000BF000000}"/>
    <hyperlink ref="A1272" r:id="rId193" tooltip="https://image.skechers.com/img/productimages/xlarge/149693_ROS_A.jpg" xr:uid="{00000000-0004-0000-0000-0000C0000000}"/>
    <hyperlink ref="A1273" r:id="rId194" tooltip="https://image.skechers.com/img/productimages/xlarge/149693_ROS_A.jpg" xr:uid="{00000000-0004-0000-0000-0000C1000000}"/>
    <hyperlink ref="A1274" r:id="rId195" tooltip="https://image.skechers.com/img/productimages/xlarge/149693_ROS_A.jpg" xr:uid="{00000000-0004-0000-0000-0000C2000000}"/>
    <hyperlink ref="A1275" r:id="rId196" tooltip="https://image.skechers.com/img/productimages/xlarge/149693_ROS_A.jpg" xr:uid="{00000000-0004-0000-0000-0000C3000000}"/>
    <hyperlink ref="A1276" r:id="rId197" tooltip="https://image.skechers.com/img/productimages/xlarge/149693_ROS_A.jpg" xr:uid="{00000000-0004-0000-0000-0000C4000000}"/>
    <hyperlink ref="A1277" r:id="rId198" tooltip="https://image.skechers.com/img/productimages/xlarge/149693_ROS_A.jpg" xr:uid="{00000000-0004-0000-0000-0000C5000000}"/>
    <hyperlink ref="A1278" r:id="rId199" tooltip="https://image.skechers.com/img/productimages/xlarge/149693_ROS_A.jpg" xr:uid="{00000000-0004-0000-0000-0000C6000000}"/>
    <hyperlink ref="A1279" r:id="rId200" tooltip="https://image.skechers.com/img/productimages/xlarge/149693_ROS_A.jpg" xr:uid="{00000000-0004-0000-0000-0000C7000000}"/>
    <hyperlink ref="A1280" r:id="rId201" tooltip="https://image.skechers.com/img/productimages/xlarge/149693_ROS_A.jpg" xr:uid="{00000000-0004-0000-0000-0000C8000000}"/>
    <hyperlink ref="A1281" r:id="rId202" tooltip="https://image.skechers.com/img/productimages/xlarge/149693_ROS_A.jpg" xr:uid="{00000000-0004-0000-0000-0000C9000000}"/>
    <hyperlink ref="A1282" r:id="rId203" tooltip="https://image.skechers.com/img/productimages/xlarge/149693_ROS_A.jpg" xr:uid="{00000000-0004-0000-0000-0000CA000000}"/>
    <hyperlink ref="A1292" r:id="rId204" tooltip="https://image.skechers.com/img/productimages/xlarge/149693_ROS_A.jpg" xr:uid="{00000000-0004-0000-0000-0000CB000000}"/>
    <hyperlink ref="A1293" r:id="rId205" tooltip="https://image.skechers.com/img/productimages/xlarge/149693_ROS_A.jpg" xr:uid="{00000000-0004-0000-0000-0000CC000000}"/>
    <hyperlink ref="A1294" r:id="rId206" tooltip="https://image.skechers.com/img/productimages/xlarge/149693_ROS_A.jpg" xr:uid="{00000000-0004-0000-0000-0000CD000000}"/>
    <hyperlink ref="A1295" r:id="rId207" tooltip="https://image.skechers.com/img/productimages/xlarge/149693_ROS_A.jpg" xr:uid="{00000000-0004-0000-0000-0000CE000000}"/>
    <hyperlink ref="A1296" r:id="rId208" tooltip="https://image.skechers.com/img/productimages/xlarge/149693_ROS_A.jpg" xr:uid="{00000000-0004-0000-0000-0000CF000000}"/>
    <hyperlink ref="A1297" r:id="rId209" tooltip="https://image.skechers.com/img/productimages/xlarge/149693_ROS_A.jpg" xr:uid="{00000000-0004-0000-0000-0000D0000000}"/>
    <hyperlink ref="A1298" r:id="rId210" tooltip="https://image.skechers.com/img/productimages/xlarge/149693_ROS_A.jpg" xr:uid="{00000000-0004-0000-0000-0000D1000000}"/>
    <hyperlink ref="A1299" r:id="rId211" tooltip="https://image.skechers.com/img/productimages/xlarge/149693_ROS_A.jpg" xr:uid="{00000000-0004-0000-0000-0000D2000000}"/>
    <hyperlink ref="A1300" r:id="rId212" tooltip="https://image.skechers.com/img/productimages/xlarge/149693_ROS_A.jpg" xr:uid="{00000000-0004-0000-0000-0000D3000000}"/>
    <hyperlink ref="A1301" r:id="rId213" tooltip="https://image.skechers.com/img/productimages/xlarge/149693_ROS_A.jpg" xr:uid="{00000000-0004-0000-0000-0000D4000000}"/>
    <hyperlink ref="A1302" r:id="rId214" tooltip="https://image.skechers.com/img/productimages/xlarge/149693_ROS_A.jpg" xr:uid="{00000000-0004-0000-0000-0000D5000000}"/>
    <hyperlink ref="A1303" r:id="rId215" tooltip="https://image.skechers.com/img/productimages/xlarge/149693_ROS_A.jpg" xr:uid="{00000000-0004-0000-0000-0000D6000000}"/>
    <hyperlink ref="A1304" r:id="rId216" tooltip="https://image.skechers.com/img/productimages/xlarge/149693_ROS_A.jpg" xr:uid="{00000000-0004-0000-0000-0000D7000000}"/>
    <hyperlink ref="A1308" r:id="rId217" tooltip="https://image.skechers.com/img/productimages/xlarge/149693_ROS_A.jpg" xr:uid="{00000000-0004-0000-0000-0000D8000000}"/>
    <hyperlink ref="A1309" r:id="rId218" tooltip="https://image.skechers.com/img/productimages/xlarge/149693_ROS_A.jpg" xr:uid="{00000000-0004-0000-0000-0000D9000000}"/>
    <hyperlink ref="A1310" r:id="rId219" tooltip="https://image.skechers.com/img/productimages/xlarge/149693_ROS_A.jpg" xr:uid="{00000000-0004-0000-0000-0000DA000000}"/>
    <hyperlink ref="A1311" r:id="rId220" tooltip="https://image.skechers.com/img/productimages/xlarge/149693_ROS_A.jpg" xr:uid="{00000000-0004-0000-0000-0000DB000000}"/>
    <hyperlink ref="A1312" r:id="rId221" tooltip="https://image.skechers.com/img/productimages/xlarge/149693_ROS_A.jpg" xr:uid="{00000000-0004-0000-0000-0000DC000000}"/>
    <hyperlink ref="A1313" r:id="rId222" tooltip="https://image.skechers.com/img/productimages/xlarge/149693_ROS_A.jpg" xr:uid="{00000000-0004-0000-0000-0000DD000000}"/>
    <hyperlink ref="A1314" r:id="rId223" tooltip="https://image.skechers.com/img/productimages/xlarge/149693_ROS_A.jpg" xr:uid="{00000000-0004-0000-0000-0000DE000000}"/>
    <hyperlink ref="A1315" r:id="rId224" tooltip="https://image.skechers.com/img/productimages/xlarge/149693_ROS_A.jpg" xr:uid="{00000000-0004-0000-0000-0000DF000000}"/>
    <hyperlink ref="A1316" r:id="rId225" tooltip="https://image.skechers.com/img/productimages/xlarge/149693_ROS_A.jpg" xr:uid="{00000000-0004-0000-0000-0000E0000000}"/>
    <hyperlink ref="A1317" r:id="rId226" tooltip="https://image.skechers.com/img/productimages/xlarge/149693_ROS_A.jpg" xr:uid="{00000000-0004-0000-0000-0000E1000000}"/>
    <hyperlink ref="A1318" r:id="rId227" tooltip="https://image.skechers.com/img/productimages/xlarge/149693_ROS_A.jpg" xr:uid="{00000000-0004-0000-0000-0000E2000000}"/>
    <hyperlink ref="A1319" r:id="rId228" tooltip="https://image.skechers.com/img/productimages/xlarge/149693_ROS_A.jpg" xr:uid="{00000000-0004-0000-0000-0000E3000000}"/>
    <hyperlink ref="A1320" r:id="rId229" tooltip="https://image.skechers.com/img/productimages/xlarge/149693_ROS_A.jpg" xr:uid="{00000000-0004-0000-0000-0000E4000000}"/>
    <hyperlink ref="A1321" r:id="rId230" tooltip="https://image.skechers.com/img/productimages/xlarge/149693_ROS_A.jpg" xr:uid="{00000000-0004-0000-0000-0000E5000000}"/>
    <hyperlink ref="A1322" r:id="rId231" tooltip="https://image.skechers.com/img/productimages/xlarge/149693_ROS_A.jpg" xr:uid="{00000000-0004-0000-0000-0000E6000000}"/>
    <hyperlink ref="A1323" r:id="rId232" tooltip="https://image.skechers.com/img/productimages/xlarge/149693_ROS_A.jpg" xr:uid="{00000000-0004-0000-0000-0000E7000000}"/>
    <hyperlink ref="A1324" r:id="rId233" tooltip="https://image.skechers.com/img/productimages/xlarge/149693_ROS_A.jpg" xr:uid="{00000000-0004-0000-0000-0000E8000000}"/>
    <hyperlink ref="A1325" r:id="rId234" tooltip="https://image.skechers.com/img/productimages/xlarge/149693_ROS_A.jpg" xr:uid="{00000000-0004-0000-0000-0000E9000000}"/>
    <hyperlink ref="A1326" r:id="rId235" tooltip="https://image.skechers.com/img/productimages/xlarge/149693_ROS_A.jpg" xr:uid="{00000000-0004-0000-0000-0000EA000000}"/>
    <hyperlink ref="A1327" r:id="rId236" tooltip="https://image.skechers.com/img/productimages/xlarge/149693_ROS_A.jpg" xr:uid="{00000000-0004-0000-0000-0000EB000000}"/>
    <hyperlink ref="A1328" r:id="rId237" tooltip="https://image.skechers.com/img/productimages/xlarge/149693_ROS_A.jpg" xr:uid="{00000000-0004-0000-0000-0000EC000000}"/>
    <hyperlink ref="A1329" r:id="rId238" tooltip="https://image.skechers.com/img/productimages/xlarge/149693_ROS_A.jpg" xr:uid="{00000000-0004-0000-0000-0000ED000000}"/>
    <hyperlink ref="A1330" r:id="rId239" tooltip="https://image.skechers.com/img/productimages/xlarge/149693_ROS_A.jpg" xr:uid="{00000000-0004-0000-0000-0000EE000000}"/>
    <hyperlink ref="A1331" r:id="rId240" tooltip="https://image.skechers.com/img/productimages/xlarge/149693_ROS_A.jpg" xr:uid="{00000000-0004-0000-0000-0000EF000000}"/>
    <hyperlink ref="A1332" r:id="rId241" tooltip="https://image.skechers.com/img/productimages/xlarge/149693_ROS_A.jpg" xr:uid="{00000000-0004-0000-0000-0000F0000000}"/>
    <hyperlink ref="A1333" r:id="rId242" tooltip="https://image.skechers.com/img/productimages/xlarge/149693_ROS_A.jpg" xr:uid="{00000000-0004-0000-0000-0000F1000000}"/>
    <hyperlink ref="A1334" r:id="rId243" tooltip="https://image.skechers.com/img/productimages/xlarge/149693_ROS_A.jpg" xr:uid="{00000000-0004-0000-0000-0000F2000000}"/>
    <hyperlink ref="A1335" r:id="rId244" tooltip="https://image.skechers.com/img/productimages/xlarge/149693_ROS_A.jpg" xr:uid="{00000000-0004-0000-0000-0000F3000000}"/>
    <hyperlink ref="A1339" r:id="rId245" tooltip="https://image.skechers.com/img/productimages/xlarge/149693_ROS_A.jpg" xr:uid="{00000000-0004-0000-0000-0000F4000000}"/>
    <hyperlink ref="A1340" r:id="rId246" tooltip="https://image.skechers.com/img/productimages/xlarge/149693_ROS_A.jpg" xr:uid="{00000000-0004-0000-0000-0000F5000000}"/>
    <hyperlink ref="A1341" r:id="rId247" tooltip="https://image.skechers.com/img/productimages/xlarge/149693_ROS_A.jpg" xr:uid="{00000000-0004-0000-0000-0000F6000000}"/>
    <hyperlink ref="A1342" r:id="rId248" tooltip="https://image.skechers.com/img/productimages/xlarge/149693_ROS_A.jpg" xr:uid="{00000000-0004-0000-0000-0000F7000000}"/>
    <hyperlink ref="A1343" r:id="rId249" tooltip="https://image.skechers.com/img/productimages/xlarge/149693_ROS_A.jpg" xr:uid="{00000000-0004-0000-0000-0000F8000000}"/>
    <hyperlink ref="A1344" r:id="rId250" tooltip="https://image.skechers.com/img/productimages/xlarge/149693_ROS_A.jpg" xr:uid="{00000000-0004-0000-0000-0000F9000000}"/>
    <hyperlink ref="A1345" r:id="rId251" tooltip="https://image.skechers.com/img/productimages/xlarge/149693_ROS_A.jpg" xr:uid="{00000000-0004-0000-0000-0000FA000000}"/>
    <hyperlink ref="A1350" r:id="rId252" tooltip="https://image.skechers.com/img/productimages/xlarge/149693_ROS_A.jpg" xr:uid="{00000000-0004-0000-0000-0000FB000000}"/>
    <hyperlink ref="A1353" r:id="rId253" tooltip="https://image.skechers.com/img/productimages/xlarge/149693_ROS_A.jpg" xr:uid="{00000000-0004-0000-0000-0000FC000000}"/>
    <hyperlink ref="A1354" r:id="rId254" tooltip="https://image.skechers.com/img/productimages/xlarge/149693_ROS_A.jpg" xr:uid="{00000000-0004-0000-0000-0000FD000000}"/>
    <hyperlink ref="A1355" r:id="rId255" tooltip="https://image.skechers.com/img/productimages/xlarge/149693_ROS_A.jpg" xr:uid="{00000000-0004-0000-0000-0000FE000000}"/>
    <hyperlink ref="A1356" r:id="rId256" tooltip="https://image.skechers.com/img/productimages/xlarge/149693_ROS_A.jpg" xr:uid="{00000000-0004-0000-0000-0000FF000000}"/>
    <hyperlink ref="A1357" r:id="rId257" tooltip="https://image.skechers.com/img/productimages/xlarge/149693_ROS_A.jpg" xr:uid="{00000000-0004-0000-0000-000000010000}"/>
    <hyperlink ref="A1362" r:id="rId258" tooltip="https://image.skechers.com/img/productimages/xlarge/149693_ROS_A.jpg" xr:uid="{00000000-0004-0000-0000-000001010000}"/>
    <hyperlink ref="A1363" r:id="rId259" tooltip="https://image.skechers.com/img/productimages/xlarge/149693_ROS_A.jpg" xr:uid="{00000000-0004-0000-0000-000002010000}"/>
    <hyperlink ref="A1367" r:id="rId260" tooltip="https://image.skechers.com/img/productimages/xlarge/149693_ROS_A.jpg" xr:uid="{00000000-0004-0000-0000-000003010000}"/>
    <hyperlink ref="A1368" r:id="rId261" tooltip="https://image.skechers.com/img/productimages/xlarge/149693_ROS_A.jpg" xr:uid="{00000000-0004-0000-0000-000004010000}"/>
    <hyperlink ref="A1369" r:id="rId262" tooltip="https://image.skechers.com/img/productimages/xlarge/149693_ROS_A.jpg" xr:uid="{00000000-0004-0000-0000-000005010000}"/>
    <hyperlink ref="A1370" r:id="rId263" tooltip="https://image.skechers.com/img/productimages/xlarge/149693_ROS_A.jpg" xr:uid="{00000000-0004-0000-0000-000006010000}"/>
    <hyperlink ref="A1371" r:id="rId264" tooltip="https://image.skechers.com/img/productimages/xlarge/149693_ROS_A.jpg" xr:uid="{00000000-0004-0000-0000-000007010000}"/>
    <hyperlink ref="A1372" r:id="rId265" tooltip="https://image.skechers.com/img/productimages/xlarge/149693_ROS_A.jpg" xr:uid="{00000000-0004-0000-0000-000008010000}"/>
    <hyperlink ref="A1373" r:id="rId266" tooltip="https://image.skechers.com/img/productimages/xlarge/149693_ROS_A.jpg" xr:uid="{00000000-0004-0000-0000-000009010000}"/>
    <hyperlink ref="A1374" r:id="rId267" tooltip="https://image.skechers.com/img/productimages/xlarge/149693_ROS_A.jpg" xr:uid="{00000000-0004-0000-0000-00000A010000}"/>
    <hyperlink ref="A1375" r:id="rId268" tooltip="https://image.skechers.com/img/productimages/xlarge/149693_ROS_A.jpg" xr:uid="{00000000-0004-0000-0000-00000B010000}"/>
    <hyperlink ref="A1376" r:id="rId269" tooltip="https://image.skechers.com/img/productimages/xlarge/149693_ROS_A.jpg" xr:uid="{00000000-0004-0000-0000-00000C010000}"/>
    <hyperlink ref="A1377" r:id="rId270" tooltip="https://image.skechers.com/img/productimages/xlarge/149693_ROS_A.jpg" xr:uid="{00000000-0004-0000-0000-00000D010000}"/>
    <hyperlink ref="A1378" r:id="rId271" tooltip="https://image.skechers.com/img/productimages/xlarge/149693_ROS_A.jpg" xr:uid="{00000000-0004-0000-0000-00000E010000}"/>
    <hyperlink ref="A1381" r:id="rId272" tooltip="https://image.skechers.com/img/productimages/xlarge/149693_ROS_A.jpg" xr:uid="{00000000-0004-0000-0000-00000F010000}"/>
    <hyperlink ref="A1382" r:id="rId273" tooltip="https://image.skechers.com/img/productimages/xlarge/149693_ROS_A.jpg" xr:uid="{00000000-0004-0000-0000-000010010000}"/>
    <hyperlink ref="A1383" r:id="rId274" tooltip="https://image.skechers.com/img/productimages/xlarge/149693_ROS_A.jpg" xr:uid="{00000000-0004-0000-0000-000011010000}"/>
    <hyperlink ref="A1384" r:id="rId275" tooltip="https://image.skechers.com/img/productimages/xlarge/149693_ROS_A.jpg" xr:uid="{00000000-0004-0000-0000-000012010000}"/>
    <hyperlink ref="A1385" r:id="rId276" tooltip="https://image.skechers.com/img/productimages/xlarge/149693_ROS_A.jpg" xr:uid="{00000000-0004-0000-0000-000013010000}"/>
    <hyperlink ref="A1394" r:id="rId277" tooltip="https://image.skechers.com/img/productimages/xlarge/149693_ROS_A.jpg" xr:uid="{00000000-0004-0000-0000-000014010000}"/>
    <hyperlink ref="A1395" r:id="rId278" tooltip="https://image.skechers.com/img/productimages/xlarge/149693_ROS_A.jpg" xr:uid="{00000000-0004-0000-0000-000015010000}"/>
    <hyperlink ref="A1396" r:id="rId279" tooltip="https://image.skechers.com/img/productimages/xlarge/149693_ROS_A.jpg" xr:uid="{00000000-0004-0000-0000-000016010000}"/>
    <hyperlink ref="A1397" r:id="rId280" tooltip="https://image.skechers.com/img/productimages/xlarge/149693_ROS_A.jpg" xr:uid="{00000000-0004-0000-0000-000017010000}"/>
    <hyperlink ref="A1398" r:id="rId281" tooltip="https://image.skechers.com/img/productimages/xlarge/149693_ROS_A.jpg" xr:uid="{00000000-0004-0000-0000-000018010000}"/>
    <hyperlink ref="A1399" r:id="rId282" tooltip="https://image.skechers.com/img/productimages/xlarge/149693_ROS_A.jpg" xr:uid="{00000000-0004-0000-0000-000019010000}"/>
    <hyperlink ref="A1400" r:id="rId283" tooltip="https://image.skechers.com/img/productimages/xlarge/149693_ROS_A.jpg" xr:uid="{00000000-0004-0000-0000-00001A010000}"/>
    <hyperlink ref="A1401" r:id="rId284" tooltip="https://image.skechers.com/img/productimages/xlarge/149693_ROS_A.jpg" xr:uid="{00000000-0004-0000-0000-00001B010000}"/>
    <hyperlink ref="A1402" r:id="rId285" tooltip="https://image.skechers.com/img/productimages/xlarge/149693_ROS_A.jpg" xr:uid="{00000000-0004-0000-0000-00001C010000}"/>
    <hyperlink ref="A1403" r:id="rId286" tooltip="https://image.skechers.com/img/productimages/xlarge/149693_ROS_A.jpg" xr:uid="{00000000-0004-0000-0000-00001D010000}"/>
    <hyperlink ref="A1404" r:id="rId287" tooltip="https://image.skechers.com/img/productimages/xlarge/149693_ROS_A.jpg" xr:uid="{00000000-0004-0000-0000-00001E010000}"/>
    <hyperlink ref="A1405" r:id="rId288" tooltip="https://image.skechers.com/img/productimages/xlarge/149693_ROS_A.jpg" xr:uid="{00000000-0004-0000-0000-00001F010000}"/>
    <hyperlink ref="A1406" r:id="rId289" tooltip="https://image.skechers.com/img/productimages/xlarge/149693_ROS_A.jpg" xr:uid="{00000000-0004-0000-0000-000020010000}"/>
    <hyperlink ref="A1174" r:id="rId290" tooltip="https://image.skechers.com/img/productimages/xlarge/149693_ROS_A.jpg" xr:uid="{00000000-0004-0000-0000-000021010000}"/>
    <hyperlink ref="A1175" r:id="rId291" tooltip="https://image.skechers.com/img/productimages/xlarge/149693_ROS_A.jpg" xr:uid="{00000000-0004-0000-0000-000022010000}"/>
    <hyperlink ref="A1201" r:id="rId292" tooltip="https://image.skechers.com/img/productimages/xlarge/149693_ROS_A.jpg" xr:uid="{00000000-0004-0000-0000-000023010000}"/>
    <hyperlink ref="A1202" r:id="rId293" tooltip="https://image.skechers.com/img/productimages/xlarge/149693_ROS_A.jpg" xr:uid="{00000000-0004-0000-0000-000024010000}"/>
    <hyperlink ref="A1203" r:id="rId294" tooltip="https://image.skechers.com/img/productimages/xlarge/149693_ROS_A.jpg" xr:uid="{00000000-0004-0000-0000-000025010000}"/>
    <hyperlink ref="A1217" r:id="rId295" tooltip="https://image.skechers.com/img/productimages/xlarge/149693_ROS_A.jpg" xr:uid="{00000000-0004-0000-0000-000026010000}"/>
    <hyperlink ref="A1221" r:id="rId296" tooltip="https://image.skechers.com/img/productimages/xlarge/149693_ROS_A.jpg" xr:uid="{00000000-0004-0000-0000-000027010000}"/>
    <hyperlink ref="A1222" r:id="rId297" tooltip="https://image.skechers.com/img/productimages/xlarge/149693_ROS_A.jpg" xr:uid="{00000000-0004-0000-0000-000028010000}"/>
    <hyperlink ref="A1225" r:id="rId298" tooltip="https://image.skechers.com/img/productimages/xlarge/149693_ROS_A.jpg" xr:uid="{00000000-0004-0000-0000-000029010000}"/>
    <hyperlink ref="A1226" r:id="rId299" tooltip="https://image.skechers.com/img/productimages/xlarge/149693_ROS_A.jpg" xr:uid="{00000000-0004-0000-0000-00002A010000}"/>
    <hyperlink ref="A1233" r:id="rId300" tooltip="https://image.skechers.com/img/productimages/xlarge/149693_ROS_A.jpg" xr:uid="{00000000-0004-0000-0000-00002B010000}"/>
    <hyperlink ref="A1234" r:id="rId301" tooltip="https://image.skechers.com/img/productimages/xlarge/149693_ROS_A.jpg" xr:uid="{00000000-0004-0000-0000-00002C010000}"/>
    <hyperlink ref="A1243" r:id="rId302" tooltip="https://image.skechers.com/img/productimages/xlarge/149693_ROS_A.jpg" xr:uid="{00000000-0004-0000-0000-00002D010000}"/>
    <hyperlink ref="A1246" r:id="rId303" tooltip="https://image.skechers.com/img/productimages/xlarge/149693_ROS_A.jpg" xr:uid="{00000000-0004-0000-0000-00002E010000}"/>
    <hyperlink ref="A1247" r:id="rId304" tooltip="https://image.skechers.com/img/productimages/xlarge/149693_ROS_A.jpg" xr:uid="{00000000-0004-0000-0000-00002F010000}"/>
    <hyperlink ref="A1248" r:id="rId305" tooltip="https://image.skechers.com/img/productimages/xlarge/149693_ROS_A.jpg" xr:uid="{00000000-0004-0000-0000-000030010000}"/>
    <hyperlink ref="A1251" r:id="rId306" tooltip="https://image.skechers.com/img/productimages/xlarge/149693_ROS_A.jpg" xr:uid="{00000000-0004-0000-0000-000031010000}"/>
    <hyperlink ref="A1260" r:id="rId307" tooltip="https://image.skechers.com/img/productimages/xlarge/149693_ROS_A.jpg" xr:uid="{00000000-0004-0000-0000-000032010000}"/>
    <hyperlink ref="A1261" r:id="rId308" tooltip="https://image.skechers.com/img/productimages/xlarge/149693_ROS_A.jpg" xr:uid="{00000000-0004-0000-0000-000033010000}"/>
    <hyperlink ref="A1262" r:id="rId309" tooltip="https://image.skechers.com/img/productimages/xlarge/403659L_BLK_A.jpg" xr:uid="{00000000-0004-0000-0000-000034010000}"/>
    <hyperlink ref="A1263" r:id="rId310" tooltip="https://image.skechers.com/img/productimages/xlarge/149693_ROS_A.jpg" xr:uid="{00000000-0004-0000-0000-000035010000}"/>
    <hyperlink ref="A1264" r:id="rId311" tooltip="https://image.skechers.com/img/productimages/xlarge/149693_ROS_A.jpg" xr:uid="{00000000-0004-0000-0000-000036010000}"/>
    <hyperlink ref="A1265" r:id="rId312" tooltip="https://image.skechers.com/img/productimages/xlarge/149693_ROS_A.jpg" xr:uid="{00000000-0004-0000-0000-000037010000}"/>
    <hyperlink ref="A1283" r:id="rId313" tooltip="https://image.skechers.com/img/productimages/xlarge/149693_ROS_A.jpg" xr:uid="{00000000-0004-0000-0000-000038010000}"/>
    <hyperlink ref="A1284" r:id="rId314" tooltip="https://image.skechers.com/img/productimages/xlarge/149693_ROS_A.jpg" xr:uid="{00000000-0004-0000-0000-000039010000}"/>
    <hyperlink ref="A1285" r:id="rId315" tooltip="https://image.skechers.com/img/productimages/xlarge/149693_ROS_A.jpg" xr:uid="{00000000-0004-0000-0000-00003A010000}"/>
    <hyperlink ref="A1286" r:id="rId316" tooltip="https://image.skechers.com/img/productimages/xlarge/149693_ROS_A.jpg" xr:uid="{00000000-0004-0000-0000-00003B010000}"/>
    <hyperlink ref="A1287" r:id="rId317" tooltip="https://image.skechers.com/img/productimages/xlarge/149693_ROS_A.jpg" xr:uid="{00000000-0004-0000-0000-00003C010000}"/>
    <hyperlink ref="A1288" r:id="rId318" tooltip="https://image.skechers.com/img/productimages/xlarge/149693_ROS_A.jpg" xr:uid="{00000000-0004-0000-0000-00003D010000}"/>
    <hyperlink ref="A1289" r:id="rId319" tooltip="https://image.skechers.com/img/productimages/xlarge/149693_ROS_A.jpg" xr:uid="{00000000-0004-0000-0000-00003E010000}"/>
    <hyperlink ref="A1290" r:id="rId320" tooltip="https://image.skechers.com/img/productimages/xlarge/149693_ROS_A.jpg" xr:uid="{00000000-0004-0000-0000-00003F010000}"/>
    <hyperlink ref="A1291" r:id="rId321" tooltip="https://image.skechers.com/img/productimages/xlarge/149693_ROS_A.jpg" xr:uid="{00000000-0004-0000-0000-000040010000}"/>
    <hyperlink ref="A1305" r:id="rId322" tooltip="https://image.skechers.com/img/productimages/xlarge/149693_ROS_A.jpg" xr:uid="{00000000-0004-0000-0000-000041010000}"/>
    <hyperlink ref="A1306" r:id="rId323" tooltip="https://image.skechers.com/img/productimages/xlarge/149693_ROS_A.jpg" xr:uid="{00000000-0004-0000-0000-000042010000}"/>
    <hyperlink ref="A1307" r:id="rId324" tooltip="https://image.skechers.com/img/productimages/xlarge/149693_ROS_A.jpg" xr:uid="{00000000-0004-0000-0000-000043010000}"/>
    <hyperlink ref="A1336" r:id="rId325" tooltip="https://image.skechers.com/img/productimages/xlarge/149693_ROS_A.jpg" xr:uid="{00000000-0004-0000-0000-000044010000}"/>
    <hyperlink ref="A1337" r:id="rId326" tooltip="https://image.skechers.com/img/productimages/xlarge/149693_ROS_A.jpg" xr:uid="{00000000-0004-0000-0000-000045010000}"/>
    <hyperlink ref="A1338" r:id="rId327" tooltip="https://image.skechers.com/img/productimages/xlarge/149693_ROS_A.jpg" xr:uid="{00000000-0004-0000-0000-000046010000}"/>
    <hyperlink ref="A1346" r:id="rId328" tooltip="https://image.skechers.com/img/productimages/xlarge/149693_ROS_A.jpg" xr:uid="{00000000-0004-0000-0000-000047010000}"/>
    <hyperlink ref="A1347" r:id="rId329" tooltip="https://image.skechers.com/img/productimages/xlarge/149693_ROS_A.jpg" xr:uid="{00000000-0004-0000-0000-000048010000}"/>
    <hyperlink ref="A1348" r:id="rId330" tooltip="https://image.skechers.com/img/productimages/xlarge/149693_ROS_A.jpg" xr:uid="{00000000-0004-0000-0000-000049010000}"/>
    <hyperlink ref="A1349" r:id="rId331" tooltip="https://image.skechers.com/img/productimages/xlarge/149693_ROS_A.jpg" xr:uid="{00000000-0004-0000-0000-00004A010000}"/>
    <hyperlink ref="A1351" r:id="rId332" tooltip="https://image.skechers.com/img/productimages/xlarge/149693_ROS_A.jpg" xr:uid="{00000000-0004-0000-0000-00004B010000}"/>
    <hyperlink ref="A1352" r:id="rId333" tooltip="https://image.skechers.com/img/productimages/xlarge/149693_ROS_A.jpg" xr:uid="{00000000-0004-0000-0000-00004C010000}"/>
    <hyperlink ref="A1358" r:id="rId334" tooltip="https://image.skechers.com/img/productimages/xlarge/149693_ROS_A.jpg" xr:uid="{00000000-0004-0000-0000-00004D010000}"/>
    <hyperlink ref="A1359" r:id="rId335" tooltip="https://image.skechers.com/img/productimages/xlarge/149693_ROS_A.jpg" xr:uid="{00000000-0004-0000-0000-00004E010000}"/>
    <hyperlink ref="A1360" r:id="rId336" tooltip="https://image.skechers.com/img/productimages/xlarge/149693_ROS_A.jpg" xr:uid="{00000000-0004-0000-0000-00004F010000}"/>
    <hyperlink ref="A1361" r:id="rId337" tooltip="https://image.skechers.com/img/productimages/xlarge/149693_ROS_A.jpg" xr:uid="{00000000-0004-0000-0000-000050010000}"/>
    <hyperlink ref="A1364" r:id="rId338" tooltip="https://image.skechers.com/img/productimages/xlarge/149693_ROS_A.jpg" xr:uid="{00000000-0004-0000-0000-000051010000}"/>
    <hyperlink ref="A1365" r:id="rId339" tooltip="https://image.skechers.com/img/productimages/xlarge/149693_ROS_A.jpg" xr:uid="{00000000-0004-0000-0000-000052010000}"/>
    <hyperlink ref="A1366" r:id="rId340" tooltip="https://image.skechers.com/img/productimages/xlarge/149693_ROS_A.jpg" xr:uid="{00000000-0004-0000-0000-000053010000}"/>
    <hyperlink ref="A1379" r:id="rId341" tooltip="https://image.skechers.com/img/productimages/xlarge/149693_ROS_A.jpg" xr:uid="{00000000-0004-0000-0000-000054010000}"/>
    <hyperlink ref="A1380" r:id="rId342" tooltip="https://image.skechers.com/img/productimages/xlarge/149693_ROS_A.jpg" xr:uid="{00000000-0004-0000-0000-000055010000}"/>
    <hyperlink ref="A1386" r:id="rId343" tooltip="https://image.skechers.com/img/productimages/xlarge/149693_ROS_A.jpg" xr:uid="{00000000-0004-0000-0000-000056010000}"/>
    <hyperlink ref="A1387" r:id="rId344" tooltip="https://image.skechers.com/img/productimages/xlarge/149693_ROS_A.jpg" xr:uid="{00000000-0004-0000-0000-000057010000}"/>
    <hyperlink ref="A1388" r:id="rId345" tooltip="https://image.skechers.com/img/productimages/xlarge/149693_ROS_A.jpg" xr:uid="{00000000-0004-0000-0000-000058010000}"/>
    <hyperlink ref="A1389" r:id="rId346" tooltip="https://image.skechers.com/img/productimages/xlarge/149693_ROS_A.jpg" xr:uid="{00000000-0004-0000-0000-000059010000}"/>
    <hyperlink ref="A1390" r:id="rId347" tooltip="https://image.skechers.com/img/productimages/xlarge/149693_ROS_A.jpg" xr:uid="{00000000-0004-0000-0000-00005A010000}"/>
    <hyperlink ref="A1391" r:id="rId348" tooltip="https://image.skechers.com/img/productimages/xlarge/149693_ROS_A.jpg" xr:uid="{00000000-0004-0000-0000-00005B010000}"/>
    <hyperlink ref="A1392" r:id="rId349" tooltip="https://image.skechers.com/img/productimages/xlarge/149693_ROS_A.jpg" xr:uid="{00000000-0004-0000-0000-00005C010000}"/>
    <hyperlink ref="A1393" r:id="rId350" tooltip="https://image.skechers.com/img/productimages/xlarge/149693_ROS_A.jpg" xr:uid="{00000000-0004-0000-0000-00005D010000}"/>
    <hyperlink ref="A1407" r:id="rId351" tooltip="https://image.skechers.com/img/productimages/xlarge/52458_LTGY_A.jpg" xr:uid="{00000000-0004-0000-0000-00005E010000}"/>
    <hyperlink ref="A1408" r:id="rId352" tooltip="https://image.skechers.com/img/productimages/xlarge/52458_NVY_A.jpg" xr:uid="{00000000-0004-0000-0000-00005F010000}"/>
    <hyperlink ref="A1409" r:id="rId353" tooltip="https://image.skechers.com/img/productimages/xlarge/52458_OLV_A.jpg" xr:uid="{00000000-0004-0000-0000-000060010000}"/>
    <hyperlink ref="A1410" r:id="rId354" tooltip="https://image.skechers.com/img/productimages/xlarge/52458_TAN_A.jpg" xr:uid="{00000000-0004-0000-0000-000061010000}"/>
    <hyperlink ref="A1411" r:id="rId355" tooltip="https://image.skechers.com/img/productimages/xlarge/52458_W_A.jpg" xr:uid="{00000000-0004-0000-0000-000062010000}"/>
    <hyperlink ref="A1412" r:id="rId356" tooltip="https://image.skechers.com/img/productimages/xlarge/52458W_BBK_A.jpg" xr:uid="{00000000-0004-0000-0000-000063010000}"/>
    <hyperlink ref="A1413" r:id="rId357" tooltip="https://image.skechers.com/img/productimages/xlarge/149693_ROS_A.jpg" xr:uid="{00000000-0004-0000-0000-000064010000}"/>
    <hyperlink ref="A1414" r:id="rId358" tooltip="https://image.skechers.com/img/productimages/xlarge/52458_WHT_A.jpg" xr:uid="{00000000-0004-0000-0000-000065010000}"/>
    <hyperlink ref="A1415" r:id="rId359" tooltip="https://image.skechers.com/img/productimages/xlarge/149693_ROS_A.jpg" xr:uid="{00000000-0004-0000-0000-000066010000}"/>
    <hyperlink ref="A1416" r:id="rId360" tooltip="https://image.skechers.com/img/productimages/xlarge/149693_ROS_A.jpg" xr:uid="{00000000-0004-0000-0000-000067010000}"/>
    <hyperlink ref="A1417" r:id="rId361" tooltip="https://image.skechers.com/img/productimages/xlarge/149693_ROS_A.jpg" xr:uid="{00000000-0004-0000-0000-000068010000}"/>
    <hyperlink ref="A1418" r:id="rId362" tooltip="https://image.skechers.com/img/productimages/xlarge/149693_ROS_A.jpg" xr:uid="{00000000-0004-0000-0000-000069010000}"/>
    <hyperlink ref="A1419" r:id="rId363" tooltip="https://image.skechers.com/img/productimages/xlarge/149693_ROS_A.jpg" xr:uid="{00000000-0004-0000-0000-00006A010000}"/>
    <hyperlink ref="A1420" r:id="rId364" tooltip="https://image.skechers.com/img/productimages/xlarge/149693_ROS_A.jpg" xr:uid="{00000000-0004-0000-0000-00006B010000}"/>
    <hyperlink ref="A1421" r:id="rId365" tooltip="https://image.skechers.com/img/productimages/xlarge/149693_ROS_A.jpg" xr:uid="{00000000-0004-0000-0000-00006C010000}"/>
    <hyperlink ref="A1422" r:id="rId366" tooltip="https://image.skechers.com/img/productimages/xlarge/149693_ROS_A.jpg" xr:uid="{00000000-0004-0000-0000-00006D010000}"/>
    <hyperlink ref="A1423" r:id="rId367" tooltip="https://image.skechers.com/img/productimages/xlarge/149693_ROS_A.jpg" xr:uid="{00000000-0004-0000-0000-00006E010000}"/>
    <hyperlink ref="A1424" r:id="rId368" tooltip="https://image.skechers.com/img/productimages/xlarge/149693_ROS_A.jpg" xr:uid="{00000000-0004-0000-0000-00006F010000}"/>
    <hyperlink ref="A1425" r:id="rId369" tooltip="https://image.skechers.com/img/productimages/xlarge/149693_ROS_A.jpg" xr:uid="{00000000-0004-0000-0000-000070010000}"/>
    <hyperlink ref="A1426" r:id="rId370" tooltip="https://image.skechers.com/img/productimages/xlarge/149693_ROS_A.jpg" xr:uid="{00000000-0004-0000-0000-000071010000}"/>
    <hyperlink ref="A1427" r:id="rId371" tooltip="https://image.skechers.com/img/productimages/xlarge/149693_ROS_A.jpg" xr:uid="{00000000-0004-0000-0000-000072010000}"/>
    <hyperlink ref="A1428" r:id="rId372" tooltip="https://image.skechers.com/img/productimages/xlarge/149693_ROS_A.jpg" xr:uid="{00000000-0004-0000-0000-000073010000}"/>
    <hyperlink ref="A1429" r:id="rId373" tooltip="https://image.skechers.com/img/productimages/xlarge/149693_ROS_A.jpg" xr:uid="{00000000-0004-0000-0000-000074010000}"/>
    <hyperlink ref="A2" r:id="rId374" xr:uid="{00000000-0004-0000-0000-000075010000}"/>
    <hyperlink ref="A18" r:id="rId375" xr:uid="{00000000-0004-0000-0000-000076010000}"/>
    <hyperlink ref="A9" r:id="rId376" xr:uid="{00000000-0004-0000-0000-000077010000}"/>
    <hyperlink ref="A74" r:id="rId377" xr:uid="{00000000-0004-0000-0000-000078010000}"/>
    <hyperlink ref="A75" r:id="rId378" xr:uid="{00000000-0004-0000-0000-000079010000}"/>
    <hyperlink ref="A76" r:id="rId379" xr:uid="{00000000-0004-0000-0000-00007A010000}"/>
    <hyperlink ref="A77" r:id="rId380" xr:uid="{00000000-0004-0000-0000-00007B010000}"/>
    <hyperlink ref="A78" r:id="rId381" xr:uid="{00000000-0004-0000-0000-00007C010000}"/>
    <hyperlink ref="A79" r:id="rId382" xr:uid="{00000000-0004-0000-0000-00007D010000}"/>
    <hyperlink ref="A80" r:id="rId383" xr:uid="{00000000-0004-0000-0000-00007E010000}"/>
    <hyperlink ref="A81" r:id="rId384" xr:uid="{00000000-0004-0000-0000-00007F010000}"/>
    <hyperlink ref="A82" r:id="rId385" xr:uid="{00000000-0004-0000-0000-000080010000}"/>
    <hyperlink ref="A83" r:id="rId386" xr:uid="{00000000-0004-0000-0000-000081010000}"/>
    <hyperlink ref="A84" r:id="rId387" xr:uid="{00000000-0004-0000-0000-000082010000}"/>
    <hyperlink ref="A85" r:id="rId388" xr:uid="{00000000-0004-0000-0000-000083010000}"/>
    <hyperlink ref="A86" r:id="rId389" xr:uid="{00000000-0004-0000-0000-000084010000}"/>
    <hyperlink ref="A87" r:id="rId390" xr:uid="{00000000-0004-0000-0000-000085010000}"/>
    <hyperlink ref="A88" r:id="rId391" xr:uid="{00000000-0004-0000-0000-000086010000}"/>
    <hyperlink ref="A89" r:id="rId392" xr:uid="{00000000-0004-0000-0000-000087010000}"/>
    <hyperlink ref="A90" r:id="rId393" xr:uid="{00000000-0004-0000-0000-000088010000}"/>
    <hyperlink ref="A91" r:id="rId394" xr:uid="{00000000-0004-0000-0000-000089010000}"/>
    <hyperlink ref="A92" r:id="rId395" xr:uid="{00000000-0004-0000-0000-00008A010000}"/>
    <hyperlink ref="A93" r:id="rId396" xr:uid="{00000000-0004-0000-0000-00008B010000}"/>
    <hyperlink ref="A94" r:id="rId397" xr:uid="{00000000-0004-0000-0000-00008C010000}"/>
    <hyperlink ref="A96" r:id="rId398" xr:uid="{00000000-0004-0000-0000-00008D010000}"/>
    <hyperlink ref="A97" r:id="rId399" xr:uid="{00000000-0004-0000-0000-00008E010000}"/>
    <hyperlink ref="A98" r:id="rId400" xr:uid="{00000000-0004-0000-0000-00008F010000}"/>
    <hyperlink ref="A99" r:id="rId401" xr:uid="{00000000-0004-0000-0000-000090010000}"/>
    <hyperlink ref="A100" r:id="rId402" xr:uid="{00000000-0004-0000-0000-000091010000}"/>
    <hyperlink ref="A101" r:id="rId403" xr:uid="{00000000-0004-0000-0000-000092010000}"/>
    <hyperlink ref="A102" r:id="rId404" xr:uid="{00000000-0004-0000-0000-000093010000}"/>
    <hyperlink ref="A103" r:id="rId405" xr:uid="{00000000-0004-0000-0000-000094010000}"/>
    <hyperlink ref="A104" r:id="rId406" xr:uid="{00000000-0004-0000-0000-000095010000}"/>
    <hyperlink ref="A105" r:id="rId407" xr:uid="{00000000-0004-0000-0000-000096010000}"/>
    <hyperlink ref="A106" r:id="rId408" xr:uid="{00000000-0004-0000-0000-000097010000}"/>
    <hyperlink ref="A107" r:id="rId409" xr:uid="{00000000-0004-0000-0000-000098010000}"/>
    <hyperlink ref="A469" r:id="rId410" xr:uid="{00000000-0004-0000-0000-000099010000}"/>
    <hyperlink ref="A470" r:id="rId411" xr:uid="{00000000-0004-0000-0000-00009A010000}"/>
    <hyperlink ref="A471" r:id="rId412" xr:uid="{00000000-0004-0000-0000-00009B010000}"/>
    <hyperlink ref="A472" r:id="rId413" xr:uid="{00000000-0004-0000-0000-00009C010000}"/>
    <hyperlink ref="A473" r:id="rId414" xr:uid="{00000000-0004-0000-0000-00009D010000}"/>
    <hyperlink ref="A474" r:id="rId415" xr:uid="{00000000-0004-0000-0000-00009E010000}"/>
    <hyperlink ref="A475" r:id="rId416" xr:uid="{00000000-0004-0000-0000-00009F010000}"/>
    <hyperlink ref="A476" r:id="rId417" xr:uid="{00000000-0004-0000-0000-0000A0010000}"/>
    <hyperlink ref="A477" r:id="rId418" xr:uid="{00000000-0004-0000-0000-0000A1010000}"/>
    <hyperlink ref="A478" r:id="rId419" xr:uid="{00000000-0004-0000-0000-0000A2010000}"/>
    <hyperlink ref="A479" r:id="rId420" xr:uid="{00000000-0004-0000-0000-0000A3010000}"/>
    <hyperlink ref="A480" r:id="rId421" xr:uid="{00000000-0004-0000-0000-0000A4010000}"/>
    <hyperlink ref="A481" r:id="rId422" xr:uid="{00000000-0004-0000-0000-0000A5010000}"/>
    <hyperlink ref="A482" r:id="rId423" xr:uid="{00000000-0004-0000-0000-0000A6010000}"/>
    <hyperlink ref="A483" r:id="rId424" xr:uid="{00000000-0004-0000-0000-0000A7010000}"/>
    <hyperlink ref="A484" r:id="rId425" xr:uid="{00000000-0004-0000-0000-0000A8010000}"/>
    <hyperlink ref="A485" r:id="rId426" xr:uid="{00000000-0004-0000-0000-0000A9010000}"/>
    <hyperlink ref="A486" r:id="rId427" xr:uid="{00000000-0004-0000-0000-0000AA010000}"/>
    <hyperlink ref="A487" r:id="rId428" xr:uid="{00000000-0004-0000-0000-0000AB010000}"/>
    <hyperlink ref="A488" r:id="rId429" xr:uid="{00000000-0004-0000-0000-0000AC010000}"/>
    <hyperlink ref="A491" r:id="rId430" xr:uid="{00000000-0004-0000-0000-0000AD010000}"/>
    <hyperlink ref="A492" r:id="rId431" xr:uid="{00000000-0004-0000-0000-0000AE010000}"/>
    <hyperlink ref="A493" r:id="rId432" xr:uid="{00000000-0004-0000-0000-0000AF010000}"/>
    <hyperlink ref="A494" r:id="rId433" xr:uid="{00000000-0004-0000-0000-0000B0010000}"/>
    <hyperlink ref="A495" r:id="rId434" xr:uid="{00000000-0004-0000-0000-0000B1010000}"/>
    <hyperlink ref="A497" r:id="rId435" xr:uid="{00000000-0004-0000-0000-0000B2010000}"/>
    <hyperlink ref="A498" r:id="rId436" xr:uid="{00000000-0004-0000-0000-0000B3010000}"/>
    <hyperlink ref="A499" r:id="rId437" xr:uid="{00000000-0004-0000-0000-0000B4010000}"/>
    <hyperlink ref="A500" r:id="rId438" xr:uid="{00000000-0004-0000-0000-0000B5010000}"/>
    <hyperlink ref="A551" r:id="rId439" xr:uid="{00000000-0004-0000-0000-0000B6010000}"/>
    <hyperlink ref="A552" r:id="rId440" xr:uid="{00000000-0004-0000-0000-0000B7010000}"/>
    <hyperlink ref="A553" r:id="rId441" xr:uid="{00000000-0004-0000-0000-0000B8010000}"/>
    <hyperlink ref="A554" r:id="rId442" xr:uid="{00000000-0004-0000-0000-0000B9010000}"/>
    <hyperlink ref="A555" r:id="rId443" xr:uid="{00000000-0004-0000-0000-0000BA010000}"/>
    <hyperlink ref="A556" r:id="rId444" xr:uid="{00000000-0004-0000-0000-0000BB010000}"/>
    <hyperlink ref="A557" r:id="rId445" xr:uid="{00000000-0004-0000-0000-0000BC010000}"/>
    <hyperlink ref="A558" r:id="rId446" xr:uid="{00000000-0004-0000-0000-0000BD010000}"/>
    <hyperlink ref="A559" r:id="rId447" xr:uid="{00000000-0004-0000-0000-0000BE010000}"/>
    <hyperlink ref="A560" r:id="rId448" xr:uid="{00000000-0004-0000-0000-0000BF010000}"/>
    <hyperlink ref="A561" r:id="rId449" xr:uid="{00000000-0004-0000-0000-0000C0010000}"/>
    <hyperlink ref="A562" r:id="rId450" xr:uid="{00000000-0004-0000-0000-0000C1010000}"/>
    <hyperlink ref="A563" r:id="rId451" xr:uid="{00000000-0004-0000-0000-0000C2010000}"/>
    <hyperlink ref="A564" r:id="rId452" xr:uid="{00000000-0004-0000-0000-0000C3010000}"/>
    <hyperlink ref="A565" r:id="rId453" xr:uid="{00000000-0004-0000-0000-0000C4010000}"/>
    <hyperlink ref="A566" r:id="rId454" xr:uid="{00000000-0004-0000-0000-0000C5010000}"/>
    <hyperlink ref="A567" r:id="rId455" xr:uid="{00000000-0004-0000-0000-0000C6010000}"/>
    <hyperlink ref="A568" r:id="rId456" xr:uid="{00000000-0004-0000-0000-0000C7010000}"/>
    <hyperlink ref="A569" r:id="rId457" xr:uid="{00000000-0004-0000-0000-0000C8010000}"/>
    <hyperlink ref="A570" r:id="rId458" xr:uid="{00000000-0004-0000-0000-0000C9010000}"/>
    <hyperlink ref="A571" r:id="rId459" xr:uid="{00000000-0004-0000-0000-0000CA010000}"/>
    <hyperlink ref="A572" r:id="rId460" xr:uid="{00000000-0004-0000-0000-0000CB010000}"/>
    <hyperlink ref="A573" r:id="rId461" xr:uid="{00000000-0004-0000-0000-0000CC010000}"/>
    <hyperlink ref="A574" r:id="rId462" xr:uid="{00000000-0004-0000-0000-0000CD010000}"/>
    <hyperlink ref="A575" r:id="rId463" xr:uid="{00000000-0004-0000-0000-0000CE010000}"/>
    <hyperlink ref="A577" r:id="rId464" xr:uid="{00000000-0004-0000-0000-0000CF010000}"/>
    <hyperlink ref="A578" r:id="rId465" xr:uid="{00000000-0004-0000-0000-0000D0010000}"/>
    <hyperlink ref="A579" r:id="rId466" xr:uid="{00000000-0004-0000-0000-0000D1010000}"/>
    <hyperlink ref="A580" r:id="rId467" xr:uid="{00000000-0004-0000-0000-0000D2010000}"/>
    <hyperlink ref="A581" r:id="rId468" xr:uid="{00000000-0004-0000-0000-0000D3010000}"/>
    <hyperlink ref="A582" r:id="rId469" xr:uid="{00000000-0004-0000-0000-0000D4010000}"/>
    <hyperlink ref="A583" r:id="rId470" xr:uid="{00000000-0004-0000-0000-0000D5010000}"/>
    <hyperlink ref="A584" r:id="rId471" xr:uid="{00000000-0004-0000-0000-0000D6010000}"/>
    <hyperlink ref="A585" r:id="rId472" xr:uid="{00000000-0004-0000-0000-0000D7010000}"/>
    <hyperlink ref="A586" r:id="rId473" xr:uid="{00000000-0004-0000-0000-0000D8010000}"/>
    <hyperlink ref="A587" r:id="rId474" xr:uid="{00000000-0004-0000-0000-0000D9010000}"/>
    <hyperlink ref="A588" r:id="rId475" xr:uid="{00000000-0004-0000-0000-0000DA010000}"/>
    <hyperlink ref="A589" r:id="rId476" xr:uid="{00000000-0004-0000-0000-0000DB010000}"/>
    <hyperlink ref="A591" r:id="rId477" xr:uid="{00000000-0004-0000-0000-0000DC010000}"/>
    <hyperlink ref="A590" r:id="rId478" xr:uid="{00000000-0004-0000-0000-0000DD010000}"/>
    <hyperlink ref="A592" r:id="rId479" xr:uid="{00000000-0004-0000-0000-0000DE010000}"/>
    <hyperlink ref="A593" r:id="rId480" xr:uid="{00000000-0004-0000-0000-0000DF010000}"/>
    <hyperlink ref="A594" r:id="rId481" xr:uid="{00000000-0004-0000-0000-0000E0010000}"/>
    <hyperlink ref="A595" r:id="rId482" xr:uid="{00000000-0004-0000-0000-0000E1010000}"/>
    <hyperlink ref="A596" r:id="rId483" xr:uid="{00000000-0004-0000-0000-0000E2010000}"/>
    <hyperlink ref="A597" r:id="rId484" xr:uid="{00000000-0004-0000-0000-0000E3010000}"/>
    <hyperlink ref="A598" r:id="rId485" xr:uid="{00000000-0004-0000-0000-0000E4010000}"/>
    <hyperlink ref="A599" r:id="rId486" xr:uid="{00000000-0004-0000-0000-0000E5010000}"/>
    <hyperlink ref="A602" r:id="rId487" xr:uid="{00000000-0004-0000-0000-0000E6010000}"/>
    <hyperlink ref="A604" r:id="rId488" xr:uid="{00000000-0004-0000-0000-0000E7010000}"/>
    <hyperlink ref="A607" r:id="rId489" xr:uid="{00000000-0004-0000-0000-0000E8010000}"/>
    <hyperlink ref="A608" r:id="rId490" xr:uid="{00000000-0004-0000-0000-0000E9010000}"/>
    <hyperlink ref="A609" r:id="rId491" xr:uid="{00000000-0004-0000-0000-0000EA010000}"/>
    <hyperlink ref="A610" r:id="rId492" xr:uid="{00000000-0004-0000-0000-0000EB010000}"/>
    <hyperlink ref="A611" r:id="rId493" xr:uid="{00000000-0004-0000-0000-0000EC010000}"/>
    <hyperlink ref="A612" r:id="rId494" xr:uid="{00000000-0004-0000-0000-0000ED010000}"/>
    <hyperlink ref="A613" r:id="rId495" xr:uid="{00000000-0004-0000-0000-0000EE010000}"/>
    <hyperlink ref="A614" r:id="rId496" xr:uid="{00000000-0004-0000-0000-0000EF010000}"/>
    <hyperlink ref="A615" r:id="rId497" xr:uid="{00000000-0004-0000-0000-0000F0010000}"/>
    <hyperlink ref="A616" r:id="rId498" xr:uid="{00000000-0004-0000-0000-0000F1010000}"/>
    <hyperlink ref="A617" r:id="rId499" xr:uid="{00000000-0004-0000-0000-0000F2010000}"/>
    <hyperlink ref="A618" r:id="rId500" xr:uid="{00000000-0004-0000-0000-0000F3010000}"/>
    <hyperlink ref="A619" r:id="rId501" xr:uid="{00000000-0004-0000-0000-0000F4010000}"/>
    <hyperlink ref="A620" r:id="rId502" xr:uid="{00000000-0004-0000-0000-0000F5010000}"/>
    <hyperlink ref="A621" r:id="rId503" xr:uid="{00000000-0004-0000-0000-0000F6010000}"/>
    <hyperlink ref="A622" r:id="rId504" xr:uid="{00000000-0004-0000-0000-0000F7010000}"/>
    <hyperlink ref="A623" r:id="rId505" xr:uid="{00000000-0004-0000-0000-0000F8010000}"/>
    <hyperlink ref="A624" r:id="rId506" xr:uid="{00000000-0004-0000-0000-0000F9010000}"/>
    <hyperlink ref="A625" r:id="rId507" xr:uid="{00000000-0004-0000-0000-0000FA010000}"/>
    <hyperlink ref="A626" r:id="rId508" xr:uid="{00000000-0004-0000-0000-0000FB010000}"/>
    <hyperlink ref="A627" r:id="rId509" xr:uid="{00000000-0004-0000-0000-0000FC010000}"/>
    <hyperlink ref="A628" r:id="rId510" xr:uid="{00000000-0004-0000-0000-0000FD010000}"/>
    <hyperlink ref="A629" r:id="rId511" xr:uid="{00000000-0004-0000-0000-0000FE010000}"/>
    <hyperlink ref="A630" r:id="rId512" xr:uid="{00000000-0004-0000-0000-0000FF010000}"/>
    <hyperlink ref="A631" r:id="rId513" xr:uid="{00000000-0004-0000-0000-000000020000}"/>
    <hyperlink ref="A632" r:id="rId514" xr:uid="{00000000-0004-0000-0000-000001020000}"/>
    <hyperlink ref="A633" r:id="rId515" xr:uid="{00000000-0004-0000-0000-000002020000}"/>
    <hyperlink ref="A634" r:id="rId516" xr:uid="{00000000-0004-0000-0000-000003020000}"/>
    <hyperlink ref="A635" r:id="rId517" xr:uid="{00000000-0004-0000-0000-000004020000}"/>
    <hyperlink ref="A636" r:id="rId518" xr:uid="{00000000-0004-0000-0000-000005020000}"/>
    <hyperlink ref="A637" r:id="rId519" xr:uid="{00000000-0004-0000-0000-000006020000}"/>
    <hyperlink ref="A638" r:id="rId520" xr:uid="{00000000-0004-0000-0000-000007020000}"/>
    <hyperlink ref="A640" r:id="rId521" xr:uid="{00000000-0004-0000-0000-000008020000}"/>
    <hyperlink ref="A642" r:id="rId522" xr:uid="{00000000-0004-0000-0000-000009020000}"/>
    <hyperlink ref="A643" r:id="rId523" xr:uid="{00000000-0004-0000-0000-00000A020000}"/>
    <hyperlink ref="A644" r:id="rId524" xr:uid="{00000000-0004-0000-0000-00000B020000}"/>
    <hyperlink ref="A645" r:id="rId525" xr:uid="{00000000-0004-0000-0000-00000C020000}"/>
    <hyperlink ref="A651" r:id="rId526" xr:uid="{00000000-0004-0000-0000-00000D020000}"/>
    <hyperlink ref="A655" r:id="rId527" xr:uid="{00000000-0004-0000-0000-00000E020000}"/>
    <hyperlink ref="A657" r:id="rId528" xr:uid="{00000000-0004-0000-0000-00000F020000}"/>
    <hyperlink ref="A658" r:id="rId529" xr:uid="{00000000-0004-0000-0000-000010020000}"/>
    <hyperlink ref="A659" r:id="rId530" xr:uid="{00000000-0004-0000-0000-000011020000}"/>
    <hyperlink ref="A660" r:id="rId531" xr:uid="{00000000-0004-0000-0000-000012020000}"/>
    <hyperlink ref="A661" r:id="rId532" xr:uid="{00000000-0004-0000-0000-000013020000}"/>
    <hyperlink ref="A662" r:id="rId533" xr:uid="{00000000-0004-0000-0000-000014020000}"/>
    <hyperlink ref="A663" r:id="rId534" xr:uid="{00000000-0004-0000-0000-000015020000}"/>
    <hyperlink ref="A666" r:id="rId535" xr:uid="{00000000-0004-0000-0000-000016020000}"/>
    <hyperlink ref="A667" r:id="rId536" xr:uid="{00000000-0004-0000-0000-000017020000}"/>
    <hyperlink ref="A668" r:id="rId537" xr:uid="{00000000-0004-0000-0000-000018020000}"/>
    <hyperlink ref="A669" r:id="rId538" xr:uid="{00000000-0004-0000-0000-000019020000}"/>
    <hyperlink ref="A670" r:id="rId539" xr:uid="{00000000-0004-0000-0000-00001A020000}"/>
    <hyperlink ref="A671" r:id="rId540" xr:uid="{00000000-0004-0000-0000-00001B020000}"/>
    <hyperlink ref="A672" r:id="rId541" xr:uid="{00000000-0004-0000-0000-00001C020000}"/>
    <hyperlink ref="A673" r:id="rId542" xr:uid="{00000000-0004-0000-0000-00001D020000}"/>
    <hyperlink ref="A675" r:id="rId543" xr:uid="{00000000-0004-0000-0000-00001E020000}"/>
    <hyperlink ref="A674" r:id="rId544" xr:uid="{00000000-0004-0000-0000-00001F020000}"/>
    <hyperlink ref="A676" r:id="rId545" xr:uid="{00000000-0004-0000-0000-000020020000}"/>
    <hyperlink ref="A677" r:id="rId546" xr:uid="{00000000-0004-0000-0000-000021020000}"/>
    <hyperlink ref="A678" r:id="rId547" xr:uid="{00000000-0004-0000-0000-000022020000}"/>
    <hyperlink ref="A679" r:id="rId548" xr:uid="{00000000-0004-0000-0000-000023020000}"/>
    <hyperlink ref="A680" r:id="rId549" xr:uid="{00000000-0004-0000-0000-000024020000}"/>
    <hyperlink ref="A681" r:id="rId550" xr:uid="{00000000-0004-0000-0000-000025020000}"/>
    <hyperlink ref="A682" r:id="rId551" xr:uid="{00000000-0004-0000-0000-000026020000}"/>
    <hyperlink ref="A683" r:id="rId552" xr:uid="{00000000-0004-0000-0000-000027020000}"/>
    <hyperlink ref="A684" r:id="rId553" xr:uid="{00000000-0004-0000-0000-000028020000}"/>
    <hyperlink ref="A685" r:id="rId554" tooltip="https://image.skechers.com/img/productimages/xlarge/220613WW_BKW_A.jpg" xr:uid="{00000000-0004-0000-0000-000029020000}"/>
    <hyperlink ref="A686" r:id="rId555" xr:uid="{00000000-0004-0000-0000-00002A020000}"/>
    <hyperlink ref="A688" r:id="rId556" xr:uid="{00000000-0004-0000-0000-00002B020000}"/>
    <hyperlink ref="A687" r:id="rId557" xr:uid="{00000000-0004-0000-0000-00002C020000}"/>
    <hyperlink ref="A689" r:id="rId558" xr:uid="{00000000-0004-0000-0000-00002D020000}"/>
    <hyperlink ref="A690" r:id="rId559" xr:uid="{00000000-0004-0000-0000-00002E020000}"/>
    <hyperlink ref="A691" r:id="rId560" xr:uid="{00000000-0004-0000-0000-00002F020000}"/>
    <hyperlink ref="A692" r:id="rId561" xr:uid="{00000000-0004-0000-0000-000030020000}"/>
    <hyperlink ref="A693" r:id="rId562" xr:uid="{00000000-0004-0000-0000-000031020000}"/>
    <hyperlink ref="A694" r:id="rId563" xr:uid="{00000000-0004-0000-0000-000032020000}"/>
    <hyperlink ref="A695" r:id="rId564" xr:uid="{00000000-0004-0000-0000-000033020000}"/>
    <hyperlink ref="A696" r:id="rId565" xr:uid="{00000000-0004-0000-0000-000034020000}"/>
    <hyperlink ref="A697" r:id="rId566" xr:uid="{00000000-0004-0000-0000-000035020000}"/>
    <hyperlink ref="A698" r:id="rId567" xr:uid="{00000000-0004-0000-0000-000036020000}"/>
    <hyperlink ref="A699" r:id="rId568" xr:uid="{00000000-0004-0000-0000-000037020000}"/>
    <hyperlink ref="A700" r:id="rId569" xr:uid="{00000000-0004-0000-0000-000038020000}"/>
    <hyperlink ref="A701" r:id="rId570" xr:uid="{00000000-0004-0000-0000-000039020000}"/>
    <hyperlink ref="A702" r:id="rId571" xr:uid="{00000000-0004-0000-0000-00003A020000}"/>
    <hyperlink ref="A703" r:id="rId572" xr:uid="{00000000-0004-0000-0000-00003B020000}"/>
    <hyperlink ref="A704" r:id="rId573" xr:uid="{00000000-0004-0000-0000-00003C020000}"/>
    <hyperlink ref="A705" r:id="rId574" xr:uid="{00000000-0004-0000-0000-00003D020000}"/>
    <hyperlink ref="A707" r:id="rId575" xr:uid="{00000000-0004-0000-0000-00003E020000}"/>
    <hyperlink ref="A708" r:id="rId576" xr:uid="{00000000-0004-0000-0000-00003F020000}"/>
    <hyperlink ref="A709" r:id="rId577" xr:uid="{00000000-0004-0000-0000-000040020000}"/>
    <hyperlink ref="A710" r:id="rId578" xr:uid="{00000000-0004-0000-0000-000041020000}"/>
    <hyperlink ref="A711" r:id="rId579" xr:uid="{00000000-0004-0000-0000-000042020000}"/>
    <hyperlink ref="A712" r:id="rId580" xr:uid="{00000000-0004-0000-0000-000043020000}"/>
    <hyperlink ref="A713" r:id="rId581" xr:uid="{00000000-0004-0000-0000-000044020000}"/>
    <hyperlink ref="A714" r:id="rId582" xr:uid="{00000000-0004-0000-0000-000045020000}"/>
    <hyperlink ref="A716" r:id="rId583" xr:uid="{00000000-0004-0000-0000-000046020000}"/>
    <hyperlink ref="A717" r:id="rId584" xr:uid="{00000000-0004-0000-0000-000047020000}"/>
    <hyperlink ref="A718" r:id="rId585" xr:uid="{00000000-0004-0000-0000-000048020000}"/>
    <hyperlink ref="A719" r:id="rId586" xr:uid="{00000000-0004-0000-0000-000049020000}"/>
    <hyperlink ref="A720" r:id="rId587" xr:uid="{00000000-0004-0000-0000-00004A020000}"/>
    <hyperlink ref="A721" r:id="rId588" xr:uid="{00000000-0004-0000-0000-00004B020000}"/>
    <hyperlink ref="A722" r:id="rId589" xr:uid="{00000000-0004-0000-0000-00004C020000}"/>
    <hyperlink ref="A723" r:id="rId590" xr:uid="{00000000-0004-0000-0000-00004D020000}"/>
    <hyperlink ref="A724" r:id="rId591" xr:uid="{00000000-0004-0000-0000-00004E020000}"/>
    <hyperlink ref="A725" r:id="rId592" xr:uid="{00000000-0004-0000-0000-00004F020000}"/>
    <hyperlink ref="A726" r:id="rId593" xr:uid="{00000000-0004-0000-0000-000050020000}"/>
    <hyperlink ref="A727" r:id="rId594" xr:uid="{00000000-0004-0000-0000-000051020000}"/>
    <hyperlink ref="A728" r:id="rId595" xr:uid="{00000000-0004-0000-0000-000052020000}"/>
    <hyperlink ref="A729" r:id="rId596" xr:uid="{00000000-0004-0000-0000-000053020000}"/>
    <hyperlink ref="A730" r:id="rId597" xr:uid="{00000000-0004-0000-0000-000054020000}"/>
    <hyperlink ref="A731" r:id="rId598" xr:uid="{00000000-0004-0000-0000-000055020000}"/>
    <hyperlink ref="A732" r:id="rId599" xr:uid="{00000000-0004-0000-0000-000056020000}"/>
    <hyperlink ref="A733" r:id="rId600" xr:uid="{00000000-0004-0000-0000-000057020000}"/>
    <hyperlink ref="A734" r:id="rId601" xr:uid="{00000000-0004-0000-0000-000058020000}"/>
    <hyperlink ref="A737" r:id="rId602" xr:uid="{00000000-0004-0000-0000-000059020000}"/>
    <hyperlink ref="A738" r:id="rId603" xr:uid="{00000000-0004-0000-0000-00005A020000}"/>
    <hyperlink ref="A739" r:id="rId604" xr:uid="{00000000-0004-0000-0000-00005B020000}"/>
    <hyperlink ref="A740" r:id="rId605" xr:uid="{00000000-0004-0000-0000-00005C020000}"/>
    <hyperlink ref="A741" r:id="rId606" xr:uid="{00000000-0004-0000-0000-00005D020000}"/>
    <hyperlink ref="A742" r:id="rId607" xr:uid="{00000000-0004-0000-0000-00005E020000}"/>
    <hyperlink ref="A743" r:id="rId608" xr:uid="{00000000-0004-0000-0000-00005F020000}"/>
    <hyperlink ref="A744" r:id="rId609" xr:uid="{00000000-0004-0000-0000-000060020000}"/>
    <hyperlink ref="A745" r:id="rId610" xr:uid="{00000000-0004-0000-0000-000061020000}"/>
    <hyperlink ref="A746" r:id="rId611" xr:uid="{00000000-0004-0000-0000-000062020000}"/>
    <hyperlink ref="A747" r:id="rId612" xr:uid="{00000000-0004-0000-0000-000063020000}"/>
    <hyperlink ref="A748" r:id="rId613" xr:uid="{00000000-0004-0000-0000-000064020000}"/>
    <hyperlink ref="A749" r:id="rId614" tooltip="https://image.skechers.com/img/productimages/xlarge/221140_TPE_A.jpg" xr:uid="{00000000-0004-0000-0000-000065020000}"/>
    <hyperlink ref="A750" r:id="rId615" xr:uid="{00000000-0004-0000-0000-000066020000}"/>
    <hyperlink ref="A751" r:id="rId616" xr:uid="{00000000-0004-0000-0000-000067020000}"/>
    <hyperlink ref="A752" r:id="rId617" xr:uid="{00000000-0004-0000-0000-000068020000}"/>
    <hyperlink ref="A753" r:id="rId618" xr:uid="{00000000-0004-0000-0000-000069020000}"/>
    <hyperlink ref="A754" r:id="rId619" tooltip="https://image.skechers.com/img/productimages/xlarge/221141_NAT_A.jpg" xr:uid="{00000000-0004-0000-0000-00006A020000}"/>
    <hyperlink ref="A755" r:id="rId620" xr:uid="{00000000-0004-0000-0000-00006B020000}"/>
    <hyperlink ref="A756" r:id="rId621" xr:uid="{00000000-0004-0000-0000-00006C020000}"/>
    <hyperlink ref="A757" r:id="rId622" xr:uid="{00000000-0004-0000-0000-00006D020000}"/>
    <hyperlink ref="A759" r:id="rId623" xr:uid="{00000000-0004-0000-0000-00006E020000}"/>
    <hyperlink ref="A758" r:id="rId624" xr:uid="{00000000-0004-0000-0000-00006F020000}"/>
    <hyperlink ref="A760" r:id="rId625" xr:uid="{00000000-0004-0000-0000-000070020000}"/>
    <hyperlink ref="A761" r:id="rId626" xr:uid="{00000000-0004-0000-0000-000071020000}"/>
    <hyperlink ref="A762" r:id="rId627" xr:uid="{00000000-0004-0000-0000-000072020000}"/>
    <hyperlink ref="A763" r:id="rId628" xr:uid="{00000000-0004-0000-0000-000073020000}"/>
    <hyperlink ref="A766" r:id="rId629" xr:uid="{00000000-0004-0000-0000-000074020000}"/>
    <hyperlink ref="A767" r:id="rId630" xr:uid="{00000000-0004-0000-0000-000075020000}"/>
    <hyperlink ref="A768" r:id="rId631" xr:uid="{00000000-0004-0000-0000-000076020000}"/>
    <hyperlink ref="A769" r:id="rId632" tooltip="https://image.skechers.com/img/productimages/xlarge/221240_BBK_A.jpg" xr:uid="{00000000-0004-0000-0000-000077020000}"/>
    <hyperlink ref="A770" r:id="rId633" xr:uid="{00000000-0004-0000-0000-000078020000}"/>
    <hyperlink ref="A771" r:id="rId634" xr:uid="{00000000-0004-0000-0000-000079020000}"/>
    <hyperlink ref="A772" r:id="rId635" xr:uid="{00000000-0004-0000-0000-00007A020000}"/>
    <hyperlink ref="A773" r:id="rId636" tooltip="https://image.skechers.com/img/productimages/xlarge/221241_BBK_A.jpg" xr:uid="{00000000-0004-0000-0000-00007B020000}"/>
    <hyperlink ref="A774" r:id="rId637" xr:uid="{00000000-0004-0000-0000-00007C020000}"/>
    <hyperlink ref="A775" r:id="rId638" xr:uid="{00000000-0004-0000-0000-00007D020000}"/>
    <hyperlink ref="A776" r:id="rId639" xr:uid="{00000000-0004-0000-0000-00007E020000}"/>
    <hyperlink ref="A777" r:id="rId640" xr:uid="{00000000-0004-0000-0000-00007F020000}"/>
    <hyperlink ref="A778" r:id="rId641" xr:uid="{00000000-0004-0000-0000-000080020000}"/>
    <hyperlink ref="A779" r:id="rId642" xr:uid="{00000000-0004-0000-0000-000081020000}"/>
    <hyperlink ref="A782" r:id="rId643" xr:uid="{00000000-0004-0000-0000-000082020000}"/>
    <hyperlink ref="A783" r:id="rId644" xr:uid="{00000000-0004-0000-0000-000083020000}"/>
    <hyperlink ref="A784" r:id="rId645" xr:uid="{00000000-0004-0000-0000-000084020000}"/>
    <hyperlink ref="A785" r:id="rId646" xr:uid="{00000000-0004-0000-0000-000085020000}"/>
    <hyperlink ref="A786" r:id="rId647" xr:uid="{00000000-0004-0000-0000-000086020000}"/>
    <hyperlink ref="A787" r:id="rId648" xr:uid="{00000000-0004-0000-0000-000087020000}"/>
    <hyperlink ref="A788" r:id="rId649" xr:uid="{00000000-0004-0000-0000-000088020000}"/>
    <hyperlink ref="A789" r:id="rId650" xr:uid="{00000000-0004-0000-0000-000089020000}"/>
    <hyperlink ref="A790" r:id="rId651" xr:uid="{00000000-0004-0000-0000-00008A020000}"/>
    <hyperlink ref="A791" r:id="rId652" xr:uid="{00000000-0004-0000-0000-00008B020000}"/>
    <hyperlink ref="A793" r:id="rId653" xr:uid="{00000000-0004-0000-0000-00008C020000}"/>
    <hyperlink ref="A794" r:id="rId654" xr:uid="{00000000-0004-0000-0000-00008D020000}"/>
    <hyperlink ref="A804" r:id="rId655" xr:uid="{00000000-0004-0000-0000-00008E020000}"/>
    <hyperlink ref="A809" r:id="rId656" xr:uid="{00000000-0004-0000-0000-00008F020000}"/>
    <hyperlink ref="A811" r:id="rId657" xr:uid="{00000000-0004-0000-0000-000090020000}"/>
    <hyperlink ref="A812" r:id="rId658" xr:uid="{00000000-0004-0000-0000-000091020000}"/>
    <hyperlink ref="A813" r:id="rId659" xr:uid="{00000000-0004-0000-0000-000092020000}"/>
    <hyperlink ref="A814" r:id="rId660" xr:uid="{00000000-0004-0000-0000-000093020000}"/>
    <hyperlink ref="A815" r:id="rId661" xr:uid="{00000000-0004-0000-0000-000094020000}"/>
    <hyperlink ref="A816" r:id="rId662" xr:uid="{00000000-0004-0000-0000-000095020000}"/>
    <hyperlink ref="A817" r:id="rId663" xr:uid="{00000000-0004-0000-0000-000096020000}"/>
    <hyperlink ref="A818" r:id="rId664" xr:uid="{00000000-0004-0000-0000-000097020000}"/>
    <hyperlink ref="A821" r:id="rId665" xr:uid="{00000000-0004-0000-0000-000098020000}"/>
    <hyperlink ref="A822" r:id="rId666" xr:uid="{00000000-0004-0000-0000-000099020000}"/>
    <hyperlink ref="A823" r:id="rId667" xr:uid="{00000000-0004-0000-0000-00009A020000}"/>
    <hyperlink ref="A824" r:id="rId668" xr:uid="{00000000-0004-0000-0000-00009B020000}"/>
    <hyperlink ref="A825" r:id="rId669" xr:uid="{00000000-0004-0000-0000-00009C020000}"/>
    <hyperlink ref="A826" r:id="rId670" xr:uid="{00000000-0004-0000-0000-00009D020000}"/>
    <hyperlink ref="A827" r:id="rId671" xr:uid="{00000000-0004-0000-0000-00009E020000}"/>
    <hyperlink ref="A831" r:id="rId672" xr:uid="{00000000-0004-0000-0000-00009F020000}"/>
    <hyperlink ref="A832" r:id="rId673" xr:uid="{00000000-0004-0000-0000-0000A0020000}"/>
    <hyperlink ref="A833" r:id="rId674" xr:uid="{00000000-0004-0000-0000-0000A1020000}"/>
    <hyperlink ref="A834" r:id="rId675" xr:uid="{00000000-0004-0000-0000-0000A2020000}"/>
    <hyperlink ref="A835" r:id="rId676" xr:uid="{00000000-0004-0000-0000-0000A3020000}"/>
    <hyperlink ref="A836" r:id="rId677" xr:uid="{00000000-0004-0000-0000-0000A4020000}"/>
    <hyperlink ref="A837" r:id="rId678" xr:uid="{00000000-0004-0000-0000-0000A5020000}"/>
    <hyperlink ref="A838" r:id="rId679" xr:uid="{00000000-0004-0000-0000-0000A6020000}"/>
    <hyperlink ref="A839" r:id="rId680" xr:uid="{00000000-0004-0000-0000-0000A7020000}"/>
    <hyperlink ref="A840" r:id="rId681" xr:uid="{00000000-0004-0000-0000-0000A8020000}"/>
    <hyperlink ref="A841" r:id="rId682" xr:uid="{00000000-0004-0000-0000-0000A9020000}"/>
    <hyperlink ref="A842" r:id="rId683" xr:uid="{00000000-0004-0000-0000-0000AA020000}"/>
    <hyperlink ref="A843" r:id="rId684" xr:uid="{00000000-0004-0000-0000-0000AB020000}"/>
    <hyperlink ref="A846" r:id="rId685" xr:uid="{00000000-0004-0000-0000-0000AC020000}"/>
    <hyperlink ref="A850" r:id="rId686" xr:uid="{00000000-0004-0000-0000-0000AD020000}"/>
    <hyperlink ref="A853" r:id="rId687" xr:uid="{00000000-0004-0000-0000-0000AE020000}"/>
    <hyperlink ref="A854" r:id="rId688" xr:uid="{00000000-0004-0000-0000-0000AF020000}"/>
    <hyperlink ref="A855" r:id="rId689" xr:uid="{00000000-0004-0000-0000-0000B0020000}"/>
    <hyperlink ref="A856" r:id="rId690" xr:uid="{00000000-0004-0000-0000-0000B1020000}"/>
    <hyperlink ref="A857" r:id="rId691" xr:uid="{00000000-0004-0000-0000-0000B2020000}"/>
    <hyperlink ref="A858" r:id="rId692" xr:uid="{00000000-0004-0000-0000-0000B3020000}"/>
    <hyperlink ref="A859" r:id="rId693" xr:uid="{00000000-0004-0000-0000-0000B4020000}"/>
    <hyperlink ref="A860" r:id="rId694" xr:uid="{00000000-0004-0000-0000-0000B5020000}"/>
    <hyperlink ref="A861" r:id="rId695" xr:uid="{00000000-0004-0000-0000-0000B6020000}"/>
    <hyperlink ref="A862" r:id="rId696" xr:uid="{00000000-0004-0000-0000-0000B7020000}"/>
    <hyperlink ref="A863" r:id="rId697" xr:uid="{00000000-0004-0000-0000-0000B8020000}"/>
    <hyperlink ref="A864" r:id="rId698" xr:uid="{00000000-0004-0000-0000-0000B9020000}"/>
    <hyperlink ref="A865" r:id="rId699" xr:uid="{00000000-0004-0000-0000-0000BA020000}"/>
    <hyperlink ref="A866" r:id="rId700" xr:uid="{00000000-0004-0000-0000-0000BB020000}"/>
    <hyperlink ref="A867" r:id="rId701" xr:uid="{00000000-0004-0000-0000-0000BC020000}"/>
    <hyperlink ref="A868" r:id="rId702" xr:uid="{00000000-0004-0000-0000-0000BD020000}"/>
    <hyperlink ref="A869" r:id="rId703" xr:uid="{00000000-0004-0000-0000-0000BE020000}"/>
    <hyperlink ref="A870" r:id="rId704" xr:uid="{00000000-0004-0000-0000-0000BF020000}"/>
    <hyperlink ref="A875" r:id="rId705" xr:uid="{00000000-0004-0000-0000-0000C0020000}"/>
    <hyperlink ref="A878" r:id="rId706" xr:uid="{00000000-0004-0000-0000-0000C1020000}"/>
    <hyperlink ref="A879" r:id="rId707" xr:uid="{00000000-0004-0000-0000-0000C2020000}"/>
    <hyperlink ref="A881" r:id="rId708" tooltip="https://image.skechers.com/img/productimages/xlarge/233201_NVW_A.jpg" xr:uid="{00000000-0004-0000-0000-0000C3020000}"/>
    <hyperlink ref="A882" r:id="rId709" xr:uid="{00000000-0004-0000-0000-0000C4020000}"/>
    <hyperlink ref="A883" r:id="rId710" xr:uid="{00000000-0004-0000-0000-0000C5020000}"/>
    <hyperlink ref="A884" r:id="rId711" xr:uid="{00000000-0004-0000-0000-0000C6020000}"/>
    <hyperlink ref="A885" r:id="rId712" xr:uid="{00000000-0004-0000-0000-0000C7020000}"/>
    <hyperlink ref="A886" r:id="rId713" xr:uid="{00000000-0004-0000-0000-0000C8020000}"/>
    <hyperlink ref="A887" r:id="rId714" xr:uid="{00000000-0004-0000-0000-0000C9020000}"/>
    <hyperlink ref="A888" r:id="rId715" xr:uid="{00000000-0004-0000-0000-0000CA020000}"/>
    <hyperlink ref="A889" r:id="rId716" xr:uid="{00000000-0004-0000-0000-0000CB020000}"/>
    <hyperlink ref="A890" r:id="rId717" xr:uid="{00000000-0004-0000-0000-0000CC020000}"/>
    <hyperlink ref="A892" r:id="rId718" xr:uid="{00000000-0004-0000-0000-0000CD020000}"/>
    <hyperlink ref="A893" r:id="rId719" xr:uid="{00000000-0004-0000-0000-0000CE020000}"/>
    <hyperlink ref="A894" r:id="rId720" xr:uid="{00000000-0004-0000-0000-0000CF020000}"/>
    <hyperlink ref="A895" r:id="rId721" xr:uid="{00000000-0004-0000-0000-0000D0020000}"/>
    <hyperlink ref="A896" r:id="rId722" xr:uid="{00000000-0004-0000-0000-0000D1020000}"/>
    <hyperlink ref="A897" r:id="rId723" xr:uid="{00000000-0004-0000-0000-0000D2020000}"/>
    <hyperlink ref="A898" r:id="rId724" xr:uid="{00000000-0004-0000-0000-0000D3020000}"/>
    <hyperlink ref="A899" r:id="rId725" xr:uid="{00000000-0004-0000-0000-0000D4020000}"/>
    <hyperlink ref="A900" r:id="rId726" xr:uid="{00000000-0004-0000-0000-0000D5020000}"/>
    <hyperlink ref="A901" r:id="rId727" xr:uid="{00000000-0004-0000-0000-0000D6020000}"/>
    <hyperlink ref="A902" r:id="rId728" xr:uid="{00000000-0004-0000-0000-0000D7020000}"/>
    <hyperlink ref="A903" r:id="rId729" xr:uid="{00000000-0004-0000-0000-0000D8020000}"/>
    <hyperlink ref="A906" r:id="rId730" xr:uid="{00000000-0004-0000-0000-0000D9020000}"/>
    <hyperlink ref="A907" r:id="rId731" xr:uid="{00000000-0004-0000-0000-0000DA020000}"/>
    <hyperlink ref="A908" r:id="rId732" xr:uid="{00000000-0004-0000-0000-0000DB020000}"/>
    <hyperlink ref="A909" r:id="rId733" xr:uid="{00000000-0004-0000-0000-0000DC020000}"/>
    <hyperlink ref="A910" r:id="rId734" xr:uid="{00000000-0004-0000-0000-0000DD020000}"/>
    <hyperlink ref="A911" r:id="rId735" xr:uid="{00000000-0004-0000-0000-0000DE020000}"/>
    <hyperlink ref="A913" r:id="rId736" xr:uid="{00000000-0004-0000-0000-0000DF020000}"/>
    <hyperlink ref="A914" r:id="rId737" xr:uid="{00000000-0004-0000-0000-0000E0020000}"/>
    <hyperlink ref="A915" r:id="rId738" xr:uid="{00000000-0004-0000-0000-0000E1020000}"/>
    <hyperlink ref="A917" r:id="rId739" xr:uid="{00000000-0004-0000-0000-0000E2020000}"/>
    <hyperlink ref="A920" r:id="rId740" xr:uid="{00000000-0004-0000-0000-0000E3020000}"/>
    <hyperlink ref="A921" r:id="rId741" xr:uid="{00000000-0004-0000-0000-0000E4020000}"/>
    <hyperlink ref="A922" r:id="rId742" xr:uid="{00000000-0004-0000-0000-0000E5020000}"/>
    <hyperlink ref="A923" r:id="rId743" xr:uid="{00000000-0004-0000-0000-0000E6020000}"/>
    <hyperlink ref="A927" r:id="rId744" xr:uid="{00000000-0004-0000-0000-0000E7020000}"/>
    <hyperlink ref="A932" r:id="rId745" xr:uid="{00000000-0004-0000-0000-0000E8020000}"/>
    <hyperlink ref="A935" r:id="rId746" xr:uid="{00000000-0004-0000-0000-0000E9020000}"/>
    <hyperlink ref="A937" r:id="rId747" xr:uid="{00000000-0004-0000-0000-0000EA020000}"/>
    <hyperlink ref="A941" r:id="rId748" xr:uid="{00000000-0004-0000-0000-0000EB020000}"/>
    <hyperlink ref="A943" r:id="rId749" xr:uid="{00000000-0004-0000-0000-0000EC020000}"/>
    <hyperlink ref="A944" r:id="rId750" xr:uid="{00000000-0004-0000-0000-0000ED020000}"/>
    <hyperlink ref="A945" r:id="rId751" xr:uid="{00000000-0004-0000-0000-0000EE020000}"/>
    <hyperlink ref="A946" r:id="rId752" xr:uid="{00000000-0004-0000-0000-0000EF020000}"/>
    <hyperlink ref="A947" r:id="rId753" xr:uid="{00000000-0004-0000-0000-0000F0020000}"/>
    <hyperlink ref="A948" r:id="rId754" xr:uid="{00000000-0004-0000-0000-0000F1020000}"/>
    <hyperlink ref="A949" r:id="rId755" xr:uid="{00000000-0004-0000-0000-0000F2020000}"/>
    <hyperlink ref="A950" r:id="rId756" xr:uid="{00000000-0004-0000-0000-0000F3020000}"/>
    <hyperlink ref="A952" r:id="rId757" xr:uid="{00000000-0004-0000-0000-0000F4020000}"/>
    <hyperlink ref="A953" r:id="rId758" xr:uid="{00000000-0004-0000-0000-0000F5020000}"/>
    <hyperlink ref="A954" r:id="rId759" xr:uid="{00000000-0004-0000-0000-0000F6020000}"/>
    <hyperlink ref="A955" r:id="rId760" xr:uid="{00000000-0004-0000-0000-0000F7020000}"/>
    <hyperlink ref="A956" r:id="rId761" xr:uid="{00000000-0004-0000-0000-0000F8020000}"/>
    <hyperlink ref="A957" r:id="rId762" xr:uid="{00000000-0004-0000-0000-0000F9020000}"/>
    <hyperlink ref="A958" r:id="rId763" xr:uid="{00000000-0004-0000-0000-0000FA020000}"/>
    <hyperlink ref="A959" r:id="rId764" xr:uid="{00000000-0004-0000-0000-0000FB020000}"/>
    <hyperlink ref="A960" r:id="rId765" xr:uid="{00000000-0004-0000-0000-0000FC020000}"/>
    <hyperlink ref="A961" r:id="rId766" xr:uid="{00000000-0004-0000-0000-0000FD020000}"/>
    <hyperlink ref="A963" r:id="rId767" xr:uid="{00000000-0004-0000-0000-0000FE020000}"/>
    <hyperlink ref="A964" r:id="rId768" xr:uid="{00000000-0004-0000-0000-0000FF020000}"/>
    <hyperlink ref="A965" r:id="rId769" xr:uid="{00000000-0004-0000-0000-000000030000}"/>
    <hyperlink ref="A966" r:id="rId770" xr:uid="{00000000-0004-0000-0000-000001030000}"/>
    <hyperlink ref="A967" r:id="rId771" xr:uid="{00000000-0004-0000-0000-000002030000}"/>
    <hyperlink ref="A968" r:id="rId772" xr:uid="{00000000-0004-0000-0000-000003030000}"/>
    <hyperlink ref="A969" r:id="rId773" xr:uid="{00000000-0004-0000-0000-000004030000}"/>
    <hyperlink ref="A970" r:id="rId774" xr:uid="{00000000-0004-0000-0000-000005030000}"/>
    <hyperlink ref="A971" r:id="rId775" xr:uid="{00000000-0004-0000-0000-000006030000}"/>
    <hyperlink ref="A972" r:id="rId776" xr:uid="{00000000-0004-0000-0000-000007030000}"/>
    <hyperlink ref="A973" r:id="rId777" xr:uid="{00000000-0004-0000-0000-000008030000}"/>
    <hyperlink ref="A974" r:id="rId778" xr:uid="{00000000-0004-0000-0000-000009030000}"/>
    <hyperlink ref="A978" r:id="rId779" xr:uid="{00000000-0004-0000-0000-00000A030000}"/>
    <hyperlink ref="A979" r:id="rId780" xr:uid="{00000000-0004-0000-0000-00000B030000}"/>
    <hyperlink ref="A980" r:id="rId781" xr:uid="{00000000-0004-0000-0000-00000C030000}"/>
    <hyperlink ref="A982" r:id="rId782" xr:uid="{00000000-0004-0000-0000-00000D030000}"/>
    <hyperlink ref="A984" r:id="rId783" xr:uid="{00000000-0004-0000-0000-00000E030000}"/>
    <hyperlink ref="A985" r:id="rId784" xr:uid="{00000000-0004-0000-0000-00000F030000}"/>
    <hyperlink ref="A983" r:id="rId785" xr:uid="{00000000-0004-0000-0000-000010030000}"/>
    <hyperlink ref="A986" r:id="rId786" xr:uid="{00000000-0004-0000-0000-000011030000}"/>
    <hyperlink ref="A987" r:id="rId787" xr:uid="{00000000-0004-0000-0000-000012030000}"/>
    <hyperlink ref="A988" r:id="rId788" xr:uid="{00000000-0004-0000-0000-000013030000}"/>
    <hyperlink ref="A989" r:id="rId789" xr:uid="{00000000-0004-0000-0000-000014030000}"/>
    <hyperlink ref="A990" r:id="rId790" xr:uid="{00000000-0004-0000-0000-000015030000}"/>
    <hyperlink ref="A991" r:id="rId791" xr:uid="{00000000-0004-0000-0000-000016030000}"/>
    <hyperlink ref="A992" r:id="rId792" xr:uid="{00000000-0004-0000-0000-000017030000}"/>
    <hyperlink ref="A993" r:id="rId793" xr:uid="{00000000-0004-0000-0000-000018030000}"/>
    <hyperlink ref="A994" r:id="rId794" xr:uid="{00000000-0004-0000-0000-000019030000}"/>
    <hyperlink ref="A995" r:id="rId795" xr:uid="{00000000-0004-0000-0000-00001A030000}"/>
    <hyperlink ref="A997" r:id="rId796" xr:uid="{00000000-0004-0000-0000-00001B030000}"/>
    <hyperlink ref="A999" r:id="rId797" xr:uid="{00000000-0004-0000-0000-00001C030000}"/>
    <hyperlink ref="A1005" r:id="rId798" xr:uid="{00000000-0004-0000-0000-00001D030000}"/>
    <hyperlink ref="A1006" r:id="rId799" xr:uid="{00000000-0004-0000-0000-00001E030000}"/>
    <hyperlink ref="A1007" r:id="rId800" xr:uid="{00000000-0004-0000-0000-00001F030000}"/>
    <hyperlink ref="A1008" r:id="rId801" xr:uid="{00000000-0004-0000-0000-000020030000}"/>
    <hyperlink ref="A1009" r:id="rId802" xr:uid="{00000000-0004-0000-0000-000021030000}"/>
    <hyperlink ref="A1010" r:id="rId803" xr:uid="{00000000-0004-0000-0000-000022030000}"/>
    <hyperlink ref="A1011" r:id="rId804" xr:uid="{00000000-0004-0000-0000-000023030000}"/>
    <hyperlink ref="A1012" r:id="rId805" xr:uid="{00000000-0004-0000-0000-000024030000}"/>
    <hyperlink ref="A1013" r:id="rId806" xr:uid="{00000000-0004-0000-0000-000025030000}"/>
    <hyperlink ref="A1014" r:id="rId807" xr:uid="{00000000-0004-0000-0000-000026030000}"/>
    <hyperlink ref="A1015" r:id="rId808" xr:uid="{00000000-0004-0000-0000-000027030000}"/>
    <hyperlink ref="A1016" r:id="rId809" xr:uid="{00000000-0004-0000-0000-000028030000}"/>
    <hyperlink ref="A1018" r:id="rId810" xr:uid="{00000000-0004-0000-0000-000029030000}"/>
    <hyperlink ref="A1019" r:id="rId811" xr:uid="{00000000-0004-0000-0000-00002A030000}"/>
    <hyperlink ref="A1022" r:id="rId812" xr:uid="{00000000-0004-0000-0000-00002B030000}"/>
    <hyperlink ref="A1023" r:id="rId813" xr:uid="{00000000-0004-0000-0000-00002C030000}"/>
    <hyperlink ref="A1024" r:id="rId814" xr:uid="{00000000-0004-0000-0000-00002D030000}"/>
    <hyperlink ref="A1025" r:id="rId815" xr:uid="{00000000-0004-0000-0000-00002E030000}"/>
    <hyperlink ref="A1026" r:id="rId816" xr:uid="{00000000-0004-0000-0000-00002F030000}"/>
    <hyperlink ref="A1027" r:id="rId817" xr:uid="{00000000-0004-0000-0000-000030030000}"/>
    <hyperlink ref="A1028" r:id="rId818" xr:uid="{00000000-0004-0000-0000-000031030000}"/>
    <hyperlink ref="A1029" r:id="rId819" xr:uid="{00000000-0004-0000-0000-000032030000}"/>
    <hyperlink ref="A1032" r:id="rId820" xr:uid="{00000000-0004-0000-0000-000033030000}"/>
    <hyperlink ref="A1033" r:id="rId821" xr:uid="{00000000-0004-0000-0000-00003403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 --- 1 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lojain hamda</cp:lastModifiedBy>
  <dcterms:created xsi:type="dcterms:W3CDTF">2025-12-01T13:23:00Z</dcterms:created>
  <dcterms:modified xsi:type="dcterms:W3CDTF">2026-02-05T12:30:09Z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5775D8016A2C4C79ACCE8FE5BDCB9C4A_13</vt:lpwstr>
  </property>
  <property fmtid="{D5CDD505-2E9C-101B-9397-08002B2CF9AE}" pid="3" name="KSOProductBuildVer">
    <vt:lpwstr>1033-12.2.0.23155</vt:lpwstr>
  </property>
</Properties>
</file>